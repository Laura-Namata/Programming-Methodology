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ocuments\Programming-Methodology\Microsoft excel challenge\"/>
    </mc:Choice>
  </mc:AlternateContent>
  <xr:revisionPtr revIDLastSave="0" documentId="13_ncr:1_{76ADAE37-F9CB-4CBD-AD29-6C2734B90482}" xr6:coauthVersionLast="47" xr6:coauthVersionMax="47" xr10:uidLastSave="{00000000-0000-0000-0000-000000000000}"/>
  <bookViews>
    <workbookView minimized="1" xWindow="1700" yWindow="3710" windowWidth="11020" windowHeight="7770" tabRatio="753" activeTab="5" xr2:uid="{44726D66-EC9A-40E9-A5CD-560EDBDBA120}"/>
  </bookViews>
  <sheets>
    <sheet name="Instructions" sheetId="9" r:id="rId1"/>
    <sheet name="Rent Costs" sheetId="26" r:id="rId2"/>
    <sheet name="Car Loan" sheetId="27" r:id="rId3"/>
    <sheet name="Monthly Spending" sheetId="28" r:id="rId4"/>
    <sheet name="Budget" sheetId="29" r:id="rId5"/>
    <sheet name="Sensitivity Analysis" sheetId="30" r:id="rId6"/>
    <sheet name="Timed Results" sheetId="11" r:id="rId7"/>
    <sheet name="Question Results" sheetId="23" r:id="rId8"/>
    <sheet name="BackgroundCalcs" sheetId="20" state="veryHidden" r:id="rId9"/>
    <sheet name="Output" sheetId="12" state="veryHidden" r:id="rId10"/>
    <sheet name="Grading Formulas" sheetId="24" state="veryHidden" r:id="rId11"/>
    <sheet name="Grading" sheetId="25" state="veryHidden" r:id="rId12"/>
  </sheets>
  <functionGroups builtInGroupCount="19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</externalReferences>
  <definedNames>
    <definedName name="activateCount">BackgroundCalcs!$D$26</definedName>
    <definedName name="AllCorrect">BackgroundCalcs!$D$14</definedName>
    <definedName name="AllowedCellsTab1">'[1]Keyboard Warm Up 1'!$D$7,'[1]Keyboard Warm Up 1'!$D$53,'[1]Keyboard Warm Up 1'!$AC$53,'[1]Keyboard Warm Up 1'!$AC$7,'[1]Keyboard Warm Up 1'!$AX$53,'[1]Keyboard Warm Up 1'!$AY$53,'[1]Keyboard Warm Up 1'!$AY$30,'[1]Keyboard Warm Up 1'!$AH$30,'[1]Keyboard Warm Up 1'!$AH$53,'[1]Keyboard Warm Up 1'!$BD$53,'[1]Keyboard Warm Up 1'!$BE$30,'[1]Keyboard Warm Up 1'!$BK$30,'[1]Keyboard Warm Up 1'!$BN$18,'[1]Keyboard Warm Up 1'!$BN$12,'[1]Keyboard Warm Up 1'!$BD$12,'[1]Keyboard Warm Up 1'!$BR$7,'[1]Keyboard Warm Up 1'!$BR$31,'[1]Keyboard Warm Up 1'!$BS$31,'[1]Keyboard Warm Up 1'!$BR$53,'[1]Keyboard Warm Up 1'!$BS$53,'[1]Keyboard Warm Up 1'!$CP$53,'[1]Keyboard Warm Up 1'!$CQ$53,'[1]Keyboard Warm Up 1'!$CP$31,'[1]Keyboard Warm Up 1'!$CQ$7,'[1]Keyboard Warm Up 1'!$A$1</definedName>
    <definedName name="Answer1">BackgroundCalcs!$K$2</definedName>
    <definedName name="Answer2">BackgroundCalcs!$K$3</definedName>
    <definedName name="Answer3">BackgroundCalcs!$K$4</definedName>
    <definedName name="Answer4">BackgroundCalcs!$K$5</definedName>
    <definedName name="Answer5">BackgroundCalcs!$K$6</definedName>
    <definedName name="Answer6">BackgroundCalcs!$K$7</definedName>
    <definedName name="cellsInFirst" localSheetId="11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definedName>
    <definedName name="cellsInFirst" localSheetId="10">[2]First!$B$3:$J$3,[2]First!$J$3:$J$8,[2]First!$D$8:$J$8,[2]First!$D$8:$D$19,[2]First!$D$8,[2]First!$D$19:$T$19,[2]First!$T$19:$T$29,[2]First!$P$29:$T$29,[2]First!$P$23:$P$29,[2]First!$E$23:$P$23,[2]First!$E$23:$E$26,[2]First!$E$26:$K$26,[2]First!$K$26:$K$32,[2]First!$C$32:$K$32</definedName>
    <definedName name="cellsInFirst">#REF!,#REF!,#REF!,#REF!,#REF!,#REF!,#REF!,#REF!,#REF!,#REF!,#REF!,#REF!</definedName>
    <definedName name="cellsInSecond" localSheetId="11">[2]Second!$A$1:$H$1,[2]Second!$H$1:$H$26,[2]Second!$H$26:$M$26,[2]Second!$M$26:$M$33,[2]Second!$C$33:$M$33,[2]Second!$C$24:$C$33</definedName>
    <definedName name="cellsInSecond" localSheetId="10">[2]Second!$A$1:$H$1,[2]Second!$H$1:$H$26,[2]Second!$H$26:$M$26,[2]Second!$M$26:$M$33,[2]Second!$C$33:$M$33,[2]Second!$C$24:$C$33</definedName>
    <definedName name="cellsInSecond">'[1]Keyboard Warm Up 1'!$D$7,'[1]Keyboard Warm Up 1'!$D$23,'[1]Keyboard Warm Up 1'!$M$23,'[1]Keyboard Warm Up 1'!$M$16,'[1]Keyboard Warm Up 1'!$G$16,'[1]Keyboard Warm Up 1'!$G$7,'[1]Keyboard Warm Up 1'!$T$11,'[1]Keyboard Warm Up 1'!$AB$11,'[1]Keyboard Warm Up 1'!$AB$38,'[1]Keyboard Warm Up 1'!$S$38,'[1]Keyboard Warm Up 1'!$S$29,'[1]Keyboard Warm Up 1'!#REF!,'[1]Keyboard Warm Up 1'!#REF!,'[1]Keyboard Warm Up 1'!$AE$25,'[1]Keyboard Warm Up 1'!$AE$21,'[1]Keyboard Warm Up 1'!#REF!,'[1]Keyboard Warm Up 1'!#REF!,'[1]Keyboard Warm Up 1'!$AE$17,'[1]Keyboard Warm Up 1'!$AE$11,'[1]Keyboard Warm Up 1'!$AN$11</definedName>
    <definedName name="CheckRange1">[3]BackgroundCalcs!#REF!</definedName>
    <definedName name="CheckRange2">[3]BackgroundCalcs!#REF!</definedName>
    <definedName name="CheckRange3">[3]BackgroundCalcs!#REF!</definedName>
    <definedName name="CheckRange4">[3]BackgroundCalcs!#REF!</definedName>
    <definedName name="CheckRange5">[3]BackgroundCalcs!#REF!</definedName>
    <definedName name="CheckRange6">[3]BackgroundCalcs!#REF!</definedName>
    <definedName name="CheckRange7">[3]BackgroundCalcs!#REF!</definedName>
    <definedName name="CurrentScore">'Question Results'!$C$4</definedName>
    <definedName name="CurrentSum" localSheetId="11">[4]BackgroundCalcs!$F$20</definedName>
    <definedName name="CurrentSum" localSheetId="10">[4]BackgroundCalcs!$F$20</definedName>
    <definedName name="CurrentSum">[5]BackgroundCalcs!$F$20</definedName>
    <definedName name="CurrentTarget" localSheetId="11">[4]BackgroundCalcs!$F$17</definedName>
    <definedName name="CurrentTarget" localSheetId="10">[4]BackgroundCalcs!$F$17</definedName>
    <definedName name="CurrentTarget">[5]BackgroundCalcs!$F$17</definedName>
    <definedName name="CurrentTargetSum" localSheetId="11">[4]BackgroundCalcs!$G$17</definedName>
    <definedName name="CurrentTargetSum" localSheetId="10">[4]BackgroundCalcs!$G$17</definedName>
    <definedName name="CurrentTargetSum">[5]BackgroundCalcs!$G$17</definedName>
    <definedName name="elapsedTime">BackgroundCalcs!$D$11</definedName>
    <definedName name="endTime" localSheetId="11">[2]calc!$H$3</definedName>
    <definedName name="endTime" localSheetId="10">[2]calc!$H$3</definedName>
    <definedName name="endTime">BackgroundCalcs!$D$5</definedName>
    <definedName name="FileName" localSheetId="11">[6]BackgroundCalcs!$B$2</definedName>
    <definedName name="FileName" localSheetId="10">[6]BackgroundCalcs!$B$2</definedName>
    <definedName name="FileName">BackgroundCalcs!$B$2</definedName>
    <definedName name="Invalid1">[3]BackgroundCalcs!#REF!</definedName>
    <definedName name="Invalid2">[3]BackgroundCalcs!#REF!</definedName>
    <definedName name="Invalid3">[3]BackgroundCalcs!#REF!</definedName>
    <definedName name="Invalid4">[3]BackgroundCalcs!#REF!</definedName>
    <definedName name="Invalid5">[3]BackgroundCalcs!#REF!</definedName>
    <definedName name="Invalid6">[3]BackgroundCalcs!#REF!</definedName>
    <definedName name="Invalid7">[3]BackgroundCalcs!#REF!</definedName>
    <definedName name="isGameOn">BackgroundCalcs!$D$8</definedName>
    <definedName name="lastTime">BackgroundCalcs!$D$29</definedName>
    <definedName name="liveVersion">BackgroundCalcs!$B$29</definedName>
    <definedName name="lstVisited" localSheetId="11">[2]calc!$D$4:$D$21</definedName>
    <definedName name="lstVisited" localSheetId="10">[2]calc!$D$4:$D$21</definedName>
    <definedName name="lstVisited">[7]calc!$D$4:$D$21</definedName>
    <definedName name="mouseMovements">BackgroundCalcs!$D$23</definedName>
    <definedName name="n">'[8]Dynamic Ranges and Charts'!$D$30</definedName>
    <definedName name="name">#REF!</definedName>
    <definedName name="NumAnswers">BackgroundCalcs!$B$26</definedName>
    <definedName name="NumberExercises" localSheetId="11">[6]BackgroundCalcs!$B$17</definedName>
    <definedName name="NumberExercises" localSheetId="10">[6]BackgroundCalcs!$B$17</definedName>
    <definedName name="NumberExercises">BackgroundCalcs!$B$17</definedName>
    <definedName name="NumExercises" localSheetId="11">[4]BackgroundCalcs!$D$14</definedName>
    <definedName name="NumExercises" localSheetId="10">[4]BackgroundCalcs!$D$14</definedName>
    <definedName name="NumExercises">[5]BackgroundCalcs!$D$14</definedName>
    <definedName name="numRandomValues">BackgroundCalcs!$B$23</definedName>
    <definedName name="NumScenarios">BackgroundCalcs!$B$11</definedName>
    <definedName name="numToProtect">BackgroundCalcs!$B$20</definedName>
    <definedName name="oldEndTime">[7]calc!$H$3</definedName>
    <definedName name="oldStartTime">[7]calc!$G$3</definedName>
    <definedName name="OverrideSave">[3]BackgroundCalcs!#REF!</definedName>
    <definedName name="passwordOn">[3]BackgroundCalcs!#REF!</definedName>
    <definedName name="pCount">[2]calc!$F$3</definedName>
    <definedName name="pCountNew">[1]BackgroundCalcs!$S$2</definedName>
    <definedName name="RandomMethod" localSheetId="11">[6]BackgroundCalcs!$B$5</definedName>
    <definedName name="RandomMethod" localSheetId="10">[6]BackgroundCalcs!$B$5</definedName>
    <definedName name="RandomMethod">BackgroundCalcs!$B$5</definedName>
    <definedName name="RandomScenarioNumber" localSheetId="11">[6]BackgroundCalcs!$B$8</definedName>
    <definedName name="RandomScenarioNumber" localSheetId="10">[6]BackgroundCalcs!$B$8</definedName>
    <definedName name="RandomScenarioNumber">BackgroundCalcs!$B$8</definedName>
    <definedName name="ScenarioUpdate">BackgroundCalcs!$B$14</definedName>
    <definedName name="six">'[1]Keyboard Warm Up 1'!#REF!</definedName>
    <definedName name="SpreadsheetName" localSheetId="11">[4]BackgroundCalcs!$D$5</definedName>
    <definedName name="SpreadsheetName" localSheetId="10">[4]BackgroundCalcs!$D$5</definedName>
    <definedName name="SpreadsheetName">[5]BackgroundCalcs!$D$5</definedName>
    <definedName name="startTime" localSheetId="11">[2]calc!$G$3</definedName>
    <definedName name="startTime" localSheetId="10">[2]calc!$G$3</definedName>
    <definedName name="startTime">BackgroundCalcs!$D$2</definedName>
    <definedName name="StudentIDCell" localSheetId="11">[4]BackgroundCalcs!$D$8</definedName>
    <definedName name="StudentIDCell" localSheetId="10">[4]BackgroundCalcs!$D$8</definedName>
    <definedName name="StudentIDCell">[5]BackgroundCalcs!$D$8</definedName>
    <definedName name="StudentNameCell" localSheetId="11">[4]BackgroundCalcs!$D$11</definedName>
    <definedName name="StudentNameCell" localSheetId="10">[4]BackgroundCalcs!$D$11</definedName>
    <definedName name="StudentNameCell">[5]BackgroundCalcs!$D$11</definedName>
    <definedName name="ten">'[1]Keyboard Warm Up 1'!#REF!</definedName>
    <definedName name="timeElapsed" localSheetId="11">[2]calc!$G$6</definedName>
    <definedName name="timeElapsed" localSheetId="10">[2]calc!$G$6</definedName>
    <definedName name="timeElapsed">[7]calc!$G$6</definedName>
    <definedName name="totalTime">BackgroundCalcs!$B$32</definedName>
    <definedName name="valDuration">[2]calc!$G$7</definedName>
    <definedName name="Valid1" localSheetId="11">[4]BackgroundCalcs!#REF!</definedName>
    <definedName name="Valid1" localSheetId="10">[4]BackgroundCalcs!#REF!</definedName>
    <definedName name="Valid1">[5]BackgroundCalcs!#REF!</definedName>
    <definedName name="ValidationCode">[9]calc!$B$11</definedName>
    <definedName name="xPosition">BackgroundCalcs!$D$17</definedName>
    <definedName name="yPosition">BackgroundCalcs!$D$20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30" l="1"/>
  <c r="F12" i="30" l="1"/>
  <c r="F11" i="30"/>
  <c r="F10" i="30"/>
  <c r="F8" i="30"/>
  <c r="F9" i="30"/>
  <c r="G22" i="28"/>
  <c r="G23" i="28"/>
  <c r="G24" i="28"/>
  <c r="G25" i="28"/>
  <c r="G26" i="28"/>
  <c r="G27" i="28"/>
  <c r="G28" i="28"/>
  <c r="G29" i="28"/>
  <c r="G30" i="28"/>
  <c r="G31" i="28"/>
  <c r="G32" i="28"/>
  <c r="G33" i="28"/>
  <c r="G34" i="28"/>
  <c r="G35" i="28"/>
  <c r="G36" i="28"/>
  <c r="G37" i="28"/>
  <c r="G38" i="28"/>
  <c r="G39" i="28"/>
  <c r="G40" i="28"/>
  <c r="G41" i="28"/>
  <c r="G42" i="28"/>
  <c r="G43" i="28"/>
  <c r="G44" i="28"/>
  <c r="G45" i="28"/>
  <c r="G46" i="28"/>
  <c r="G47" i="28"/>
  <c r="G48" i="28"/>
  <c r="G49" i="28"/>
  <c r="G50" i="28"/>
  <c r="G51" i="28"/>
  <c r="G52" i="28"/>
  <c r="G53" i="28"/>
  <c r="G54" i="28"/>
  <c r="G55" i="28"/>
  <c r="G56" i="28"/>
  <c r="G57" i="28"/>
  <c r="G58" i="28"/>
  <c r="G59" i="28"/>
  <c r="G60" i="28"/>
  <c r="G61" i="28"/>
  <c r="G62" i="28"/>
  <c r="G63" i="28"/>
  <c r="G64" i="28"/>
  <c r="G65" i="28"/>
  <c r="G66" i="28"/>
  <c r="G67" i="28"/>
  <c r="G68" i="28"/>
  <c r="G69" i="28"/>
  <c r="G70" i="28"/>
  <c r="G71" i="28"/>
  <c r="G72" i="28"/>
  <c r="G73" i="28"/>
  <c r="G74" i="28"/>
  <c r="G75" i="28"/>
  <c r="G76" i="28"/>
  <c r="G77" i="28"/>
  <c r="G78" i="28"/>
  <c r="G79" i="28"/>
  <c r="G80" i="28"/>
  <c r="G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21" i="28"/>
  <c r="D22" i="28"/>
  <c r="D23" i="28"/>
  <c r="D24" i="28"/>
  <c r="D25" i="28"/>
  <c r="D26" i="28"/>
  <c r="D27" i="28"/>
  <c r="D28" i="28"/>
  <c r="D29" i="28"/>
  <c r="D30" i="28"/>
  <c r="D31" i="28"/>
  <c r="D32" i="28"/>
  <c r="D33" i="28"/>
  <c r="D34" i="28"/>
  <c r="D35" i="28"/>
  <c r="D36" i="28"/>
  <c r="D37" i="28"/>
  <c r="D38" i="28"/>
  <c r="D39" i="28"/>
  <c r="D40" i="28"/>
  <c r="D41" i="28"/>
  <c r="D42" i="28"/>
  <c r="D43" i="28"/>
  <c r="D44" i="28"/>
  <c r="D45" i="28"/>
  <c r="D46" i="28"/>
  <c r="D47" i="28"/>
  <c r="D48" i="28"/>
  <c r="D49" i="28"/>
  <c r="D50" i="28"/>
  <c r="D51" i="28"/>
  <c r="D52" i="28"/>
  <c r="D53" i="28"/>
  <c r="D54" i="28"/>
  <c r="D55" i="28"/>
  <c r="D56" i="28"/>
  <c r="D57" i="28"/>
  <c r="D58" i="28"/>
  <c r="D59" i="28"/>
  <c r="D60" i="28"/>
  <c r="D61" i="28"/>
  <c r="D62" i="28"/>
  <c r="D63" i="28"/>
  <c r="D64" i="28"/>
  <c r="D65" i="28"/>
  <c r="D66" i="28"/>
  <c r="D67" i="28"/>
  <c r="D68" i="28"/>
  <c r="D69" i="28"/>
  <c r="D70" i="28"/>
  <c r="D71" i="28"/>
  <c r="D72" i="28"/>
  <c r="D73" i="28"/>
  <c r="D74" i="28"/>
  <c r="D75" i="28"/>
  <c r="D76" i="28"/>
  <c r="D77" i="28"/>
  <c r="D78" i="28"/>
  <c r="D79" i="28"/>
  <c r="D80" i="28"/>
  <c r="D21" i="28"/>
  <c r="C21" i="28" a="1"/>
  <c r="C21" i="28" s="1"/>
  <c r="C19" i="27" a="1"/>
  <c r="C19" i="27" s="1"/>
  <c r="D14" i="26"/>
  <c r="D15" i="26"/>
  <c r="D16" i="26"/>
  <c r="D17" i="26"/>
  <c r="D18" i="26"/>
  <c r="D19" i="26"/>
  <c r="D20" i="26"/>
  <c r="D21" i="26"/>
  <c r="D22" i="26"/>
  <c r="D23" i="26"/>
  <c r="D24" i="26"/>
  <c r="D25" i="26"/>
  <c r="D26" i="26"/>
  <c r="D27" i="26"/>
  <c r="D28" i="26"/>
  <c r="D29" i="26"/>
  <c r="D30" i="26"/>
  <c r="D31" i="26"/>
  <c r="D32" i="26"/>
  <c r="D33" i="26"/>
  <c r="D34" i="26"/>
  <c r="D35" i="26"/>
  <c r="D36" i="26"/>
  <c r="D37" i="26"/>
  <c r="D38" i="26"/>
  <c r="D39" i="26"/>
  <c r="D40" i="26"/>
  <c r="D41" i="26"/>
  <c r="D42" i="26"/>
  <c r="D43" i="26"/>
  <c r="D44" i="26"/>
  <c r="D45" i="26"/>
  <c r="D46" i="26"/>
  <c r="D47" i="26"/>
  <c r="D48" i="26"/>
  <c r="D49" i="26"/>
  <c r="D50" i="26"/>
  <c r="D51" i="26"/>
  <c r="D52" i="26"/>
  <c r="D53" i="26"/>
  <c r="D54" i="26"/>
  <c r="D55" i="26"/>
  <c r="D56" i="26"/>
  <c r="D57" i="26"/>
  <c r="D58" i="26"/>
  <c r="D59" i="26"/>
  <c r="D60" i="26"/>
  <c r="D61" i="26"/>
  <c r="D62" i="26"/>
  <c r="D63" i="26"/>
  <c r="D64" i="26"/>
  <c r="D65" i="26"/>
  <c r="D66" i="26"/>
  <c r="D67" i="26"/>
  <c r="D68" i="26"/>
  <c r="D69" i="26"/>
  <c r="D70" i="26"/>
  <c r="D71" i="26"/>
  <c r="D72" i="26"/>
  <c r="D13" i="26"/>
  <c r="C13" i="26" a="1"/>
  <c r="C13" i="26" s="1"/>
  <c r="X14" i="20" l="1"/>
  <c r="X13" i="20"/>
  <c r="X12" i="20"/>
  <c r="X11" i="20"/>
  <c r="X10" i="20"/>
  <c r="X8" i="20"/>
  <c r="X7" i="20"/>
  <c r="X5" i="20"/>
  <c r="X3" i="20"/>
  <c r="Q11" i="20" a="1"/>
  <c r="Q11" i="20" s="1"/>
  <c r="H4" i="29" s="1"/>
  <c r="R30" i="29" s="1"/>
  <c r="Q12" i="20" a="1"/>
  <c r="Q12" i="20" s="1"/>
  <c r="H5" i="29" s="1"/>
  <c r="B7" i="29" s="1"/>
  <c r="Q13" i="20" a="1"/>
  <c r="Q13" i="20" s="1"/>
  <c r="H6" i="29" s="1"/>
  <c r="B8" i="29" s="1"/>
  <c r="Q14" i="20" a="1"/>
  <c r="Q14" i="20" s="1"/>
  <c r="H7" i="29" s="1"/>
  <c r="C31" i="29"/>
  <c r="C31" i="29" a="1"/>
  <c r="I32" i="29" l="1"/>
  <c r="I34" i="29"/>
  <c r="I56" i="29"/>
  <c r="I68" i="29"/>
  <c r="I80" i="29"/>
  <c r="I88" i="29"/>
  <c r="I40" i="29"/>
  <c r="I42" i="29"/>
  <c r="I44" i="29"/>
  <c r="I46" i="29"/>
  <c r="I52" i="29"/>
  <c r="I60" i="29"/>
  <c r="I74" i="29"/>
  <c r="I31" i="29"/>
  <c r="I50" i="29"/>
  <c r="I64" i="29"/>
  <c r="I76" i="29"/>
  <c r="I84" i="29"/>
  <c r="I38" i="29"/>
  <c r="I58" i="29"/>
  <c r="I72" i="29"/>
  <c r="I90" i="29"/>
  <c r="I36" i="29"/>
  <c r="I54" i="29"/>
  <c r="I66" i="29"/>
  <c r="I82" i="29"/>
  <c r="I33" i="29"/>
  <c r="I35" i="29"/>
  <c r="I37" i="29"/>
  <c r="I39" i="29"/>
  <c r="I41" i="29"/>
  <c r="I43" i="29"/>
  <c r="I45" i="29"/>
  <c r="I47" i="29"/>
  <c r="I49" i="29"/>
  <c r="I51" i="29"/>
  <c r="I53" i="29"/>
  <c r="I55" i="29"/>
  <c r="I57" i="29"/>
  <c r="I59" i="29"/>
  <c r="I61" i="29"/>
  <c r="I63" i="29"/>
  <c r="I65" i="29"/>
  <c r="I67" i="29"/>
  <c r="I69" i="29"/>
  <c r="I71" i="29"/>
  <c r="I73" i="29"/>
  <c r="I75" i="29"/>
  <c r="I77" i="29"/>
  <c r="I79" i="29"/>
  <c r="I81" i="29"/>
  <c r="I83" i="29"/>
  <c r="I85" i="29"/>
  <c r="I87" i="29"/>
  <c r="I89" i="29"/>
  <c r="I48" i="29"/>
  <c r="I62" i="29"/>
  <c r="I70" i="29"/>
  <c r="I78" i="29"/>
  <c r="I86" i="29"/>
  <c r="G31" i="29"/>
  <c r="Q31" i="29"/>
  <c r="Q10" i="20" a="1"/>
  <c r="Q10" i="20" s="1"/>
  <c r="Q9" i="20" a="1"/>
  <c r="Q9" i="20" s="1"/>
  <c r="Q6" i="20" a="1"/>
  <c r="Q6" i="20" s="1"/>
  <c r="D7" i="11"/>
  <c r="B2" i="11"/>
  <c r="E16" i="11"/>
  <c r="D16" i="11"/>
  <c r="B2" i="12" s="1"/>
  <c r="C16" i="11"/>
  <c r="A2" i="12" s="1"/>
  <c r="B16" i="11"/>
  <c r="B2" i="23"/>
  <c r="B8" i="9"/>
  <c r="D71" i="20" l="1"/>
  <c r="C7" i="11" s="1"/>
  <c r="D62" i="20"/>
  <c r="B5" i="11" s="1"/>
  <c r="C2" i="12"/>
  <c r="F5" i="28"/>
  <c r="E12" i="28" s="1" a="1"/>
  <c r="E12" i="28" s="1"/>
  <c r="H3" i="29"/>
  <c r="P30" i="29" s="1"/>
  <c r="O31" i="29" s="1"/>
  <c r="C3" i="24" a="1"/>
  <c r="C3" i="24" s="1"/>
  <c r="D3" i="24" a="1"/>
  <c r="D3" i="24" s="1"/>
  <c r="E3" i="24" a="1"/>
  <c r="E3" i="24" s="1"/>
  <c r="E2" i="24" a="1"/>
  <c r="E2" i="24" s="1"/>
  <c r="D2" i="24" a="1"/>
  <c r="D2" i="24" s="1"/>
  <c r="C2" i="24" a="1"/>
  <c r="C2" i="24" s="1"/>
  <c r="H3" i="24"/>
  <c r="G3" i="24"/>
  <c r="F3" i="24"/>
  <c r="B3" i="24"/>
  <c r="H2" i="24"/>
  <c r="G2" i="24"/>
  <c r="F2" i="24"/>
  <c r="B2" i="24"/>
  <c r="G19" i="29" l="1"/>
  <c r="B12" i="28"/>
  <c r="BA9" i="20" a="1"/>
  <c r="BA9" i="20" l="1"/>
  <c r="AY9" i="20" s="1" a="1"/>
  <c r="AY9" i="20" s="1"/>
  <c r="BB9" i="20" a="1"/>
  <c r="BB9" i="20" l="1"/>
  <c r="F12" i="28"/>
  <c r="C15" i="23" a="1"/>
  <c r="C15" i="23" l="1"/>
  <c r="Q7" i="20" a="1"/>
  <c r="Q7" i="20" s="1"/>
  <c r="Q8" i="20" a="1"/>
  <c r="Q8" i="20" s="1"/>
  <c r="X9" i="20"/>
  <c r="X6" i="20"/>
  <c r="X2" i="20"/>
  <c r="F4" i="28" l="1"/>
  <c r="E13" i="28" s="1"/>
  <c r="F3" i="28"/>
  <c r="F26" i="28" l="1"/>
  <c r="F34" i="28"/>
  <c r="F42" i="28"/>
  <c r="F50" i="28"/>
  <c r="F58" i="28"/>
  <c r="F66" i="28"/>
  <c r="F74" i="28"/>
  <c r="F28" i="28"/>
  <c r="F36" i="28"/>
  <c r="F44" i="28"/>
  <c r="F52" i="28"/>
  <c r="F60" i="28"/>
  <c r="F76" i="28"/>
  <c r="F33" i="28"/>
  <c r="F27" i="28"/>
  <c r="F35" i="28"/>
  <c r="F43" i="28"/>
  <c r="F51" i="28"/>
  <c r="F59" i="28"/>
  <c r="F67" i="28"/>
  <c r="F75" i="28"/>
  <c r="F68" i="28"/>
  <c r="F29" i="28"/>
  <c r="F37" i="28"/>
  <c r="F45" i="28"/>
  <c r="F53" i="28"/>
  <c r="F61" i="28"/>
  <c r="F69" i="28"/>
  <c r="F77" i="28"/>
  <c r="F25" i="28"/>
  <c r="F41" i="28"/>
  <c r="F57" i="28"/>
  <c r="F73" i="28"/>
  <c r="F22" i="28"/>
  <c r="F30" i="28"/>
  <c r="F38" i="28"/>
  <c r="F46" i="28"/>
  <c r="F54" i="28"/>
  <c r="F62" i="28"/>
  <c r="F70" i="28"/>
  <c r="F78" i="28"/>
  <c r="F23" i="28"/>
  <c r="F31" i="28"/>
  <c r="F39" i="28"/>
  <c r="F47" i="28"/>
  <c r="F55" i="28"/>
  <c r="F63" i="28"/>
  <c r="F71" i="28"/>
  <c r="F79" i="28"/>
  <c r="F24" i="28"/>
  <c r="F32" i="28"/>
  <c r="F40" i="28"/>
  <c r="F48" i="28"/>
  <c r="F56" i="28"/>
  <c r="F64" i="28"/>
  <c r="F72" i="28"/>
  <c r="F80" i="28"/>
  <c r="F49" i="28"/>
  <c r="F65" i="28"/>
  <c r="F21" i="28"/>
  <c r="H29" i="28"/>
  <c r="H36" i="28"/>
  <c r="H43" i="28"/>
  <c r="H47" i="28"/>
  <c r="H57" i="28"/>
  <c r="H61" i="28"/>
  <c r="H65" i="28"/>
  <c r="H68" i="28"/>
  <c r="H75" i="28"/>
  <c r="H79" i="28"/>
  <c r="H26" i="28"/>
  <c r="H44" i="28"/>
  <c r="H58" i="28"/>
  <c r="H69" i="28"/>
  <c r="H76" i="28"/>
  <c r="H41" i="28"/>
  <c r="H55" i="28"/>
  <c r="H66" i="28"/>
  <c r="H80" i="28"/>
  <c r="E15" i="28" s="1"/>
  <c r="H46" i="28"/>
  <c r="H39" i="28"/>
  <c r="H22" i="28"/>
  <c r="H33" i="28"/>
  <c r="H40" i="28"/>
  <c r="H51" i="28"/>
  <c r="H54" i="28"/>
  <c r="H72" i="28"/>
  <c r="H30" i="28"/>
  <c r="H37" i="28"/>
  <c r="H48" i="28"/>
  <c r="H62" i="28"/>
  <c r="H23" i="28"/>
  <c r="H73" i="28"/>
  <c r="H60" i="28"/>
  <c r="H74" i="28"/>
  <c r="H25" i="28"/>
  <c r="H32" i="28"/>
  <c r="H27" i="28"/>
  <c r="H31" i="28"/>
  <c r="H34" i="28"/>
  <c r="H45" i="28"/>
  <c r="H49" i="28"/>
  <c r="H52" i="28"/>
  <c r="H59" i="28"/>
  <c r="H63" i="28"/>
  <c r="H77" i="28"/>
  <c r="H21" i="28"/>
  <c r="E14" i="28" s="1"/>
  <c r="H24" i="28"/>
  <c r="H38" i="28"/>
  <c r="H67" i="28"/>
  <c r="H70" i="28"/>
  <c r="H28" i="28"/>
  <c r="H35" i="28"/>
  <c r="H42" i="28"/>
  <c r="H53" i="28"/>
  <c r="H56" i="28"/>
  <c r="H64" i="28"/>
  <c r="H78" i="28"/>
  <c r="H50" i="28"/>
  <c r="H71" i="28"/>
  <c r="B5" i="28"/>
  <c r="BA10" i="20" a="1"/>
  <c r="BA11" i="20" a="1"/>
  <c r="BA12" i="20" a="1"/>
  <c r="I55" i="28" l="1"/>
  <c r="F65" i="29" s="1"/>
  <c r="I25" i="28"/>
  <c r="F35" i="29" s="1"/>
  <c r="I64" i="28"/>
  <c r="F74" i="29" s="1"/>
  <c r="I63" i="28"/>
  <c r="F73" i="29" s="1"/>
  <c r="I41" i="28"/>
  <c r="F51" i="29" s="1"/>
  <c r="I29" i="28"/>
  <c r="F39" i="29" s="1"/>
  <c r="I56" i="28"/>
  <c r="F66" i="29" s="1"/>
  <c r="I68" i="28"/>
  <c r="F78" i="29" s="1"/>
  <c r="I47" i="28"/>
  <c r="F57" i="29" s="1"/>
  <c r="I46" i="28"/>
  <c r="F56" i="29" s="1"/>
  <c r="I32" i="28"/>
  <c r="F42" i="29" s="1"/>
  <c r="I30" i="28"/>
  <c r="F40" i="29" s="1"/>
  <c r="I61" i="28"/>
  <c r="F71" i="29" s="1"/>
  <c r="I59" i="28"/>
  <c r="F69" i="29" s="1"/>
  <c r="I52" i="28"/>
  <c r="F62" i="29" s="1"/>
  <c r="I49" i="28"/>
  <c r="F59" i="29" s="1"/>
  <c r="I24" i="28"/>
  <c r="F34" i="29" s="1"/>
  <c r="I23" i="28"/>
  <c r="F33" i="29" s="1"/>
  <c r="I51" i="28"/>
  <c r="F61" i="29" s="1"/>
  <c r="I44" i="28"/>
  <c r="F54" i="29" s="1"/>
  <c r="I34" i="28"/>
  <c r="F44" i="29" s="1"/>
  <c r="I65" i="28"/>
  <c r="F75" i="29" s="1"/>
  <c r="I80" i="28"/>
  <c r="F90" i="29" s="1"/>
  <c r="I79" i="28"/>
  <c r="F89" i="29" s="1"/>
  <c r="I78" i="28"/>
  <c r="F88" i="29" s="1"/>
  <c r="I73" i="28"/>
  <c r="F83" i="29" s="1"/>
  <c r="I45" i="28"/>
  <c r="F55" i="29" s="1"/>
  <c r="I43" i="28"/>
  <c r="F53" i="29" s="1"/>
  <c r="I36" i="28"/>
  <c r="F46" i="29" s="1"/>
  <c r="I26" i="28"/>
  <c r="F36" i="29" s="1"/>
  <c r="I72" i="28"/>
  <c r="F82" i="29" s="1"/>
  <c r="I71" i="28"/>
  <c r="F81" i="29" s="1"/>
  <c r="I70" i="28"/>
  <c r="F80" i="29" s="1"/>
  <c r="I57" i="28"/>
  <c r="F67" i="29" s="1"/>
  <c r="I37" i="28"/>
  <c r="F47" i="29" s="1"/>
  <c r="I35" i="28"/>
  <c r="F45" i="29" s="1"/>
  <c r="I28" i="28"/>
  <c r="F38" i="29" s="1"/>
  <c r="I31" i="28"/>
  <c r="F41" i="29" s="1"/>
  <c r="I22" i="28"/>
  <c r="I53" i="28"/>
  <c r="F63" i="29" s="1"/>
  <c r="I62" i="28"/>
  <c r="F72" i="29" s="1"/>
  <c r="I27" i="28"/>
  <c r="F37" i="29" s="1"/>
  <c r="I74" i="28"/>
  <c r="F84" i="29" s="1"/>
  <c r="I54" i="28"/>
  <c r="F64" i="29" s="1"/>
  <c r="I33" i="28"/>
  <c r="F43" i="29" s="1"/>
  <c r="I66" i="28"/>
  <c r="F76" i="29" s="1"/>
  <c r="I48" i="28"/>
  <c r="F58" i="29" s="1"/>
  <c r="I77" i="28"/>
  <c r="F87" i="29" s="1"/>
  <c r="I75" i="28"/>
  <c r="F85" i="29" s="1"/>
  <c r="I76" i="28"/>
  <c r="F86" i="29" s="1"/>
  <c r="I58" i="28"/>
  <c r="F68" i="29" s="1"/>
  <c r="I21" i="28"/>
  <c r="F31" i="29" s="1"/>
  <c r="I40" i="28"/>
  <c r="F50" i="29" s="1"/>
  <c r="I39" i="28"/>
  <c r="F49" i="29" s="1"/>
  <c r="I38" i="28"/>
  <c r="F48" i="29" s="1"/>
  <c r="I69" i="28"/>
  <c r="F79" i="29" s="1"/>
  <c r="I67" i="28"/>
  <c r="F77" i="29" s="1"/>
  <c r="I60" i="28"/>
  <c r="F70" i="29" s="1"/>
  <c r="I50" i="28"/>
  <c r="F60" i="29" s="1"/>
  <c r="I42" i="28"/>
  <c r="F52" i="29" s="1"/>
  <c r="BA12" i="20"/>
  <c r="AY12" i="20" s="1" a="1"/>
  <c r="AY12" i="20" s="1"/>
  <c r="BA10" i="20"/>
  <c r="AY10" i="20" s="1" a="1"/>
  <c r="AY10" i="20" s="1"/>
  <c r="BA11" i="20"/>
  <c r="AY11" i="20" s="1" a="1"/>
  <c r="AY11" i="20" s="1"/>
  <c r="BB11" i="20" a="1"/>
  <c r="BB12" i="20" a="1"/>
  <c r="BB10" i="20" a="1"/>
  <c r="E17" i="28" l="1"/>
  <c r="F32" i="29"/>
  <c r="E16" i="28"/>
  <c r="E18" i="28"/>
  <c r="BB11" i="20"/>
  <c r="BB10" i="20"/>
  <c r="BB12" i="20"/>
  <c r="F14" i="28"/>
  <c r="F13" i="28"/>
  <c r="F15" i="28"/>
  <c r="BA14" i="20" a="1"/>
  <c r="BA13" i="20" a="1"/>
  <c r="BA20" i="20" a="1"/>
  <c r="BA15" i="20" a="1"/>
  <c r="C17" i="23" a="1"/>
  <c r="C18" i="23" a="1"/>
  <c r="BA14" i="20" l="1"/>
  <c r="AY14" i="20" s="1" a="1"/>
  <c r="AY14" i="20" s="1"/>
  <c r="BA13" i="20"/>
  <c r="AY13" i="20" s="1" a="1"/>
  <c r="AY13" i="20" s="1"/>
  <c r="C17" i="23"/>
  <c r="C18" i="23"/>
  <c r="BA15" i="20"/>
  <c r="AY15" i="20" s="1" a="1"/>
  <c r="AY15" i="20" s="1"/>
  <c r="F18" i="28" s="1"/>
  <c r="BA20" i="20"/>
  <c r="AY20" i="20" s="1" a="1"/>
  <c r="AY20" i="20" s="1"/>
  <c r="H19" i="29" s="1"/>
  <c r="D11" i="20"/>
  <c r="D32" i="20"/>
  <c r="D2" i="12" s="1"/>
  <c r="BB14" i="20" a="1"/>
  <c r="BB13" i="20" a="1"/>
  <c r="BB20" i="20" a="1"/>
  <c r="BB15" i="20" a="1"/>
  <c r="BB14" i="20" l="1"/>
  <c r="F17" i="28"/>
  <c r="BB13" i="20"/>
  <c r="F16" i="28"/>
  <c r="BB15" i="20"/>
  <c r="BB20" i="20"/>
  <c r="Q2" i="20" a="1"/>
  <c r="Q2" i="20" s="1"/>
  <c r="Q5" i="20" a="1"/>
  <c r="Q5" i="20" s="1"/>
  <c r="X4" i="20"/>
  <c r="Q4" i="20" a="1"/>
  <c r="Q4" i="20" s="1"/>
  <c r="C20" i="23" a="1"/>
  <c r="C21" i="23" a="1"/>
  <c r="C19" i="23" a="1"/>
  <c r="C26" i="23" a="1"/>
  <c r="C20" i="23" l="1"/>
  <c r="C19" i="23"/>
  <c r="K4" i="20"/>
  <c r="G3" i="27"/>
  <c r="D19" i="27" s="1"/>
  <c r="G4" i="27"/>
  <c r="F11" i="27" s="1"/>
  <c r="G3" i="26"/>
  <c r="E13" i="26" s="1"/>
  <c r="D31" i="29" s="1"/>
  <c r="C21" i="23"/>
  <c r="C26" i="23"/>
  <c r="BA31" i="20" a="1"/>
  <c r="BA29" i="20" a="1"/>
  <c r="E14" i="26" l="1"/>
  <c r="F26" i="27"/>
  <c r="E38" i="29" s="1"/>
  <c r="F34" i="27"/>
  <c r="E46" i="29" s="1"/>
  <c r="F42" i="27"/>
  <c r="E54" i="29" s="1"/>
  <c r="F50" i="27"/>
  <c r="E62" i="29" s="1"/>
  <c r="F58" i="27"/>
  <c r="E70" i="29" s="1"/>
  <c r="F66" i="27"/>
  <c r="E78" i="29" s="1"/>
  <c r="F74" i="27"/>
  <c r="E86" i="29" s="1"/>
  <c r="F27" i="27"/>
  <c r="E39" i="29" s="1"/>
  <c r="F35" i="27"/>
  <c r="E47" i="29" s="1"/>
  <c r="F43" i="27"/>
  <c r="E55" i="29" s="1"/>
  <c r="F51" i="27"/>
  <c r="E63" i="29" s="1"/>
  <c r="F59" i="27"/>
  <c r="E71" i="29" s="1"/>
  <c r="F67" i="27"/>
  <c r="E79" i="29" s="1"/>
  <c r="F75" i="27"/>
  <c r="E87" i="29" s="1"/>
  <c r="F36" i="27"/>
  <c r="E48" i="29" s="1"/>
  <c r="F52" i="27"/>
  <c r="E64" i="29" s="1"/>
  <c r="F76" i="27"/>
  <c r="E88" i="29" s="1"/>
  <c r="F45" i="27"/>
  <c r="E57" i="29" s="1"/>
  <c r="F61" i="27"/>
  <c r="E73" i="29" s="1"/>
  <c r="F77" i="27"/>
  <c r="E89" i="29" s="1"/>
  <c r="F22" i="27"/>
  <c r="E34" i="29" s="1"/>
  <c r="F46" i="27"/>
  <c r="E58" i="29" s="1"/>
  <c r="F70" i="27"/>
  <c r="E82" i="29" s="1"/>
  <c r="F60" i="27"/>
  <c r="E72" i="29" s="1"/>
  <c r="F54" i="27"/>
  <c r="E66" i="29" s="1"/>
  <c r="F21" i="27"/>
  <c r="E33" i="29" s="1"/>
  <c r="F29" i="27"/>
  <c r="E41" i="29" s="1"/>
  <c r="F53" i="27"/>
  <c r="E65" i="29" s="1"/>
  <c r="F23" i="27"/>
  <c r="E35" i="29" s="1"/>
  <c r="F31" i="27"/>
  <c r="E43" i="29" s="1"/>
  <c r="F39" i="27"/>
  <c r="E51" i="29" s="1"/>
  <c r="F47" i="27"/>
  <c r="E59" i="29" s="1"/>
  <c r="F55" i="27"/>
  <c r="E67" i="29" s="1"/>
  <c r="F63" i="27"/>
  <c r="E75" i="29" s="1"/>
  <c r="F71" i="27"/>
  <c r="E83" i="29" s="1"/>
  <c r="F20" i="27"/>
  <c r="E32" i="29" s="1"/>
  <c r="F24" i="27"/>
  <c r="E36" i="29" s="1"/>
  <c r="F32" i="27"/>
  <c r="E44" i="29" s="1"/>
  <c r="F40" i="27"/>
  <c r="E52" i="29" s="1"/>
  <c r="F48" i="27"/>
  <c r="E60" i="29" s="1"/>
  <c r="F56" i="27"/>
  <c r="E68" i="29" s="1"/>
  <c r="F64" i="27"/>
  <c r="E76" i="29" s="1"/>
  <c r="F72" i="27"/>
  <c r="E84" i="29" s="1"/>
  <c r="F19" i="27"/>
  <c r="E31" i="29" s="1"/>
  <c r="H31" i="29" s="1"/>
  <c r="F25" i="27"/>
  <c r="E37" i="29" s="1"/>
  <c r="F33" i="27"/>
  <c r="E45" i="29" s="1"/>
  <c r="F41" i="27"/>
  <c r="E53" i="29" s="1"/>
  <c r="F49" i="27"/>
  <c r="E61" i="29" s="1"/>
  <c r="F57" i="27"/>
  <c r="E69" i="29" s="1"/>
  <c r="F65" i="27"/>
  <c r="E77" i="29" s="1"/>
  <c r="F73" i="27"/>
  <c r="E85" i="29" s="1"/>
  <c r="F28" i="27"/>
  <c r="E40" i="29" s="1"/>
  <c r="F44" i="27"/>
  <c r="E56" i="29" s="1"/>
  <c r="F68" i="27"/>
  <c r="E80" i="29" s="1"/>
  <c r="F37" i="27"/>
  <c r="E49" i="29" s="1"/>
  <c r="F69" i="27"/>
  <c r="E81" i="29" s="1"/>
  <c r="F30" i="27"/>
  <c r="E42" i="29" s="1"/>
  <c r="F38" i="27"/>
  <c r="E50" i="29" s="1"/>
  <c r="F62" i="27"/>
  <c r="E74" i="29" s="1"/>
  <c r="F78" i="27"/>
  <c r="E90" i="29" s="1"/>
  <c r="E19" i="27"/>
  <c r="B3" i="27"/>
  <c r="BA31" i="20"/>
  <c r="AY31" i="20" s="1" a="1"/>
  <c r="AY31" i="20" s="1"/>
  <c r="G10" i="30" s="1"/>
  <c r="BA29" i="20"/>
  <c r="AY29" i="20" s="1" a="1"/>
  <c r="AY29" i="20" s="1"/>
  <c r="G8" i="30" s="1"/>
  <c r="BB29" i="20" a="1"/>
  <c r="BB31" i="20" a="1"/>
  <c r="BA33" i="20" a="1"/>
  <c r="BA30" i="20" a="1"/>
  <c r="BA4" i="20" a="1"/>
  <c r="BA32" i="20" a="1"/>
  <c r="J31" i="29" l="1"/>
  <c r="G15" i="29"/>
  <c r="E15" i="26"/>
  <c r="D32" i="29"/>
  <c r="F12" i="27"/>
  <c r="G19" i="27"/>
  <c r="F14" i="27"/>
  <c r="BA4" i="20"/>
  <c r="AY4" i="20" s="1" a="1"/>
  <c r="AY4" i="20" s="1"/>
  <c r="BA33" i="20"/>
  <c r="AY33" i="20" s="1" a="1"/>
  <c r="AY33" i="20" s="1"/>
  <c r="G12" i="30" s="1"/>
  <c r="BA30" i="20"/>
  <c r="AY30" i="20" s="1" a="1"/>
  <c r="AY30" i="20" s="1"/>
  <c r="G9" i="30" s="1"/>
  <c r="BA32" i="20"/>
  <c r="AY32" i="20" s="1" a="1"/>
  <c r="AY32" i="20" s="1"/>
  <c r="G11" i="30" s="1"/>
  <c r="BB29" i="20"/>
  <c r="BB31" i="20"/>
  <c r="BB4" i="20" a="1"/>
  <c r="BB30" i="20" a="1"/>
  <c r="BB33" i="20" a="1"/>
  <c r="BB32" i="20" a="1"/>
  <c r="BA5" i="20" a="1"/>
  <c r="C37" i="23" a="1"/>
  <c r="C35" i="23" a="1"/>
  <c r="E16" i="26" l="1"/>
  <c r="D33" i="29"/>
  <c r="K31" i="29"/>
  <c r="N31" i="29"/>
  <c r="G17" i="29"/>
  <c r="M31" i="29"/>
  <c r="D20" i="27"/>
  <c r="F13" i="27"/>
  <c r="BB4" i="20"/>
  <c r="BA5" i="20"/>
  <c r="AY5" i="20" s="1" a="1"/>
  <c r="AY5" i="20" s="1"/>
  <c r="G11" i="27"/>
  <c r="BB32" i="20"/>
  <c r="BB30" i="20"/>
  <c r="BB33" i="20"/>
  <c r="C37" i="23"/>
  <c r="C35" i="23"/>
  <c r="B20" i="20"/>
  <c r="B17" i="20"/>
  <c r="B16" i="9" s="1"/>
  <c r="Q3" i="20" a="1"/>
  <c r="Q3" i="20" s="1"/>
  <c r="BB5" i="20" a="1"/>
  <c r="C10" i="23" a="1"/>
  <c r="C38" i="23" a="1"/>
  <c r="C36" i="23" a="1"/>
  <c r="C39" i="23" a="1"/>
  <c r="R31" i="29" l="1"/>
  <c r="G32" i="29" s="1"/>
  <c r="Q32" i="29"/>
  <c r="L31" i="29"/>
  <c r="P31" i="29" s="1"/>
  <c r="E17" i="26"/>
  <c r="D34" i="29"/>
  <c r="E20" i="27"/>
  <c r="G20" i="27" s="1"/>
  <c r="D21" i="27" s="1"/>
  <c r="E21" i="27" s="1"/>
  <c r="G21" i="27" s="1"/>
  <c r="D22" i="27" s="1"/>
  <c r="K6" i="20"/>
  <c r="BB5" i="20"/>
  <c r="C10" i="23"/>
  <c r="G12" i="27"/>
  <c r="G4" i="26"/>
  <c r="C38" i="23"/>
  <c r="C39" i="23"/>
  <c r="C36" i="23"/>
  <c r="B23" i="20"/>
  <c r="BA7" i="20" a="1"/>
  <c r="BA6" i="20" a="1"/>
  <c r="E18" i="26" l="1"/>
  <c r="D35" i="29"/>
  <c r="O32" i="29"/>
  <c r="H32" i="29"/>
  <c r="J32" i="29" s="1"/>
  <c r="E22" i="27"/>
  <c r="G22" i="27" s="1"/>
  <c r="D23" i="27" s="1"/>
  <c r="E23" i="27" s="1"/>
  <c r="G23" i="27" s="1"/>
  <c r="D24" i="27" s="1"/>
  <c r="BA6" i="20"/>
  <c r="AY6" i="20" s="1" a="1"/>
  <c r="AY6" i="20" s="1"/>
  <c r="G13" i="27" s="1"/>
  <c r="BA7" i="20"/>
  <c r="AY7" i="20" s="1" a="1"/>
  <c r="AY7" i="20" s="1"/>
  <c r="G14" i="27" s="1"/>
  <c r="BB6" i="20" a="1"/>
  <c r="BB7" i="20" a="1"/>
  <c r="C11" i="23" a="1"/>
  <c r="M32" i="29" l="1"/>
  <c r="N32" i="29" s="1"/>
  <c r="K32" i="29"/>
  <c r="L32" i="29"/>
  <c r="E19" i="26"/>
  <c r="D36" i="29"/>
  <c r="E24" i="27"/>
  <c r="G24" i="27" s="1"/>
  <c r="D25" i="27" s="1"/>
  <c r="E25" i="27" s="1"/>
  <c r="G25" i="27" s="1"/>
  <c r="D26" i="27" s="1"/>
  <c r="C11" i="23"/>
  <c r="BB7" i="20"/>
  <c r="BB6" i="20"/>
  <c r="C12" i="23" a="1"/>
  <c r="C16" i="23" a="1"/>
  <c r="C13" i="23" a="1"/>
  <c r="R32" i="29" l="1"/>
  <c r="G33" i="29" s="1"/>
  <c r="P32" i="29"/>
  <c r="O33" i="29" s="1"/>
  <c r="E20" i="26"/>
  <c r="D37" i="29"/>
  <c r="E26" i="27"/>
  <c r="G26" i="27" s="1"/>
  <c r="D27" i="27" s="1"/>
  <c r="C16" i="23"/>
  <c r="C13" i="23"/>
  <c r="C12" i="23"/>
  <c r="BA16" i="20" a="1"/>
  <c r="Q33" i="29" l="1"/>
  <c r="H33" i="29"/>
  <c r="J33" i="29" s="1"/>
  <c r="E21" i="26"/>
  <c r="D38" i="29"/>
  <c r="E27" i="27"/>
  <c r="G27" i="27" s="1"/>
  <c r="D28" i="27" s="1"/>
  <c r="E28" i="27" s="1"/>
  <c r="G28" i="27" s="1"/>
  <c r="D29" i="27" s="1"/>
  <c r="BA16" i="20"/>
  <c r="AY16" i="20" s="1" a="1"/>
  <c r="AY16" i="20" s="1"/>
  <c r="B26" i="20"/>
  <c r="BB16" i="20" a="1"/>
  <c r="BA18" i="20" a="1"/>
  <c r="E22" i="26" l="1"/>
  <c r="D39" i="29"/>
  <c r="K33" i="29"/>
  <c r="M33" i="29"/>
  <c r="N33" i="29" s="1"/>
  <c r="L33" i="29"/>
  <c r="E29" i="27"/>
  <c r="G29" i="27" s="1"/>
  <c r="D30" i="27" s="1"/>
  <c r="E30" i="27" s="1"/>
  <c r="G30" i="27" s="1"/>
  <c r="D31" i="27" s="1"/>
  <c r="BB16" i="20"/>
  <c r="H15" i="29"/>
  <c r="BA18" i="20"/>
  <c r="AY18" i="20" s="1" a="1"/>
  <c r="AY18" i="20" s="1"/>
  <c r="A5" i="24"/>
  <c r="A4" i="24"/>
  <c r="BB18" i="20" a="1"/>
  <c r="C22" i="23" a="1"/>
  <c r="R33" i="29" l="1"/>
  <c r="P33" i="29"/>
  <c r="E23" i="26"/>
  <c r="D40" i="29"/>
  <c r="E31" i="27"/>
  <c r="G31" i="27" s="1"/>
  <c r="D32" i="27" s="1"/>
  <c r="C22" i="23"/>
  <c r="BB18" i="20"/>
  <c r="H17" i="29"/>
  <c r="C4" i="24" a="1"/>
  <c r="C4" i="24" s="1"/>
  <c r="D4" i="24" a="1"/>
  <c r="D4" i="24" s="1"/>
  <c r="E4" i="24" a="1"/>
  <c r="E4" i="24" s="1"/>
  <c r="G4" i="24"/>
  <c r="B4" i="24"/>
  <c r="F4" i="24"/>
  <c r="A6" i="24"/>
  <c r="H4" i="24"/>
  <c r="E5" i="24" a="1"/>
  <c r="E5" i="24" s="1"/>
  <c r="C5" i="24" a="1"/>
  <c r="C5" i="24" s="1"/>
  <c r="D5" i="24" a="1"/>
  <c r="D5" i="24" s="1"/>
  <c r="A7" i="24"/>
  <c r="F5" i="24"/>
  <c r="B5" i="24"/>
  <c r="G5" i="24"/>
  <c r="H5" i="24"/>
  <c r="C24" i="23" a="1"/>
  <c r="E24" i="26" l="1"/>
  <c r="D41" i="29"/>
  <c r="O34" i="29"/>
  <c r="G34" i="29"/>
  <c r="Q34" i="29"/>
  <c r="E32" i="27"/>
  <c r="G32" i="27" s="1"/>
  <c r="D33" i="27" s="1"/>
  <c r="E33" i="27" s="1"/>
  <c r="G33" i="27" s="1"/>
  <c r="D34" i="27" s="1"/>
  <c r="C24" i="23"/>
  <c r="C6" i="24" a="1"/>
  <c r="C6" i="24" s="1"/>
  <c r="D6" i="24" a="1"/>
  <c r="D6" i="24" s="1"/>
  <c r="E6" i="24" a="1"/>
  <c r="E6" i="24" s="1"/>
  <c r="G6" i="24"/>
  <c r="A8" i="24"/>
  <c r="B6" i="24"/>
  <c r="F6" i="24"/>
  <c r="H6" i="24"/>
  <c r="D7" i="24" a="1"/>
  <c r="D7" i="24" s="1"/>
  <c r="E7" i="24" a="1"/>
  <c r="E7" i="24" s="1"/>
  <c r="C7" i="24" a="1"/>
  <c r="C7" i="24" s="1"/>
  <c r="F7" i="24"/>
  <c r="H7" i="24"/>
  <c r="A9" i="24"/>
  <c r="G7" i="24"/>
  <c r="B7" i="24"/>
  <c r="H34" i="29" l="1"/>
  <c r="J34" i="29" s="1"/>
  <c r="D42" i="29"/>
  <c r="E25" i="26"/>
  <c r="E34" i="27"/>
  <c r="G34" i="27" s="1"/>
  <c r="D35" i="27" s="1"/>
  <c r="E35" i="27" s="1"/>
  <c r="G35" i="27" s="1"/>
  <c r="D36" i="27" s="1"/>
  <c r="E36" i="27" s="1"/>
  <c r="G36" i="27" s="1"/>
  <c r="D37" i="27" s="1"/>
  <c r="D9" i="24" a="1"/>
  <c r="D9" i="24" s="1"/>
  <c r="E9" i="24" a="1"/>
  <c r="E9" i="24" s="1"/>
  <c r="C9" i="24" a="1"/>
  <c r="C9" i="24" s="1"/>
  <c r="H9" i="24"/>
  <c r="G9" i="24"/>
  <c r="B9" i="24"/>
  <c r="F9" i="24"/>
  <c r="A11" i="24"/>
  <c r="C8" i="24" a="1"/>
  <c r="C8" i="24" s="1"/>
  <c r="D8" i="24" a="1"/>
  <c r="D8" i="24" s="1"/>
  <c r="E8" i="24" a="1"/>
  <c r="E8" i="24" s="1"/>
  <c r="H8" i="24"/>
  <c r="F8" i="24"/>
  <c r="A10" i="24"/>
  <c r="G8" i="24"/>
  <c r="B8" i="24"/>
  <c r="D43" i="29" l="1"/>
  <c r="E26" i="26"/>
  <c r="F8" i="26"/>
  <c r="M34" i="29"/>
  <c r="N34" i="29" s="1"/>
  <c r="K34" i="29"/>
  <c r="E37" i="27"/>
  <c r="G37" i="27" s="1"/>
  <c r="D38" i="27" s="1"/>
  <c r="E11" i="24" a="1"/>
  <c r="E11" i="24" s="1"/>
  <c r="D11" i="24" a="1"/>
  <c r="D11" i="24" s="1"/>
  <c r="C11" i="24" a="1"/>
  <c r="C11" i="24" s="1"/>
  <c r="F11" i="24"/>
  <c r="A13" i="24"/>
  <c r="H11" i="24"/>
  <c r="G11" i="24"/>
  <c r="B11" i="24"/>
  <c r="C10" i="24" a="1"/>
  <c r="C10" i="24" s="1"/>
  <c r="D10" i="24" a="1"/>
  <c r="D10" i="24" s="1"/>
  <c r="E10" i="24" a="1"/>
  <c r="E10" i="24" s="1"/>
  <c r="H10" i="24"/>
  <c r="G10" i="24"/>
  <c r="B10" i="24"/>
  <c r="F10" i="24"/>
  <c r="A12" i="24"/>
  <c r="BA2" i="20" a="1"/>
  <c r="R34" i="29" l="1"/>
  <c r="Q35" i="29" s="1"/>
  <c r="BA2" i="20"/>
  <c r="AY2" i="20" s="1" a="1"/>
  <c r="AY2" i="20" s="1"/>
  <c r="L34" i="29"/>
  <c r="P34" i="29" s="1"/>
  <c r="E27" i="26"/>
  <c r="D44" i="29"/>
  <c r="E38" i="27"/>
  <c r="G38" i="27" s="1"/>
  <c r="D39" i="27" s="1"/>
  <c r="E13" i="24" a="1"/>
  <c r="E13" i="24" s="1"/>
  <c r="C13" i="24" a="1"/>
  <c r="C13" i="24" s="1"/>
  <c r="D13" i="24" a="1"/>
  <c r="D13" i="24" s="1"/>
  <c r="H13" i="24"/>
  <c r="G13" i="24"/>
  <c r="B13" i="24"/>
  <c r="F13" i="24"/>
  <c r="A15" i="24"/>
  <c r="C12" i="24" a="1"/>
  <c r="C12" i="24" s="1"/>
  <c r="D12" i="24" a="1"/>
  <c r="D12" i="24" s="1"/>
  <c r="E12" i="24" a="1"/>
  <c r="E12" i="24" s="1"/>
  <c r="B12" i="24"/>
  <c r="F12" i="24"/>
  <c r="A14" i="24"/>
  <c r="H12" i="24"/>
  <c r="G12" i="24"/>
  <c r="BB2" i="20" a="1"/>
  <c r="G35" i="29" l="1"/>
  <c r="H35" i="29" s="1"/>
  <c r="J35" i="29" s="1"/>
  <c r="BB2" i="20"/>
  <c r="E28" i="26"/>
  <c r="D45" i="29"/>
  <c r="O35" i="29"/>
  <c r="G8" i="26"/>
  <c r="E39" i="27"/>
  <c r="G39" i="27" s="1"/>
  <c r="D40" i="27" s="1"/>
  <c r="E40" i="27" s="1"/>
  <c r="G40" i="27" s="1"/>
  <c r="D41" i="27" s="1"/>
  <c r="E15" i="24" a="1"/>
  <c r="E15" i="24" s="1"/>
  <c r="C15" i="24" a="1"/>
  <c r="C15" i="24" s="1"/>
  <c r="D15" i="24" a="1"/>
  <c r="D15" i="24" s="1"/>
  <c r="A17" i="24"/>
  <c r="H15" i="24"/>
  <c r="B15" i="24"/>
  <c r="G15" i="24"/>
  <c r="F15" i="24"/>
  <c r="C14" i="24" a="1"/>
  <c r="C14" i="24" s="1"/>
  <c r="D14" i="24" a="1"/>
  <c r="D14" i="24" s="1"/>
  <c r="E14" i="24" a="1"/>
  <c r="E14" i="24" s="1"/>
  <c r="A16" i="24"/>
  <c r="H14" i="24"/>
  <c r="G14" i="24"/>
  <c r="B14" i="24"/>
  <c r="F14" i="24"/>
  <c r="C8" i="23" a="1"/>
  <c r="C8" i="23" l="1"/>
  <c r="E29" i="26"/>
  <c r="D46" i="29"/>
  <c r="M35" i="29"/>
  <c r="N35" i="29" s="1"/>
  <c r="K35" i="29"/>
  <c r="L35" i="29"/>
  <c r="E41" i="27"/>
  <c r="G41" i="27" s="1"/>
  <c r="D42" i="27" s="1"/>
  <c r="E42" i="27" s="1"/>
  <c r="G42" i="27" s="1"/>
  <c r="D43" i="27" s="1"/>
  <c r="C16" i="24" a="1"/>
  <c r="C16" i="24" s="1"/>
  <c r="D16" i="24" a="1"/>
  <c r="D16" i="24" s="1"/>
  <c r="E16" i="24" a="1"/>
  <c r="E16" i="24" s="1"/>
  <c r="H16" i="24"/>
  <c r="B16" i="24"/>
  <c r="A18" i="24"/>
  <c r="G16" i="24"/>
  <c r="F16" i="24"/>
  <c r="C17" i="24" a="1"/>
  <c r="C17" i="24" s="1"/>
  <c r="D17" i="24" a="1"/>
  <c r="D17" i="24" s="1"/>
  <c r="E17" i="24" a="1"/>
  <c r="E17" i="24" s="1"/>
  <c r="G17" i="24"/>
  <c r="B17" i="24"/>
  <c r="H17" i="24"/>
  <c r="A19" i="24"/>
  <c r="F17" i="24"/>
  <c r="P35" i="29" l="1"/>
  <c r="O36" i="29" s="1"/>
  <c r="R35" i="29"/>
  <c r="E30" i="26"/>
  <c r="D47" i="29"/>
  <c r="E43" i="27"/>
  <c r="G43" i="27" s="1"/>
  <c r="D44" i="27" s="1"/>
  <c r="C18" i="24" a="1"/>
  <c r="C18" i="24" s="1"/>
  <c r="D18" i="24" a="1"/>
  <c r="D18" i="24" s="1"/>
  <c r="E18" i="24" a="1"/>
  <c r="E18" i="24" s="1"/>
  <c r="H18" i="24"/>
  <c r="A20" i="24"/>
  <c r="G18" i="24"/>
  <c r="B18" i="24"/>
  <c r="F18" i="24"/>
  <c r="C19" i="24" a="1"/>
  <c r="C19" i="24" s="1"/>
  <c r="E19" i="24" a="1"/>
  <c r="E19" i="24" s="1"/>
  <c r="D19" i="24" a="1"/>
  <c r="D19" i="24" s="1"/>
  <c r="F19" i="24"/>
  <c r="A21" i="24"/>
  <c r="G19" i="24"/>
  <c r="B19" i="24"/>
  <c r="H19" i="24"/>
  <c r="E31" i="26" l="1"/>
  <c r="D48" i="29"/>
  <c r="Q36" i="29"/>
  <c r="G36" i="29"/>
  <c r="H36" i="29" s="1"/>
  <c r="E44" i="27"/>
  <c r="G44" i="27" s="1"/>
  <c r="D45" i="27" s="1"/>
  <c r="E45" i="27" s="1"/>
  <c r="G45" i="27" s="1"/>
  <c r="D46" i="27" s="1"/>
  <c r="E46" i="27" s="1"/>
  <c r="G46" i="27" s="1"/>
  <c r="D47" i="27" s="1"/>
  <c r="E47" i="27" s="1"/>
  <c r="G47" i="27" s="1"/>
  <c r="D48" i="27" s="1"/>
  <c r="C21" i="24" a="1"/>
  <c r="C21" i="24" s="1"/>
  <c r="D21" i="24" a="1"/>
  <c r="D21" i="24" s="1"/>
  <c r="E21" i="24" a="1"/>
  <c r="E21" i="24" s="1"/>
  <c r="F21" i="24"/>
  <c r="A23" i="24"/>
  <c r="H21" i="24"/>
  <c r="B21" i="24"/>
  <c r="G21" i="24"/>
  <c r="C20" i="24" a="1"/>
  <c r="C20" i="24" s="1"/>
  <c r="D20" i="24" a="1"/>
  <c r="D20" i="24" s="1"/>
  <c r="E20" i="24" a="1"/>
  <c r="E20" i="24" s="1"/>
  <c r="A22" i="24"/>
  <c r="B20" i="24"/>
  <c r="H20" i="24"/>
  <c r="F20" i="24"/>
  <c r="G20" i="24"/>
  <c r="J36" i="29" l="1"/>
  <c r="E32" i="26"/>
  <c r="D49" i="29"/>
  <c r="E48" i="27"/>
  <c r="G48" i="27" s="1"/>
  <c r="D49" i="27" s="1"/>
  <c r="C23" i="24" a="1"/>
  <c r="C23" i="24" s="1"/>
  <c r="D23" i="24" a="1"/>
  <c r="D23" i="24" s="1"/>
  <c r="E23" i="24" a="1"/>
  <c r="E23" i="24" s="1"/>
  <c r="A25" i="24"/>
  <c r="H23" i="24"/>
  <c r="G23" i="24"/>
  <c r="F23" i="24"/>
  <c r="B23" i="24"/>
  <c r="D22" i="24" a="1"/>
  <c r="D22" i="24" s="1"/>
  <c r="E22" i="24" a="1"/>
  <c r="E22" i="24" s="1"/>
  <c r="C22" i="24" a="1"/>
  <c r="C22" i="24" s="1"/>
  <c r="A24" i="24"/>
  <c r="H22" i="24"/>
  <c r="G22" i="24"/>
  <c r="B22" i="24"/>
  <c r="F22" i="24"/>
  <c r="E33" i="26" l="1"/>
  <c r="D50" i="29"/>
  <c r="K36" i="29"/>
  <c r="L36" i="29"/>
  <c r="M36" i="29"/>
  <c r="N36" i="29" s="1"/>
  <c r="R36" i="29" s="1"/>
  <c r="E49" i="27"/>
  <c r="G49" i="27" s="1"/>
  <c r="D50" i="27" s="1"/>
  <c r="E50" i="27" s="1"/>
  <c r="G50" i="27" s="1"/>
  <c r="D51" i="27" s="1"/>
  <c r="E51" i="27" s="1"/>
  <c r="G51" i="27" s="1"/>
  <c r="D52" i="27" s="1"/>
  <c r="E52" i="27" s="1"/>
  <c r="G52" i="27" s="1"/>
  <c r="D53" i="27" s="1"/>
  <c r="D24" i="24" a="1"/>
  <c r="D24" i="24" s="1"/>
  <c r="E24" i="24" a="1"/>
  <c r="E24" i="24" s="1"/>
  <c r="C24" i="24" a="1"/>
  <c r="C24" i="24" s="1"/>
  <c r="H24" i="24"/>
  <c r="B24" i="24"/>
  <c r="F24" i="24"/>
  <c r="G24" i="24"/>
  <c r="A26" i="24"/>
  <c r="C25" i="24" a="1"/>
  <c r="C25" i="24" s="1"/>
  <c r="D25" i="24" a="1"/>
  <c r="D25" i="24" s="1"/>
  <c r="E25" i="24" a="1"/>
  <c r="E25" i="24" s="1"/>
  <c r="B25" i="24"/>
  <c r="G25" i="24"/>
  <c r="F25" i="24"/>
  <c r="H25" i="24"/>
  <c r="A27" i="24"/>
  <c r="P36" i="29" l="1"/>
  <c r="O37" i="29" s="1"/>
  <c r="Q37" i="29"/>
  <c r="G37" i="29"/>
  <c r="H37" i="29" s="1"/>
  <c r="E34" i="26"/>
  <c r="D51" i="29"/>
  <c r="E53" i="27"/>
  <c r="G53" i="27" s="1"/>
  <c r="D54" i="27" s="1"/>
  <c r="C27" i="24" a="1"/>
  <c r="C27" i="24" s="1"/>
  <c r="D27" i="24" a="1"/>
  <c r="D27" i="24" s="1"/>
  <c r="E27" i="24" a="1"/>
  <c r="E27" i="24" s="1"/>
  <c r="F27" i="24"/>
  <c r="A29" i="24"/>
  <c r="H27" i="24"/>
  <c r="B27" i="24"/>
  <c r="G27" i="24"/>
  <c r="D26" i="24" a="1"/>
  <c r="D26" i="24" s="1"/>
  <c r="E26" i="24" a="1"/>
  <c r="E26" i="24" s="1"/>
  <c r="C26" i="24" a="1"/>
  <c r="C26" i="24" s="1"/>
  <c r="H26" i="24"/>
  <c r="F26" i="24"/>
  <c r="G26" i="24"/>
  <c r="B26" i="24"/>
  <c r="A28" i="24"/>
  <c r="E35" i="26" l="1"/>
  <c r="D52" i="29"/>
  <c r="J37" i="29"/>
  <c r="E54" i="27"/>
  <c r="G54" i="27" s="1"/>
  <c r="D55" i="27" s="1"/>
  <c r="E55" i="27" s="1"/>
  <c r="G55" i="27" s="1"/>
  <c r="D56" i="27" s="1"/>
  <c r="E56" i="27" s="1"/>
  <c r="G56" i="27" s="1"/>
  <c r="D57" i="27" s="1"/>
  <c r="E57" i="27" s="1"/>
  <c r="E28" i="24" a="1"/>
  <c r="E28" i="24" s="1"/>
  <c r="D28" i="24" a="1"/>
  <c r="D28" i="24" s="1"/>
  <c r="C28" i="24" a="1"/>
  <c r="C28" i="24" s="1"/>
  <c r="B28" i="24"/>
  <c r="F28" i="24"/>
  <c r="H28" i="24"/>
  <c r="A30" i="24"/>
  <c r="G28" i="24"/>
  <c r="C29" i="24" a="1"/>
  <c r="C29" i="24" s="1"/>
  <c r="D29" i="24" a="1"/>
  <c r="D29" i="24" s="1"/>
  <c r="E29" i="24" a="1"/>
  <c r="E29" i="24" s="1"/>
  <c r="H29" i="24"/>
  <c r="G29" i="24"/>
  <c r="B29" i="24"/>
  <c r="A31" i="24"/>
  <c r="F29" i="24"/>
  <c r="K37" i="29" l="1"/>
  <c r="L37" i="29"/>
  <c r="M37" i="29"/>
  <c r="G20" i="29" s="1"/>
  <c r="E36" i="26"/>
  <c r="D53" i="29"/>
  <c r="G57" i="27"/>
  <c r="D58" i="27" s="1"/>
  <c r="E58" i="27" s="1"/>
  <c r="G58" i="27" s="1"/>
  <c r="D59" i="27" s="1"/>
  <c r="E30" i="24" a="1"/>
  <c r="E30" i="24" s="1"/>
  <c r="C30" i="24" a="1"/>
  <c r="C30" i="24" s="1"/>
  <c r="D30" i="24" a="1"/>
  <c r="D30" i="24" s="1"/>
  <c r="A32" i="24"/>
  <c r="H30" i="24"/>
  <c r="B30" i="24"/>
  <c r="G30" i="24"/>
  <c r="F30" i="24"/>
  <c r="C31" i="24" a="1"/>
  <c r="C31" i="24" s="1"/>
  <c r="D31" i="24" a="1"/>
  <c r="D31" i="24" s="1"/>
  <c r="E31" i="24" a="1"/>
  <c r="E31" i="24" s="1"/>
  <c r="A33" i="24"/>
  <c r="H31" i="24"/>
  <c r="G31" i="24"/>
  <c r="F31" i="24"/>
  <c r="B31" i="24"/>
  <c r="N37" i="29" l="1"/>
  <c r="R37" i="29" s="1"/>
  <c r="E37" i="26"/>
  <c r="D54" i="29"/>
  <c r="P37" i="29"/>
  <c r="O38" i="29" s="1"/>
  <c r="E59" i="27"/>
  <c r="G59" i="27" s="1"/>
  <c r="D60" i="27" s="1"/>
  <c r="C33" i="24" a="1"/>
  <c r="C33" i="24" s="1"/>
  <c r="D33" i="24" a="1"/>
  <c r="D33" i="24" s="1"/>
  <c r="E33" i="24" a="1"/>
  <c r="E33" i="24" s="1"/>
  <c r="G33" i="24"/>
  <c r="B33" i="24"/>
  <c r="A35" i="24"/>
  <c r="H33" i="24"/>
  <c r="F33" i="24"/>
  <c r="C32" i="24" a="1"/>
  <c r="C32" i="24" s="1"/>
  <c r="D32" i="24" a="1"/>
  <c r="D32" i="24" s="1"/>
  <c r="E32" i="24" a="1"/>
  <c r="E32" i="24" s="1"/>
  <c r="H32" i="24"/>
  <c r="G32" i="24"/>
  <c r="B32" i="24"/>
  <c r="A34" i="24"/>
  <c r="F32" i="24"/>
  <c r="E38" i="26" l="1"/>
  <c r="D55" i="29"/>
  <c r="Q38" i="29"/>
  <c r="G38" i="29"/>
  <c r="H38" i="29" s="1"/>
  <c r="E60" i="27"/>
  <c r="G60" i="27" s="1"/>
  <c r="D61" i="27" s="1"/>
  <c r="C34" i="24" a="1"/>
  <c r="C34" i="24" s="1"/>
  <c r="D34" i="24" a="1"/>
  <c r="D34" i="24" s="1"/>
  <c r="E34" i="24" a="1"/>
  <c r="E34" i="24" s="1"/>
  <c r="H34" i="24"/>
  <c r="G34" i="24"/>
  <c r="B34" i="24"/>
  <c r="F34" i="24"/>
  <c r="A36" i="24"/>
  <c r="C35" i="24" a="1"/>
  <c r="C35" i="24" s="1"/>
  <c r="D35" i="24" a="1"/>
  <c r="D35" i="24" s="1"/>
  <c r="E35" i="24" a="1"/>
  <c r="E35" i="24" s="1"/>
  <c r="F35" i="24"/>
  <c r="A37" i="24"/>
  <c r="G35" i="24"/>
  <c r="H35" i="24"/>
  <c r="B35" i="24"/>
  <c r="E39" i="26" l="1"/>
  <c r="D56" i="29"/>
  <c r="J38" i="29"/>
  <c r="E61" i="27"/>
  <c r="G61" i="27" s="1"/>
  <c r="D62" i="27" s="1"/>
  <c r="C36" i="24" a="1"/>
  <c r="C36" i="24" s="1"/>
  <c r="E36" i="24" a="1"/>
  <c r="E36" i="24" s="1"/>
  <c r="D36" i="24" a="1"/>
  <c r="D36" i="24" s="1"/>
  <c r="A38" i="24"/>
  <c r="H36" i="24"/>
  <c r="G36" i="24"/>
  <c r="F36" i="24"/>
  <c r="B36" i="24"/>
  <c r="C37" i="24" a="1"/>
  <c r="C37" i="24" s="1"/>
  <c r="D37" i="24" a="1"/>
  <c r="D37" i="24" s="1"/>
  <c r="E37" i="24" a="1"/>
  <c r="E37" i="24" s="1"/>
  <c r="F37" i="24"/>
  <c r="A39" i="24"/>
  <c r="H37" i="24"/>
  <c r="G37" i="24"/>
  <c r="B37" i="24"/>
  <c r="L38" i="29" l="1"/>
  <c r="M38" i="29"/>
  <c r="N38" i="29" s="1"/>
  <c r="K38" i="29"/>
  <c r="E40" i="26"/>
  <c r="D57" i="29"/>
  <c r="E62" i="27"/>
  <c r="G62" i="27" s="1"/>
  <c r="D63" i="27" s="1"/>
  <c r="D39" i="24" a="1"/>
  <c r="D39" i="24" s="1"/>
  <c r="E39" i="24" a="1"/>
  <c r="E39" i="24" s="1"/>
  <c r="C39" i="24" a="1"/>
  <c r="C39" i="24" s="1"/>
  <c r="A41" i="24"/>
  <c r="H39" i="24"/>
  <c r="F39" i="24"/>
  <c r="G39" i="24"/>
  <c r="B39" i="24"/>
  <c r="C38" i="24" a="1"/>
  <c r="C38" i="24" s="1"/>
  <c r="D38" i="24" a="1"/>
  <c r="D38" i="24" s="1"/>
  <c r="E38" i="24" a="1"/>
  <c r="E38" i="24" s="1"/>
  <c r="A40" i="24"/>
  <c r="H38" i="24"/>
  <c r="G38" i="24"/>
  <c r="F38" i="24"/>
  <c r="B38" i="24"/>
  <c r="E41" i="26" l="1"/>
  <c r="D58" i="29"/>
  <c r="R38" i="29"/>
  <c r="P38" i="29"/>
  <c r="O39" i="29" s="1"/>
  <c r="E63" i="27"/>
  <c r="G63" i="27" s="1"/>
  <c r="D64" i="27" s="1"/>
  <c r="C40" i="24" a="1"/>
  <c r="C40" i="24" s="1"/>
  <c r="D40" i="24" a="1"/>
  <c r="D40" i="24" s="1"/>
  <c r="E40" i="24" a="1"/>
  <c r="E40" i="24" s="1"/>
  <c r="H40" i="24"/>
  <c r="A42" i="24"/>
  <c r="G40" i="24"/>
  <c r="F40" i="24"/>
  <c r="B40" i="24"/>
  <c r="D41" i="24" a="1"/>
  <c r="D41" i="24" s="1"/>
  <c r="E41" i="24" a="1"/>
  <c r="E41" i="24" s="1"/>
  <c r="C41" i="24" a="1"/>
  <c r="C41" i="24" s="1"/>
  <c r="G41" i="24"/>
  <c r="A43" i="24"/>
  <c r="B41" i="24"/>
  <c r="F41" i="24"/>
  <c r="H41" i="24"/>
  <c r="G39" i="29" l="1"/>
  <c r="H39" i="29" s="1"/>
  <c r="Q39" i="29"/>
  <c r="E42" i="26"/>
  <c r="D59" i="29"/>
  <c r="E64" i="27"/>
  <c r="G64" i="27" s="1"/>
  <c r="D65" i="27" s="1"/>
  <c r="E43" i="24" a="1"/>
  <c r="E43" i="24" s="1"/>
  <c r="C43" i="24" a="1"/>
  <c r="C43" i="24" s="1"/>
  <c r="D43" i="24" a="1"/>
  <c r="D43" i="24" s="1"/>
  <c r="F43" i="24"/>
  <c r="A45" i="24"/>
  <c r="H43" i="24"/>
  <c r="G43" i="24"/>
  <c r="B43" i="24"/>
  <c r="C42" i="24" a="1"/>
  <c r="C42" i="24" s="1"/>
  <c r="D42" i="24" a="1"/>
  <c r="D42" i="24" s="1"/>
  <c r="E42" i="24" a="1"/>
  <c r="E42" i="24" s="1"/>
  <c r="H42" i="24"/>
  <c r="G42" i="24"/>
  <c r="B42" i="24"/>
  <c r="F42" i="24"/>
  <c r="A44" i="24"/>
  <c r="J39" i="29" l="1"/>
  <c r="E43" i="26"/>
  <c r="D60" i="29"/>
  <c r="E65" i="27"/>
  <c r="G65" i="27"/>
  <c r="D66" i="27" s="1"/>
  <c r="E45" i="24" a="1"/>
  <c r="E45" i="24" s="1"/>
  <c r="C45" i="24" a="1"/>
  <c r="C45" i="24" s="1"/>
  <c r="D45" i="24" a="1"/>
  <c r="D45" i="24" s="1"/>
  <c r="H45" i="24"/>
  <c r="G45" i="24"/>
  <c r="B45" i="24"/>
  <c r="A47" i="24"/>
  <c r="F45" i="24"/>
  <c r="C44" i="24" a="1"/>
  <c r="C44" i="24" s="1"/>
  <c r="D44" i="24" a="1"/>
  <c r="D44" i="24" s="1"/>
  <c r="E44" i="24" a="1"/>
  <c r="E44" i="24" s="1"/>
  <c r="B44" i="24"/>
  <c r="F44" i="24"/>
  <c r="H44" i="24"/>
  <c r="A46" i="24"/>
  <c r="G44" i="24"/>
  <c r="E44" i="26" l="1"/>
  <c r="D61" i="29"/>
  <c r="K39" i="29"/>
  <c r="L39" i="29" s="1"/>
  <c r="N39" i="29"/>
  <c r="M39" i="29"/>
  <c r="E66" i="27"/>
  <c r="G66" i="27" s="1"/>
  <c r="D67" i="27" s="1"/>
  <c r="E47" i="24" a="1"/>
  <c r="E47" i="24" s="1"/>
  <c r="C47" i="24" a="1"/>
  <c r="C47" i="24" s="1"/>
  <c r="D47" i="24" a="1"/>
  <c r="D47" i="24" s="1"/>
  <c r="A49" i="24"/>
  <c r="H47" i="24"/>
  <c r="G47" i="24"/>
  <c r="F47" i="24"/>
  <c r="B47" i="24"/>
  <c r="C46" i="24" a="1"/>
  <c r="C46" i="24" s="1"/>
  <c r="D46" i="24" a="1"/>
  <c r="D46" i="24" s="1"/>
  <c r="E46" i="24" a="1"/>
  <c r="E46" i="24" s="1"/>
  <c r="A48" i="24"/>
  <c r="H46" i="24"/>
  <c r="G46" i="24"/>
  <c r="F46" i="24"/>
  <c r="B46" i="24"/>
  <c r="R39" i="29" l="1"/>
  <c r="P39" i="29"/>
  <c r="O40" i="29" s="1"/>
  <c r="E45" i="26"/>
  <c r="D62" i="29"/>
  <c r="E67" i="27"/>
  <c r="G67" i="27" s="1"/>
  <c r="D68" i="27" s="1"/>
  <c r="C48" i="24" a="1"/>
  <c r="C48" i="24" s="1"/>
  <c r="D48" i="24" a="1"/>
  <c r="D48" i="24" s="1"/>
  <c r="E48" i="24" a="1"/>
  <c r="E48" i="24" s="1"/>
  <c r="H48" i="24"/>
  <c r="G48" i="24"/>
  <c r="B48" i="24"/>
  <c r="F48" i="24"/>
  <c r="A50" i="24"/>
  <c r="C49" i="24" a="1"/>
  <c r="C49" i="24" s="1"/>
  <c r="D49" i="24" a="1"/>
  <c r="D49" i="24" s="1"/>
  <c r="E49" i="24" a="1"/>
  <c r="E49" i="24" s="1"/>
  <c r="G49" i="24"/>
  <c r="B49" i="24"/>
  <c r="A51" i="24"/>
  <c r="H49" i="24"/>
  <c r="F49" i="24"/>
  <c r="BA21" i="20" a="1"/>
  <c r="E46" i="26" l="1"/>
  <c r="D63" i="29"/>
  <c r="Q40" i="29"/>
  <c r="G40" i="29"/>
  <c r="H40" i="29" s="1"/>
  <c r="E68" i="27"/>
  <c r="G68" i="27" s="1"/>
  <c r="D69" i="27" s="1"/>
  <c r="BA21" i="20"/>
  <c r="AY21" i="20" s="1" a="1"/>
  <c r="AY21" i="20" s="1"/>
  <c r="C50" i="24" a="1"/>
  <c r="C50" i="24" s="1"/>
  <c r="D50" i="24" a="1"/>
  <c r="D50" i="24" s="1"/>
  <c r="E50" i="24" a="1"/>
  <c r="E50" i="24" s="1"/>
  <c r="H50" i="24"/>
  <c r="G50" i="24"/>
  <c r="B50" i="24"/>
  <c r="F50" i="24"/>
  <c r="A52" i="24"/>
  <c r="C51" i="24" a="1"/>
  <c r="C51" i="24" s="1"/>
  <c r="D51" i="24" a="1"/>
  <c r="D51" i="24" s="1"/>
  <c r="E51" i="24" a="1"/>
  <c r="E51" i="24" s="1"/>
  <c r="F51" i="24"/>
  <c r="A53" i="24"/>
  <c r="H51" i="24"/>
  <c r="G51" i="24"/>
  <c r="B51" i="24"/>
  <c r="BB21" i="20" a="1"/>
  <c r="J40" i="29" l="1"/>
  <c r="E47" i="26"/>
  <c r="D64" i="29"/>
  <c r="E69" i="27"/>
  <c r="G69" i="27" s="1"/>
  <c r="D70" i="27" s="1"/>
  <c r="BB21" i="20"/>
  <c r="H20" i="29"/>
  <c r="C52" i="24" a="1"/>
  <c r="C52" i="24" s="1"/>
  <c r="D52" i="24" a="1"/>
  <c r="D52" i="24" s="1"/>
  <c r="E52" i="24" a="1"/>
  <c r="E52" i="24" s="1"/>
  <c r="B52" i="24"/>
  <c r="F52" i="24"/>
  <c r="A54" i="24"/>
  <c r="G52" i="24"/>
  <c r="H52" i="24"/>
  <c r="C53" i="24" a="1"/>
  <c r="C53" i="24" s="1"/>
  <c r="D53" i="24" a="1"/>
  <c r="D53" i="24" s="1"/>
  <c r="E53" i="24" a="1"/>
  <c r="E53" i="24" s="1"/>
  <c r="H53" i="24"/>
  <c r="G53" i="24"/>
  <c r="B53" i="24"/>
  <c r="F53" i="24"/>
  <c r="A55" i="24"/>
  <c r="C27" i="23" a="1"/>
  <c r="E48" i="26" l="1"/>
  <c r="D65" i="29"/>
  <c r="M40" i="29"/>
  <c r="N40" i="29" s="1"/>
  <c r="K40" i="29"/>
  <c r="L40" i="29" s="1"/>
  <c r="E70" i="27"/>
  <c r="G70" i="27" s="1"/>
  <c r="D71" i="27" s="1"/>
  <c r="C27" i="23"/>
  <c r="C55" i="24" a="1"/>
  <c r="C55" i="24" s="1"/>
  <c r="D55" i="24" a="1"/>
  <c r="D55" i="24" s="1"/>
  <c r="E55" i="24" a="1"/>
  <c r="E55" i="24" s="1"/>
  <c r="A57" i="24"/>
  <c r="H55" i="24"/>
  <c r="B55" i="24"/>
  <c r="F55" i="24"/>
  <c r="G55" i="24"/>
  <c r="D54" i="24" a="1"/>
  <c r="D54" i="24" s="1"/>
  <c r="E54" i="24" a="1"/>
  <c r="E54" i="24" s="1"/>
  <c r="C54" i="24" a="1"/>
  <c r="C54" i="24" s="1"/>
  <c r="A56" i="24"/>
  <c r="H54" i="24"/>
  <c r="B54" i="24"/>
  <c r="G54" i="24"/>
  <c r="F54" i="24"/>
  <c r="P40" i="29" l="1"/>
  <c r="O41" i="29" s="1"/>
  <c r="R40" i="29"/>
  <c r="E49" i="26"/>
  <c r="D66" i="29"/>
  <c r="E71" i="27"/>
  <c r="G71" i="27"/>
  <c r="D72" i="27" s="1"/>
  <c r="D56" i="24" a="1"/>
  <c r="D56" i="24" s="1"/>
  <c r="E56" i="24" a="1"/>
  <c r="E56" i="24" s="1"/>
  <c r="C56" i="24" a="1"/>
  <c r="C56" i="24" s="1"/>
  <c r="H56" i="24"/>
  <c r="G56" i="24"/>
  <c r="F56" i="24"/>
  <c r="B56" i="24"/>
  <c r="A58" i="24"/>
  <c r="C57" i="24" a="1"/>
  <c r="C57" i="24" s="1"/>
  <c r="D57" i="24" a="1"/>
  <c r="D57" i="24" s="1"/>
  <c r="E57" i="24" a="1"/>
  <c r="E57" i="24" s="1"/>
  <c r="G57" i="24"/>
  <c r="B57" i="24"/>
  <c r="F57" i="24"/>
  <c r="H57" i="24"/>
  <c r="A59" i="24"/>
  <c r="E50" i="26" l="1"/>
  <c r="D67" i="29"/>
  <c r="G41" i="29"/>
  <c r="H41" i="29" s="1"/>
  <c r="J41" i="29" s="1"/>
  <c r="Q41" i="29"/>
  <c r="E72" i="27"/>
  <c r="G72" i="27" s="1"/>
  <c r="D73" i="27" s="1"/>
  <c r="C59" i="24" a="1"/>
  <c r="C59" i="24" s="1"/>
  <c r="D59" i="24" a="1"/>
  <c r="D59" i="24" s="1"/>
  <c r="E59" i="24" a="1"/>
  <c r="E59" i="24" s="1"/>
  <c r="F59" i="24"/>
  <c r="A61" i="24"/>
  <c r="G59" i="24"/>
  <c r="B59" i="24"/>
  <c r="H59" i="24"/>
  <c r="D58" i="24" a="1"/>
  <c r="D58" i="24" s="1"/>
  <c r="E58" i="24" a="1"/>
  <c r="E58" i="24" s="1"/>
  <c r="C58" i="24" a="1"/>
  <c r="C58" i="24" s="1"/>
  <c r="H58" i="24"/>
  <c r="G58" i="24"/>
  <c r="B58" i="24"/>
  <c r="F58" i="24"/>
  <c r="A60" i="24"/>
  <c r="K41" i="29" l="1"/>
  <c r="M41" i="29"/>
  <c r="N41" i="29" s="1"/>
  <c r="L41" i="29"/>
  <c r="E51" i="26"/>
  <c r="D68" i="29"/>
  <c r="E73" i="27"/>
  <c r="G73" i="27" s="1"/>
  <c r="D74" i="27" s="1"/>
  <c r="E60" i="24" a="1"/>
  <c r="E60" i="24" s="1"/>
  <c r="C60" i="24" a="1"/>
  <c r="C60" i="24" s="1"/>
  <c r="D60" i="24" a="1"/>
  <c r="D60" i="24" s="1"/>
  <c r="A62" i="24"/>
  <c r="H60" i="24"/>
  <c r="B60" i="24"/>
  <c r="F60" i="24"/>
  <c r="G60" i="24"/>
  <c r="C61" i="24" a="1"/>
  <c r="C61" i="24" s="1"/>
  <c r="D61" i="24" a="1"/>
  <c r="D61" i="24" s="1"/>
  <c r="E61" i="24" a="1"/>
  <c r="E61" i="24" s="1"/>
  <c r="F61" i="24"/>
  <c r="A63" i="24"/>
  <c r="G61" i="24"/>
  <c r="H61" i="24"/>
  <c r="B61" i="24"/>
  <c r="R41" i="29" l="1"/>
  <c r="G42" i="29"/>
  <c r="H42" i="29" s="1"/>
  <c r="Q42" i="29"/>
  <c r="P41" i="29"/>
  <c r="O42" i="29" s="1"/>
  <c r="E52" i="26"/>
  <c r="D69" i="29"/>
  <c r="E74" i="27"/>
  <c r="G74" i="27" s="1"/>
  <c r="D75" i="27" s="1"/>
  <c r="C63" i="24" a="1"/>
  <c r="C63" i="24" s="1"/>
  <c r="D63" i="24" a="1"/>
  <c r="D63" i="24" s="1"/>
  <c r="E63" i="24" a="1"/>
  <c r="E63" i="24" s="1"/>
  <c r="A65" i="24"/>
  <c r="H63" i="24"/>
  <c r="G63" i="24"/>
  <c r="B63" i="24"/>
  <c r="F63" i="24"/>
  <c r="E62" i="24" a="1"/>
  <c r="E62" i="24" s="1"/>
  <c r="D62" i="24" a="1"/>
  <c r="D62" i="24" s="1"/>
  <c r="C62" i="24" a="1"/>
  <c r="C62" i="24" s="1"/>
  <c r="A64" i="24"/>
  <c r="H62" i="24"/>
  <c r="B62" i="24"/>
  <c r="G62" i="24"/>
  <c r="F62" i="24"/>
  <c r="E53" i="26" l="1"/>
  <c r="D70" i="29"/>
  <c r="G21" i="29"/>
  <c r="J42" i="29"/>
  <c r="G16" i="29"/>
  <c r="E75" i="27"/>
  <c r="G75" i="27" s="1"/>
  <c r="D76" i="27" s="1"/>
  <c r="C64" i="24" a="1"/>
  <c r="C64" i="24" s="1"/>
  <c r="D64" i="24" a="1"/>
  <c r="D64" i="24" s="1"/>
  <c r="E64" i="24" a="1"/>
  <c r="E64" i="24" s="1"/>
  <c r="H64" i="24"/>
  <c r="G64" i="24"/>
  <c r="B64" i="24"/>
  <c r="A66" i="24"/>
  <c r="F64" i="24"/>
  <c r="C65" i="24" a="1"/>
  <c r="C65" i="24" s="1"/>
  <c r="D65" i="24" a="1"/>
  <c r="D65" i="24" s="1"/>
  <c r="E65" i="24" a="1"/>
  <c r="E65" i="24" s="1"/>
  <c r="B65" i="24"/>
  <c r="G65" i="24"/>
  <c r="H65" i="24"/>
  <c r="F65" i="24"/>
  <c r="A67" i="24"/>
  <c r="K42" i="29" l="1"/>
  <c r="L42" i="29"/>
  <c r="M42" i="29"/>
  <c r="N42" i="29" s="1"/>
  <c r="G18" i="29"/>
  <c r="E54" i="26"/>
  <c r="D71" i="29"/>
  <c r="E76" i="27"/>
  <c r="G76" i="27" s="1"/>
  <c r="D77" i="27" s="1"/>
  <c r="C67" i="24" a="1"/>
  <c r="C67" i="24" s="1"/>
  <c r="D67" i="24" a="1"/>
  <c r="D67" i="24" s="1"/>
  <c r="E67" i="24" a="1"/>
  <c r="E67" i="24" s="1"/>
  <c r="H67" i="24"/>
  <c r="F67" i="24"/>
  <c r="G67" i="24"/>
  <c r="B67" i="24"/>
  <c r="A69" i="24"/>
  <c r="E66" i="24" a="1"/>
  <c r="E66" i="24" s="1"/>
  <c r="C66" i="24" a="1"/>
  <c r="C66" i="24" s="1"/>
  <c r="D66" i="24" a="1"/>
  <c r="D66" i="24" s="1"/>
  <c r="F66" i="24"/>
  <c r="A68" i="24"/>
  <c r="B66" i="24"/>
  <c r="G66" i="24"/>
  <c r="H66" i="24"/>
  <c r="E55" i="26" l="1"/>
  <c r="D72" i="29"/>
  <c r="P42" i="29"/>
  <c r="O43" i="29" s="1"/>
  <c r="R42" i="29"/>
  <c r="E77" i="27"/>
  <c r="G77" i="27" s="1"/>
  <c r="D78" i="27" s="1"/>
  <c r="C69" i="24" a="1"/>
  <c r="C69" i="24" s="1"/>
  <c r="D69" i="24" a="1"/>
  <c r="D69" i="24" s="1"/>
  <c r="E69" i="24" a="1"/>
  <c r="E69" i="24" s="1"/>
  <c r="F69" i="24"/>
  <c r="A71" i="24"/>
  <c r="H69" i="24"/>
  <c r="G69" i="24"/>
  <c r="B69" i="24"/>
  <c r="C68" i="24" a="1"/>
  <c r="C68" i="24" s="1"/>
  <c r="D68" i="24" a="1"/>
  <c r="D68" i="24" s="1"/>
  <c r="E68" i="24" a="1"/>
  <c r="E68" i="24" s="1"/>
  <c r="A70" i="24"/>
  <c r="H68" i="24"/>
  <c r="G68" i="24"/>
  <c r="B68" i="24"/>
  <c r="F68" i="24"/>
  <c r="Q43" i="29" l="1"/>
  <c r="G43" i="29"/>
  <c r="H43" i="29" s="1"/>
  <c r="J43" i="29" s="1"/>
  <c r="E56" i="26"/>
  <c r="D73" i="29"/>
  <c r="E78" i="27"/>
  <c r="F15" i="27" s="1"/>
  <c r="C71" i="24" a="1"/>
  <c r="C71" i="24" s="1"/>
  <c r="D71" i="24" a="1"/>
  <c r="D71" i="24" s="1"/>
  <c r="E71" i="24" a="1"/>
  <c r="E71" i="24" s="1"/>
  <c r="A73" i="24"/>
  <c r="H71" i="24"/>
  <c r="G71" i="24"/>
  <c r="B71" i="24"/>
  <c r="F71" i="24"/>
  <c r="E70" i="24" a="1"/>
  <c r="E70" i="24" s="1"/>
  <c r="C70" i="24" a="1"/>
  <c r="C70" i="24" s="1"/>
  <c r="D70" i="24" a="1"/>
  <c r="D70" i="24" s="1"/>
  <c r="A72" i="24"/>
  <c r="H70" i="24"/>
  <c r="G70" i="24"/>
  <c r="F70" i="24"/>
  <c r="B70" i="24"/>
  <c r="BA8" i="20" a="1"/>
  <c r="E57" i="26" l="1"/>
  <c r="D74" i="29"/>
  <c r="K43" i="29"/>
  <c r="L43" i="29" s="1"/>
  <c r="N43" i="29"/>
  <c r="M43" i="29"/>
  <c r="G78" i="27"/>
  <c r="BA8" i="20"/>
  <c r="AY8" i="20" s="1" a="1"/>
  <c r="AY8" i="20" s="1"/>
  <c r="E72" i="24" a="1"/>
  <c r="E72" i="24" s="1"/>
  <c r="C72" i="24" a="1"/>
  <c r="C72" i="24" s="1"/>
  <c r="D72" i="24" a="1"/>
  <c r="D72" i="24" s="1"/>
  <c r="H72" i="24"/>
  <c r="B72" i="24"/>
  <c r="F72" i="24"/>
  <c r="G72" i="24"/>
  <c r="A74" i="24"/>
  <c r="C73" i="24" a="1"/>
  <c r="C73" i="24" s="1"/>
  <c r="D73" i="24" a="1"/>
  <c r="D73" i="24" s="1"/>
  <c r="E73" i="24" a="1"/>
  <c r="E73" i="24" s="1"/>
  <c r="B73" i="24"/>
  <c r="G73" i="24"/>
  <c r="F73" i="24"/>
  <c r="H73" i="24"/>
  <c r="A75" i="24"/>
  <c r="BB8" i="20" a="1"/>
  <c r="BA22" i="20" a="1"/>
  <c r="R43" i="29" l="1"/>
  <c r="Q44" i="29" s="1"/>
  <c r="P43" i="29"/>
  <c r="O44" i="29" s="1"/>
  <c r="E58" i="26"/>
  <c r="D75" i="29"/>
  <c r="BB8" i="20"/>
  <c r="K3" i="20" s="1"/>
  <c r="G15" i="27"/>
  <c r="BA22" i="20"/>
  <c r="AY22" i="20" s="1" a="1"/>
  <c r="AY22" i="20" s="1"/>
  <c r="H21" i="29" s="1"/>
  <c r="C75" i="24" a="1"/>
  <c r="C75" i="24" s="1"/>
  <c r="D75" i="24" a="1"/>
  <c r="D75" i="24" s="1"/>
  <c r="E75" i="24" a="1"/>
  <c r="E75" i="24" s="1"/>
  <c r="H75" i="24"/>
  <c r="G75" i="24"/>
  <c r="B75" i="24"/>
  <c r="A77" i="24"/>
  <c r="F75" i="24"/>
  <c r="D74" i="24" a="1"/>
  <c r="D74" i="24" s="1"/>
  <c r="E74" i="24" a="1"/>
  <c r="E74" i="24" s="1"/>
  <c r="C74" i="24" a="1"/>
  <c r="C74" i="24" s="1"/>
  <c r="B74" i="24"/>
  <c r="G74" i="24"/>
  <c r="F74" i="24"/>
  <c r="H74" i="24"/>
  <c r="A76" i="24"/>
  <c r="BB22" i="20" a="1"/>
  <c r="C14" i="23" a="1"/>
  <c r="BA17" i="20" a="1"/>
  <c r="C28" i="23" a="1"/>
  <c r="G44" i="29" l="1"/>
  <c r="H44" i="29" s="1"/>
  <c r="J44" i="29" s="1"/>
  <c r="K44" i="29" s="1"/>
  <c r="E59" i="26"/>
  <c r="D76" i="29"/>
  <c r="C14" i="23"/>
  <c r="BB22" i="20"/>
  <c r="BA17" i="20"/>
  <c r="AY17" i="20" s="1" a="1"/>
  <c r="AY17" i="20" s="1"/>
  <c r="C28" i="23"/>
  <c r="C77" i="24" a="1"/>
  <c r="C77" i="24" s="1"/>
  <c r="D77" i="24" a="1"/>
  <c r="D77" i="24" s="1"/>
  <c r="E77" i="24" a="1"/>
  <c r="E77" i="24" s="1"/>
  <c r="A79" i="24"/>
  <c r="H77" i="24"/>
  <c r="B77" i="24"/>
  <c r="F77" i="24"/>
  <c r="G77" i="24"/>
  <c r="E76" i="24" a="1"/>
  <c r="E76" i="24" s="1"/>
  <c r="C76" i="24" a="1"/>
  <c r="C76" i="24" s="1"/>
  <c r="D76" i="24" a="1"/>
  <c r="D76" i="24" s="1"/>
  <c r="F76" i="24"/>
  <c r="A78" i="24"/>
  <c r="G76" i="24"/>
  <c r="H76" i="24"/>
  <c r="B76" i="24"/>
  <c r="BB17" i="20" a="1"/>
  <c r="BA19" i="20" a="1"/>
  <c r="M44" i="29" l="1"/>
  <c r="N44" i="29" s="1"/>
  <c r="R44" i="29" s="1"/>
  <c r="Q45" i="29" s="1"/>
  <c r="L44" i="29"/>
  <c r="E60" i="26"/>
  <c r="D77" i="29"/>
  <c r="BA19" i="20"/>
  <c r="AY19" i="20" s="1" a="1"/>
  <c r="AY19" i="20" s="1"/>
  <c r="BB17" i="20"/>
  <c r="H16" i="29"/>
  <c r="D78" i="24" a="1"/>
  <c r="D78" i="24" s="1"/>
  <c r="E78" i="24" a="1"/>
  <c r="E78" i="24" s="1"/>
  <c r="C78" i="24" a="1"/>
  <c r="C78" i="24" s="1"/>
  <c r="H78" i="24"/>
  <c r="G78" i="24"/>
  <c r="B78" i="24"/>
  <c r="F78" i="24"/>
  <c r="A80" i="24"/>
  <c r="C79" i="24" a="1"/>
  <c r="C79" i="24" s="1"/>
  <c r="D79" i="24" a="1"/>
  <c r="D79" i="24" s="1"/>
  <c r="E79" i="24" a="1"/>
  <c r="E79" i="24" s="1"/>
  <c r="A81" i="24"/>
  <c r="H79" i="24"/>
  <c r="B79" i="24"/>
  <c r="G79" i="24"/>
  <c r="F79" i="24"/>
  <c r="BB19" i="20" a="1"/>
  <c r="C23" i="23" a="1"/>
  <c r="G45" i="29" l="1"/>
  <c r="H45" i="29" s="1"/>
  <c r="J45" i="29" s="1"/>
  <c r="P44" i="29"/>
  <c r="O45" i="29" s="1"/>
  <c r="E61" i="26"/>
  <c r="D78" i="29"/>
  <c r="L45" i="29"/>
  <c r="M45" i="29"/>
  <c r="N45" i="29" s="1"/>
  <c r="R45" i="29" s="1"/>
  <c r="K45" i="29"/>
  <c r="C23" i="23"/>
  <c r="BB19" i="20"/>
  <c r="H18" i="29"/>
  <c r="D80" i="24" a="1"/>
  <c r="D80" i="24" s="1"/>
  <c r="E80" i="24" a="1"/>
  <c r="E80" i="24" s="1"/>
  <c r="C80" i="24" a="1"/>
  <c r="C80" i="24" s="1"/>
  <c r="B80" i="24"/>
  <c r="F80" i="24"/>
  <c r="H80" i="24"/>
  <c r="G80" i="24"/>
  <c r="A82" i="24"/>
  <c r="C81" i="24" a="1"/>
  <c r="C81" i="24" s="1"/>
  <c r="D81" i="24" a="1"/>
  <c r="D81" i="24" s="1"/>
  <c r="E81" i="24" a="1"/>
  <c r="E81" i="24" s="1"/>
  <c r="H81" i="24"/>
  <c r="F81" i="24"/>
  <c r="G81" i="24"/>
  <c r="B81" i="24"/>
  <c r="A83" i="24"/>
  <c r="C25" i="23" a="1"/>
  <c r="P45" i="29" l="1"/>
  <c r="O46" i="29" s="1"/>
  <c r="Q46" i="29"/>
  <c r="G46" i="29"/>
  <c r="H46" i="29" s="1"/>
  <c r="J46" i="29" s="1"/>
  <c r="E62" i="26"/>
  <c r="D79" i="29"/>
  <c r="C25" i="23"/>
  <c r="D82" i="24" a="1"/>
  <c r="D82" i="24" s="1"/>
  <c r="E82" i="24" a="1"/>
  <c r="E82" i="24" s="1"/>
  <c r="C82" i="24" a="1"/>
  <c r="C82" i="24" s="1"/>
  <c r="G82" i="24"/>
  <c r="B82" i="24"/>
  <c r="A84" i="24"/>
  <c r="H82" i="24"/>
  <c r="F82" i="24"/>
  <c r="C83" i="24" a="1"/>
  <c r="C83" i="24" s="1"/>
  <c r="D83" i="24" a="1"/>
  <c r="D83" i="24" s="1"/>
  <c r="E83" i="24" a="1"/>
  <c r="E83" i="24" s="1"/>
  <c r="H83" i="24"/>
  <c r="G83" i="24"/>
  <c r="B83" i="24"/>
  <c r="F83" i="24"/>
  <c r="A85" i="24"/>
  <c r="K46" i="29" l="1"/>
  <c r="M46" i="29"/>
  <c r="N46" i="29" s="1"/>
  <c r="R46" i="29" s="1"/>
  <c r="L46" i="29"/>
  <c r="E63" i="26"/>
  <c r="D80" i="29"/>
  <c r="D84" i="24" a="1"/>
  <c r="D84" i="24" s="1"/>
  <c r="E84" i="24" a="1"/>
  <c r="E84" i="24" s="1"/>
  <c r="C84" i="24" a="1"/>
  <c r="C84" i="24" s="1"/>
  <c r="F84" i="24"/>
  <c r="A86" i="24"/>
  <c r="G84" i="24"/>
  <c r="B84" i="24"/>
  <c r="H84" i="24"/>
  <c r="C85" i="24" a="1"/>
  <c r="C85" i="24" s="1"/>
  <c r="D85" i="24" a="1"/>
  <c r="D85" i="24" s="1"/>
  <c r="E85" i="24" a="1"/>
  <c r="E85" i="24" s="1"/>
  <c r="A87" i="24"/>
  <c r="H85" i="24"/>
  <c r="G85" i="24"/>
  <c r="B85" i="24"/>
  <c r="F85" i="24"/>
  <c r="P46" i="29" l="1"/>
  <c r="O47" i="29" s="1"/>
  <c r="Q47" i="29"/>
  <c r="G47" i="29"/>
  <c r="H47" i="29" s="1"/>
  <c r="J47" i="29" s="1"/>
  <c r="E64" i="26"/>
  <c r="D81" i="29"/>
  <c r="D86" i="24" a="1"/>
  <c r="D86" i="24" s="1"/>
  <c r="E86" i="24" a="1"/>
  <c r="E86" i="24" s="1"/>
  <c r="C86" i="24" a="1"/>
  <c r="C86" i="24" s="1"/>
  <c r="H86" i="24"/>
  <c r="B86" i="24"/>
  <c r="A88" i="24"/>
  <c r="G86" i="24"/>
  <c r="F86" i="24"/>
  <c r="C87" i="24" a="1"/>
  <c r="C87" i="24" s="1"/>
  <c r="D87" i="24" a="1"/>
  <c r="D87" i="24" s="1"/>
  <c r="E87" i="24" a="1"/>
  <c r="E87" i="24" s="1"/>
  <c r="A89" i="24"/>
  <c r="H87" i="24"/>
  <c r="B87" i="24"/>
  <c r="G87" i="24"/>
  <c r="F87" i="24"/>
  <c r="M47" i="29" l="1"/>
  <c r="N47" i="29" s="1"/>
  <c r="L47" i="29"/>
  <c r="K47" i="29"/>
  <c r="E65" i="26"/>
  <c r="D82" i="29"/>
  <c r="R47" i="29"/>
  <c r="C88" i="24" a="1"/>
  <c r="C88" i="24" s="1"/>
  <c r="D88" i="24" a="1"/>
  <c r="D88" i="24" s="1"/>
  <c r="E88" i="24" a="1"/>
  <c r="E88" i="24" s="1"/>
  <c r="A90" i="24"/>
  <c r="B88" i="24"/>
  <c r="H88" i="24"/>
  <c r="G88" i="24"/>
  <c r="F88" i="24"/>
  <c r="C89" i="24" a="1"/>
  <c r="C89" i="24" s="1"/>
  <c r="D89" i="24" a="1"/>
  <c r="D89" i="24" s="1"/>
  <c r="E89" i="24" a="1"/>
  <c r="E89" i="24" s="1"/>
  <c r="F89" i="24"/>
  <c r="A91" i="24"/>
  <c r="H89" i="24"/>
  <c r="G89" i="24"/>
  <c r="B89" i="24"/>
  <c r="E66" i="26" l="1"/>
  <c r="D83" i="29"/>
  <c r="Q48" i="29"/>
  <c r="G48" i="29"/>
  <c r="H48" i="29" s="1"/>
  <c r="J48" i="29" s="1"/>
  <c r="P47" i="29"/>
  <c r="O48" i="29" s="1"/>
  <c r="C91" i="24" a="1"/>
  <c r="C91" i="24" s="1"/>
  <c r="D91" i="24" a="1"/>
  <c r="D91" i="24" s="1"/>
  <c r="E91" i="24" a="1"/>
  <c r="E91" i="24" s="1"/>
  <c r="H91" i="24"/>
  <c r="G91" i="24"/>
  <c r="B91" i="24"/>
  <c r="F91" i="24"/>
  <c r="A93" i="24"/>
  <c r="D90" i="24" a="1"/>
  <c r="D90" i="24" s="1"/>
  <c r="E90" i="24" a="1"/>
  <c r="E90" i="24" s="1"/>
  <c r="C90" i="24" a="1"/>
  <c r="C90" i="24" s="1"/>
  <c r="G90" i="24"/>
  <c r="B90" i="24"/>
  <c r="A92" i="24"/>
  <c r="H90" i="24"/>
  <c r="F90" i="24"/>
  <c r="M48" i="29" l="1"/>
  <c r="N48" i="29" s="1"/>
  <c r="L48" i="29"/>
  <c r="K48" i="29"/>
  <c r="E67" i="26"/>
  <c r="D84" i="29"/>
  <c r="C93" i="24" a="1"/>
  <c r="C93" i="24" s="1"/>
  <c r="D93" i="24" a="1"/>
  <c r="D93" i="24" s="1"/>
  <c r="E93" i="24" a="1"/>
  <c r="E93" i="24" s="1"/>
  <c r="A95" i="24"/>
  <c r="H93" i="24"/>
  <c r="G93" i="24"/>
  <c r="B93" i="24"/>
  <c r="F93" i="24"/>
  <c r="C92" i="24" a="1"/>
  <c r="C92" i="24" s="1"/>
  <c r="D92" i="24" a="1"/>
  <c r="D92" i="24" s="1"/>
  <c r="E92" i="24" a="1"/>
  <c r="E92" i="24" s="1"/>
  <c r="F92" i="24"/>
  <c r="A94" i="24"/>
  <c r="H92" i="24"/>
  <c r="G92" i="24"/>
  <c r="B92" i="24"/>
  <c r="P48" i="29" l="1"/>
  <c r="O49" i="29" s="1"/>
  <c r="E68" i="26"/>
  <c r="D85" i="29"/>
  <c r="R48" i="29"/>
  <c r="C94" i="24" a="1"/>
  <c r="C94" i="24" s="1"/>
  <c r="D94" i="24" a="1"/>
  <c r="D94" i="24" s="1"/>
  <c r="E94" i="24" a="1"/>
  <c r="E94" i="24" s="1"/>
  <c r="H94" i="24"/>
  <c r="G94" i="24"/>
  <c r="B94" i="24"/>
  <c r="F94" i="24"/>
  <c r="A96" i="24"/>
  <c r="E95" i="24" a="1"/>
  <c r="E95" i="24" s="1"/>
  <c r="C95" i="24" a="1"/>
  <c r="C95" i="24" s="1"/>
  <c r="D95" i="24" a="1"/>
  <c r="D95" i="24" s="1"/>
  <c r="A97" i="24"/>
  <c r="G95" i="24"/>
  <c r="F95" i="24"/>
  <c r="H95" i="24"/>
  <c r="B95" i="24"/>
  <c r="E69" i="26" l="1"/>
  <c r="D86" i="29"/>
  <c r="G49" i="29"/>
  <c r="H49" i="29" s="1"/>
  <c r="J49" i="29" s="1"/>
  <c r="Q49" i="29"/>
  <c r="C96" i="24" a="1"/>
  <c r="C96" i="24" s="1"/>
  <c r="D96" i="24" a="1"/>
  <c r="D96" i="24" s="1"/>
  <c r="E96" i="24" a="1"/>
  <c r="E96" i="24" s="1"/>
  <c r="A98" i="24"/>
  <c r="H96" i="24"/>
  <c r="G96" i="24"/>
  <c r="B96" i="24"/>
  <c r="F96" i="24"/>
  <c r="C97" i="24" a="1"/>
  <c r="C97" i="24" s="1"/>
  <c r="D97" i="24" a="1"/>
  <c r="D97" i="24" s="1"/>
  <c r="E97" i="24" a="1"/>
  <c r="E97" i="24" s="1"/>
  <c r="F97" i="24"/>
  <c r="A99" i="24"/>
  <c r="H97" i="24"/>
  <c r="G97" i="24"/>
  <c r="B97" i="24"/>
  <c r="M49" i="29" l="1"/>
  <c r="N49" i="29" s="1"/>
  <c r="L49" i="29"/>
  <c r="P49" i="29" s="1"/>
  <c r="O50" i="29" s="1"/>
  <c r="K49" i="29"/>
  <c r="R49" i="29" s="1"/>
  <c r="E70" i="26"/>
  <c r="D87" i="29"/>
  <c r="C99" i="24" a="1"/>
  <c r="C99" i="24" s="1"/>
  <c r="D99" i="24" a="1"/>
  <c r="D99" i="24" s="1"/>
  <c r="E99" i="24" a="1"/>
  <c r="E99" i="24" s="1"/>
  <c r="H99" i="24"/>
  <c r="G99" i="24"/>
  <c r="B99" i="24"/>
  <c r="F99" i="24"/>
  <c r="A101" i="24"/>
  <c r="C98" i="24" a="1"/>
  <c r="C98" i="24" s="1"/>
  <c r="D98" i="24" a="1"/>
  <c r="D98" i="24" s="1"/>
  <c r="E98" i="24" a="1"/>
  <c r="E98" i="24" s="1"/>
  <c r="G98" i="24"/>
  <c r="B98" i="24"/>
  <c r="F98" i="24"/>
  <c r="A100" i="24"/>
  <c r="H98" i="24"/>
  <c r="Q50" i="29" l="1"/>
  <c r="G50" i="29"/>
  <c r="H50" i="29" s="1"/>
  <c r="J50" i="29" s="1"/>
  <c r="E71" i="26"/>
  <c r="D88" i="29"/>
  <c r="C101" i="24" a="1"/>
  <c r="C101" i="24" s="1"/>
  <c r="D101" i="24" a="1"/>
  <c r="D101" i="24" s="1"/>
  <c r="E101" i="24" a="1"/>
  <c r="E101" i="24" s="1"/>
  <c r="A103" i="24"/>
  <c r="H101" i="24"/>
  <c r="G101" i="24"/>
  <c r="B101" i="24"/>
  <c r="F101" i="24"/>
  <c r="C100" i="24" a="1"/>
  <c r="C100" i="24" s="1"/>
  <c r="D100" i="24" a="1"/>
  <c r="D100" i="24" s="1"/>
  <c r="E100" i="24" a="1"/>
  <c r="E100" i="24" s="1"/>
  <c r="F100" i="24"/>
  <c r="A102" i="24"/>
  <c r="H100" i="24"/>
  <c r="G100" i="24"/>
  <c r="B100" i="24"/>
  <c r="L50" i="29" l="1"/>
  <c r="K50" i="29"/>
  <c r="M50" i="29"/>
  <c r="N50" i="29" s="1"/>
  <c r="E72" i="26"/>
  <c r="D89" i="29"/>
  <c r="C102" i="24" a="1"/>
  <c r="C102" i="24" s="1"/>
  <c r="D102" i="24" a="1"/>
  <c r="D102" i="24" s="1"/>
  <c r="E102" i="24" a="1"/>
  <c r="E102" i="24" s="1"/>
  <c r="H102" i="24"/>
  <c r="F102" i="24"/>
  <c r="A104" i="24"/>
  <c r="G102" i="24"/>
  <c r="B102" i="24"/>
  <c r="C103" i="24" a="1"/>
  <c r="C103" i="24" s="1"/>
  <c r="D103" i="24" a="1"/>
  <c r="D103" i="24" s="1"/>
  <c r="E103" i="24" a="1"/>
  <c r="E103" i="24" s="1"/>
  <c r="A105" i="24"/>
  <c r="F103" i="24"/>
  <c r="H103" i="24"/>
  <c r="G103" i="24"/>
  <c r="B103" i="24"/>
  <c r="R50" i="29" l="1"/>
  <c r="D90" i="29"/>
  <c r="F9" i="26"/>
  <c r="P50" i="29"/>
  <c r="O51" i="29" s="1"/>
  <c r="C104" i="24" a="1"/>
  <c r="C104" i="24" s="1"/>
  <c r="D104" i="24" a="1"/>
  <c r="D104" i="24" s="1"/>
  <c r="E104" i="24" a="1"/>
  <c r="E104" i="24" s="1"/>
  <c r="B104" i="24"/>
  <c r="H104" i="24"/>
  <c r="F104" i="24"/>
  <c r="A106" i="24"/>
  <c r="G104" i="24"/>
  <c r="C105" i="24" a="1"/>
  <c r="C105" i="24" s="1"/>
  <c r="D105" i="24" a="1"/>
  <c r="D105" i="24" s="1"/>
  <c r="E105" i="24" a="1"/>
  <c r="E105" i="24" s="1"/>
  <c r="H105" i="24"/>
  <c r="B105" i="24"/>
  <c r="A107" i="24"/>
  <c r="G105" i="24"/>
  <c r="F105" i="24"/>
  <c r="BA3" i="20" a="1"/>
  <c r="BA3" i="20" l="1"/>
  <c r="AY3" i="20" s="1" a="1"/>
  <c r="AY3" i="20" s="1"/>
  <c r="G51" i="29"/>
  <c r="H51" i="29" s="1"/>
  <c r="J51" i="29" s="1"/>
  <c r="Q51" i="29"/>
  <c r="C107" i="24" a="1"/>
  <c r="C107" i="24" s="1"/>
  <c r="D107" i="24" a="1"/>
  <c r="D107" i="24" s="1"/>
  <c r="E107" i="24" a="1"/>
  <c r="E107" i="24" s="1"/>
  <c r="H107" i="24"/>
  <c r="F107" i="24"/>
  <c r="A109" i="24"/>
  <c r="G107" i="24"/>
  <c r="B107" i="24"/>
  <c r="C106" i="24" a="1"/>
  <c r="C106" i="24" s="1"/>
  <c r="D106" i="24" a="1"/>
  <c r="D106" i="24" s="1"/>
  <c r="E106" i="24" a="1"/>
  <c r="E106" i="24" s="1"/>
  <c r="G106" i="24"/>
  <c r="B106" i="24"/>
  <c r="A108" i="24"/>
  <c r="F106" i="24"/>
  <c r="H106" i="24"/>
  <c r="BB3" i="20" a="1"/>
  <c r="BB3" i="20" l="1"/>
  <c r="K2" i="20" s="1"/>
  <c r="M51" i="29"/>
  <c r="N51" i="29" s="1"/>
  <c r="K51" i="29"/>
  <c r="L51" i="29" s="1"/>
  <c r="G9" i="26"/>
  <c r="D108" i="24" a="1"/>
  <c r="D108" i="24" s="1"/>
  <c r="E108" i="24" a="1"/>
  <c r="E108" i="24" s="1"/>
  <c r="C108" i="24" a="1"/>
  <c r="C108" i="24" s="1"/>
  <c r="F108" i="24"/>
  <c r="G108" i="24"/>
  <c r="A110" i="24"/>
  <c r="H108" i="24"/>
  <c r="B108" i="24"/>
  <c r="C109" i="24" a="1"/>
  <c r="C109" i="24" s="1"/>
  <c r="D109" i="24" a="1"/>
  <c r="D109" i="24" s="1"/>
  <c r="E109" i="24" a="1"/>
  <c r="E109" i="24" s="1"/>
  <c r="A111" i="24"/>
  <c r="H109" i="24"/>
  <c r="G109" i="24"/>
  <c r="B109" i="24"/>
  <c r="F109" i="24"/>
  <c r="C9" i="23" a="1"/>
  <c r="P51" i="29" l="1"/>
  <c r="O52" i="29" s="1"/>
  <c r="C9" i="23"/>
  <c r="R51" i="29"/>
  <c r="D110" i="24" a="1"/>
  <c r="D110" i="24" s="1"/>
  <c r="E110" i="24" a="1"/>
  <c r="E110" i="24" s="1"/>
  <c r="C110" i="24" a="1"/>
  <c r="C110" i="24" s="1"/>
  <c r="H110" i="24"/>
  <c r="B110" i="24"/>
  <c r="A112" i="24"/>
  <c r="G110" i="24"/>
  <c r="F110" i="24"/>
  <c r="C111" i="24" a="1"/>
  <c r="C111" i="24" s="1"/>
  <c r="D111" i="24" a="1"/>
  <c r="D111" i="24" s="1"/>
  <c r="E111" i="24" a="1"/>
  <c r="E111" i="24" s="1"/>
  <c r="A113" i="24"/>
  <c r="B111" i="24"/>
  <c r="H111" i="24"/>
  <c r="G111" i="24"/>
  <c r="F111" i="24"/>
  <c r="Q52" i="29" l="1"/>
  <c r="G52" i="29"/>
  <c r="H52" i="29" s="1"/>
  <c r="J52" i="29" s="1"/>
  <c r="D112" i="24" a="1"/>
  <c r="D112" i="24" s="1"/>
  <c r="E112" i="24" a="1"/>
  <c r="E112" i="24" s="1"/>
  <c r="C112" i="24" a="1"/>
  <c r="C112" i="24" s="1"/>
  <c r="A114" i="24"/>
  <c r="B112" i="24"/>
  <c r="H112" i="24"/>
  <c r="G112" i="24"/>
  <c r="F112" i="24"/>
  <c r="C113" i="24" a="1"/>
  <c r="C113" i="24" s="1"/>
  <c r="D113" i="24" a="1"/>
  <c r="D113" i="24" s="1"/>
  <c r="E113" i="24" a="1"/>
  <c r="E113" i="24" s="1"/>
  <c r="F113" i="24"/>
  <c r="A115" i="24"/>
  <c r="G113" i="24"/>
  <c r="B113" i="24"/>
  <c r="H113" i="24"/>
  <c r="K52" i="29" l="1"/>
  <c r="L52" i="29" s="1"/>
  <c r="M52" i="29"/>
  <c r="N52" i="29" s="1"/>
  <c r="R52" i="29" s="1"/>
  <c r="C115" i="24" a="1"/>
  <c r="C115" i="24" s="1"/>
  <c r="D115" i="24" a="1"/>
  <c r="D115" i="24" s="1"/>
  <c r="E115" i="24" a="1"/>
  <c r="E115" i="24" s="1"/>
  <c r="H115" i="24"/>
  <c r="G115" i="24"/>
  <c r="B115" i="24"/>
  <c r="F115" i="24"/>
  <c r="A117" i="24"/>
  <c r="D114" i="24" a="1"/>
  <c r="D114" i="24" s="1"/>
  <c r="E114" i="24" a="1"/>
  <c r="E114" i="24" s="1"/>
  <c r="C114" i="24" a="1"/>
  <c r="C114" i="24" s="1"/>
  <c r="G114" i="24"/>
  <c r="A116" i="24"/>
  <c r="B114" i="24"/>
  <c r="F114" i="24"/>
  <c r="H114" i="24"/>
  <c r="Q53" i="29" l="1"/>
  <c r="G53" i="29"/>
  <c r="H53" i="29" s="1"/>
  <c r="J53" i="29" s="1"/>
  <c r="P52" i="29"/>
  <c r="O53" i="29" s="1"/>
  <c r="E117" i="24" a="1"/>
  <c r="E117" i="24" s="1"/>
  <c r="C117" i="24" a="1"/>
  <c r="C117" i="24" s="1"/>
  <c r="D117" i="24" a="1"/>
  <c r="D117" i="24" s="1"/>
  <c r="A119" i="24"/>
  <c r="G117" i="24"/>
  <c r="H117" i="24"/>
  <c r="B117" i="24"/>
  <c r="F117" i="24"/>
  <c r="D116" i="24" a="1"/>
  <c r="D116" i="24" s="1"/>
  <c r="E116" i="24" a="1"/>
  <c r="E116" i="24" s="1"/>
  <c r="C116" i="24" a="1"/>
  <c r="C116" i="24" s="1"/>
  <c r="F116" i="24"/>
  <c r="G116" i="24"/>
  <c r="A118" i="24"/>
  <c r="H116" i="24"/>
  <c r="B116" i="24"/>
  <c r="L53" i="29" l="1"/>
  <c r="K53" i="29"/>
  <c r="M53" i="29"/>
  <c r="N53" i="29" s="1"/>
  <c r="C118" i="24" a="1"/>
  <c r="C118" i="24" s="1"/>
  <c r="D118" i="24" a="1"/>
  <c r="D118" i="24" s="1"/>
  <c r="E118" i="24" a="1"/>
  <c r="E118" i="24" s="1"/>
  <c r="H118" i="24"/>
  <c r="B118" i="24"/>
  <c r="G118" i="24"/>
  <c r="F118" i="24"/>
  <c r="A120" i="24"/>
  <c r="E119" i="24" a="1"/>
  <c r="E119" i="24" s="1"/>
  <c r="C119" i="24" a="1"/>
  <c r="C119" i="24" s="1"/>
  <c r="D119" i="24" a="1"/>
  <c r="D119" i="24" s="1"/>
  <c r="A121" i="24"/>
  <c r="H119" i="24"/>
  <c r="G119" i="24"/>
  <c r="F119" i="24"/>
  <c r="B119" i="24"/>
  <c r="R53" i="29" l="1"/>
  <c r="Q54" i="29"/>
  <c r="G54" i="29"/>
  <c r="H54" i="29" s="1"/>
  <c r="J54" i="29" s="1"/>
  <c r="P53" i="29"/>
  <c r="O54" i="29" s="1"/>
  <c r="C120" i="24" a="1"/>
  <c r="C120" i="24" s="1"/>
  <c r="D120" i="24" a="1"/>
  <c r="D120" i="24" s="1"/>
  <c r="E120" i="24" a="1"/>
  <c r="E120" i="24" s="1"/>
  <c r="A122" i="24"/>
  <c r="H120" i="24"/>
  <c r="G120" i="24"/>
  <c r="F120" i="24"/>
  <c r="B120" i="24"/>
  <c r="D121" i="24" a="1"/>
  <c r="D121" i="24" s="1"/>
  <c r="E121" i="24" a="1"/>
  <c r="E121" i="24" s="1"/>
  <c r="C121" i="24" a="1"/>
  <c r="C121" i="24" s="1"/>
  <c r="F121" i="24"/>
  <c r="H121" i="24"/>
  <c r="B121" i="24"/>
  <c r="A123" i="24"/>
  <c r="G121" i="24"/>
  <c r="L54" i="29" l="1"/>
  <c r="M54" i="29"/>
  <c r="N54" i="29" s="1"/>
  <c r="K54" i="29"/>
  <c r="C123" i="24" a="1"/>
  <c r="C123" i="24" s="1"/>
  <c r="D123" i="24" a="1"/>
  <c r="D123" i="24" s="1"/>
  <c r="E123" i="24" a="1"/>
  <c r="E123" i="24" s="1"/>
  <c r="H123" i="24"/>
  <c r="G123" i="24"/>
  <c r="B123" i="24"/>
  <c r="F123" i="24"/>
  <c r="A125" i="24"/>
  <c r="C122" i="24" a="1"/>
  <c r="C122" i="24" s="1"/>
  <c r="D122" i="24" a="1"/>
  <c r="D122" i="24" s="1"/>
  <c r="E122" i="24" a="1"/>
  <c r="E122" i="24" s="1"/>
  <c r="G122" i="24"/>
  <c r="A124" i="24"/>
  <c r="B122" i="24"/>
  <c r="F122" i="24"/>
  <c r="H122" i="24"/>
  <c r="R54" i="29" l="1"/>
  <c r="G55" i="29"/>
  <c r="H55" i="29" s="1"/>
  <c r="J55" i="29" s="1"/>
  <c r="Q55" i="29"/>
  <c r="P54" i="29"/>
  <c r="O55" i="29" s="1"/>
  <c r="C124" i="24" a="1"/>
  <c r="C124" i="24" s="1"/>
  <c r="D124" i="24" a="1"/>
  <c r="D124" i="24" s="1"/>
  <c r="E124" i="24" a="1"/>
  <c r="E124" i="24" s="1"/>
  <c r="F124" i="24"/>
  <c r="A126" i="24"/>
  <c r="H124" i="24"/>
  <c r="B124" i="24"/>
  <c r="G124" i="24"/>
  <c r="D125" i="24" a="1"/>
  <c r="D125" i="24" s="1"/>
  <c r="E125" i="24" a="1"/>
  <c r="E125" i="24" s="1"/>
  <c r="C125" i="24" a="1"/>
  <c r="C125" i="24" s="1"/>
  <c r="A127" i="24"/>
  <c r="G125" i="24"/>
  <c r="H125" i="24"/>
  <c r="B125" i="24"/>
  <c r="F125" i="24"/>
  <c r="M55" i="29" l="1"/>
  <c r="N55" i="29" s="1"/>
  <c r="K55" i="29"/>
  <c r="R55" i="29" s="1"/>
  <c r="C126" i="24" a="1"/>
  <c r="C126" i="24" s="1"/>
  <c r="D126" i="24" a="1"/>
  <c r="D126" i="24" s="1"/>
  <c r="E126" i="24" a="1"/>
  <c r="E126" i="24" s="1"/>
  <c r="H126" i="24"/>
  <c r="F126" i="24"/>
  <c r="G126" i="24"/>
  <c r="B126" i="24"/>
  <c r="A128" i="24"/>
  <c r="D127" i="24" a="1"/>
  <c r="D127" i="24" s="1"/>
  <c r="E127" i="24" a="1"/>
  <c r="E127" i="24" s="1"/>
  <c r="C127" i="24" a="1"/>
  <c r="C127" i="24" s="1"/>
  <c r="A129" i="24"/>
  <c r="H127" i="24"/>
  <c r="B127" i="24"/>
  <c r="G127" i="24"/>
  <c r="F127" i="24"/>
  <c r="L55" i="29" l="1"/>
  <c r="P55" i="29" s="1"/>
  <c r="O56" i="29" s="1"/>
  <c r="G56" i="29"/>
  <c r="H56" i="29" s="1"/>
  <c r="J56" i="29" s="1"/>
  <c r="Q56" i="29"/>
  <c r="C128" i="24" a="1"/>
  <c r="C128" i="24" s="1"/>
  <c r="D128" i="24" a="1"/>
  <c r="D128" i="24" s="1"/>
  <c r="E128" i="24" a="1"/>
  <c r="E128" i="24" s="1"/>
  <c r="B128" i="24"/>
  <c r="F128" i="24"/>
  <c r="A130" i="24"/>
  <c r="H128" i="24"/>
  <c r="G128" i="24"/>
  <c r="D129" i="24" a="1"/>
  <c r="D129" i="24" s="1"/>
  <c r="E129" i="24" a="1"/>
  <c r="E129" i="24" s="1"/>
  <c r="C129" i="24" a="1"/>
  <c r="C129" i="24" s="1"/>
  <c r="H129" i="24"/>
  <c r="G129" i="24"/>
  <c r="B129" i="24"/>
  <c r="F129" i="24"/>
  <c r="A131" i="24"/>
  <c r="L56" i="29" l="1"/>
  <c r="K56" i="29"/>
  <c r="M56" i="29"/>
  <c r="N56" i="29" s="1"/>
  <c r="D131" i="24" a="1"/>
  <c r="D131" i="24" s="1"/>
  <c r="E131" i="24" a="1"/>
  <c r="E131" i="24" s="1"/>
  <c r="C131" i="24" a="1"/>
  <c r="C131" i="24" s="1"/>
  <c r="H131" i="24"/>
  <c r="B131" i="24"/>
  <c r="A133" i="24"/>
  <c r="G131" i="24"/>
  <c r="F131" i="24"/>
  <c r="C130" i="24" a="1"/>
  <c r="C130" i="24" s="1"/>
  <c r="D130" i="24" a="1"/>
  <c r="D130" i="24" s="1"/>
  <c r="E130" i="24" a="1"/>
  <c r="E130" i="24" s="1"/>
  <c r="G130" i="24"/>
  <c r="A132" i="24"/>
  <c r="B130" i="24"/>
  <c r="F130" i="24"/>
  <c r="H130" i="24"/>
  <c r="R56" i="29" l="1"/>
  <c r="Q57" i="29"/>
  <c r="G57" i="29"/>
  <c r="H57" i="29" s="1"/>
  <c r="J57" i="29" s="1"/>
  <c r="P56" i="29"/>
  <c r="O57" i="29" s="1"/>
  <c r="D133" i="24" a="1"/>
  <c r="D133" i="24" s="1"/>
  <c r="E133" i="24" a="1"/>
  <c r="E133" i="24" s="1"/>
  <c r="C133" i="24" a="1"/>
  <c r="C133" i="24" s="1"/>
  <c r="A135" i="24"/>
  <c r="G133" i="24"/>
  <c r="F133" i="24"/>
  <c r="H133" i="24"/>
  <c r="B133" i="24"/>
  <c r="C132" i="24" a="1"/>
  <c r="C132" i="24" s="1"/>
  <c r="D132" i="24" a="1"/>
  <c r="D132" i="24" s="1"/>
  <c r="E132" i="24" a="1"/>
  <c r="E132" i="24" s="1"/>
  <c r="F132" i="24"/>
  <c r="G132" i="24"/>
  <c r="A134" i="24"/>
  <c r="H132" i="24"/>
  <c r="B132" i="24"/>
  <c r="K57" i="29" l="1"/>
  <c r="L57" i="29"/>
  <c r="M57" i="29"/>
  <c r="N57" i="29" s="1"/>
  <c r="R57" i="29" s="1"/>
  <c r="C134" i="24" a="1"/>
  <c r="C134" i="24" s="1"/>
  <c r="D134" i="24" a="1"/>
  <c r="D134" i="24" s="1"/>
  <c r="E134" i="24" a="1"/>
  <c r="E134" i="24" s="1"/>
  <c r="H134" i="24"/>
  <c r="B134" i="24"/>
  <c r="A136" i="24"/>
  <c r="G134" i="24"/>
  <c r="F134" i="24"/>
  <c r="C135" i="24" a="1"/>
  <c r="C135" i="24" s="1"/>
  <c r="D135" i="24" a="1"/>
  <c r="D135" i="24" s="1"/>
  <c r="E135" i="24" a="1"/>
  <c r="E135" i="24" s="1"/>
  <c r="A137" i="24"/>
  <c r="H135" i="24"/>
  <c r="F135" i="24"/>
  <c r="G135" i="24"/>
  <c r="B135" i="24"/>
  <c r="P57" i="29" l="1"/>
  <c r="O58" i="29" s="1"/>
  <c r="Q58" i="29"/>
  <c r="G58" i="29"/>
  <c r="H58" i="29" s="1"/>
  <c r="J58" i="29" s="1"/>
  <c r="C136" i="24" a="1"/>
  <c r="C136" i="24" s="1"/>
  <c r="D136" i="24" a="1"/>
  <c r="D136" i="24" s="1"/>
  <c r="E136" i="24" a="1"/>
  <c r="E136" i="24" s="1"/>
  <c r="A138" i="24"/>
  <c r="G136" i="24"/>
  <c r="B136" i="24"/>
  <c r="H136" i="24"/>
  <c r="F136" i="24"/>
  <c r="D137" i="24" a="1"/>
  <c r="D137" i="24" s="1"/>
  <c r="E137" i="24" a="1"/>
  <c r="E137" i="24" s="1"/>
  <c r="C137" i="24" a="1"/>
  <c r="C137" i="24" s="1"/>
  <c r="F137" i="24"/>
  <c r="H137" i="24"/>
  <c r="B137" i="24"/>
  <c r="A139" i="24"/>
  <c r="G137" i="24"/>
  <c r="L58" i="29" l="1"/>
  <c r="M58" i="29"/>
  <c r="N58" i="29" s="1"/>
  <c r="K58" i="29"/>
  <c r="C139" i="24" a="1"/>
  <c r="C139" i="24" s="1"/>
  <c r="D139" i="24" a="1"/>
  <c r="D139" i="24" s="1"/>
  <c r="E139" i="24" a="1"/>
  <c r="E139" i="24" s="1"/>
  <c r="H139" i="24"/>
  <c r="G139" i="24"/>
  <c r="B139" i="24"/>
  <c r="F139" i="24"/>
  <c r="A141" i="24"/>
  <c r="C138" i="24" a="1"/>
  <c r="C138" i="24" s="1"/>
  <c r="D138" i="24" a="1"/>
  <c r="D138" i="24" s="1"/>
  <c r="E138" i="24" a="1"/>
  <c r="E138" i="24" s="1"/>
  <c r="B138" i="24"/>
  <c r="G138" i="24"/>
  <c r="F138" i="24"/>
  <c r="A140" i="24"/>
  <c r="H138" i="24"/>
  <c r="R58" i="29" l="1"/>
  <c r="Q59" i="29"/>
  <c r="G59" i="29"/>
  <c r="H59" i="29" s="1"/>
  <c r="J59" i="29" s="1"/>
  <c r="P58" i="29"/>
  <c r="O59" i="29" s="1"/>
  <c r="C141" i="24" a="1"/>
  <c r="C141" i="24" s="1"/>
  <c r="D141" i="24" a="1"/>
  <c r="D141" i="24" s="1"/>
  <c r="E141" i="24" a="1"/>
  <c r="E141" i="24" s="1"/>
  <c r="A143" i="24"/>
  <c r="G141" i="24"/>
  <c r="F141" i="24"/>
  <c r="H141" i="24"/>
  <c r="B141" i="24"/>
  <c r="C140" i="24" a="1"/>
  <c r="C140" i="24" s="1"/>
  <c r="E140" i="24" a="1"/>
  <c r="E140" i="24" s="1"/>
  <c r="D140" i="24" a="1"/>
  <c r="D140" i="24" s="1"/>
  <c r="F140" i="24"/>
  <c r="H140" i="24"/>
  <c r="B140" i="24"/>
  <c r="A142" i="24"/>
  <c r="G140" i="24"/>
  <c r="M59" i="29" l="1"/>
  <c r="N59" i="29" s="1"/>
  <c r="K59" i="29"/>
  <c r="L59" i="29"/>
  <c r="P59" i="29" s="1"/>
  <c r="O60" i="29" s="1"/>
  <c r="C143" i="24" a="1"/>
  <c r="C143" i="24" s="1"/>
  <c r="D143" i="24" a="1"/>
  <c r="D143" i="24" s="1"/>
  <c r="E143" i="24" a="1"/>
  <c r="E143" i="24" s="1"/>
  <c r="A145" i="24"/>
  <c r="H143" i="24"/>
  <c r="G143" i="24"/>
  <c r="B143" i="24"/>
  <c r="F143" i="24"/>
  <c r="C142" i="24" a="1"/>
  <c r="C142" i="24" s="1"/>
  <c r="D142" i="24" a="1"/>
  <c r="D142" i="24" s="1"/>
  <c r="E142" i="24" a="1"/>
  <c r="E142" i="24" s="1"/>
  <c r="H142" i="24"/>
  <c r="F142" i="24"/>
  <c r="G142" i="24"/>
  <c r="B142" i="24"/>
  <c r="A144" i="24"/>
  <c r="R59" i="29" l="1"/>
  <c r="C145" i="24" a="1"/>
  <c r="C145" i="24" s="1"/>
  <c r="D145" i="24" a="1"/>
  <c r="D145" i="24" s="1"/>
  <c r="E145" i="24" a="1"/>
  <c r="E145" i="24" s="1"/>
  <c r="F145" i="24"/>
  <c r="H145" i="24"/>
  <c r="B145" i="24"/>
  <c r="A147" i="24"/>
  <c r="G145" i="24"/>
  <c r="C144" i="24" a="1"/>
  <c r="C144" i="24" s="1"/>
  <c r="D144" i="24" a="1"/>
  <c r="D144" i="24" s="1"/>
  <c r="E144" i="24" a="1"/>
  <c r="E144" i="24" s="1"/>
  <c r="A146" i="24"/>
  <c r="B144" i="24"/>
  <c r="H144" i="24"/>
  <c r="G144" i="24"/>
  <c r="F144" i="24"/>
  <c r="Q60" i="29" l="1"/>
  <c r="G60" i="29"/>
  <c r="H60" i="29" s="1"/>
  <c r="J60" i="29" s="1"/>
  <c r="C146" i="24" a="1"/>
  <c r="C146" i="24" s="1"/>
  <c r="D146" i="24" a="1"/>
  <c r="D146" i="24" s="1"/>
  <c r="E146" i="24" a="1"/>
  <c r="E146" i="24" s="1"/>
  <c r="G146" i="24"/>
  <c r="B146" i="24"/>
  <c r="A148" i="24"/>
  <c r="F146" i="24"/>
  <c r="H146" i="24"/>
  <c r="D147" i="24" a="1"/>
  <c r="D147" i="24" s="1"/>
  <c r="E147" i="24" a="1"/>
  <c r="E147" i="24" s="1"/>
  <c r="C147" i="24" a="1"/>
  <c r="C147" i="24" s="1"/>
  <c r="H147" i="24"/>
  <c r="F147" i="24"/>
  <c r="G147" i="24"/>
  <c r="B147" i="24"/>
  <c r="A149" i="24"/>
  <c r="K60" i="29" l="1"/>
  <c r="L60" i="29"/>
  <c r="M60" i="29"/>
  <c r="N60" i="29" s="1"/>
  <c r="R60" i="29" s="1"/>
  <c r="C148" i="24" a="1"/>
  <c r="C148" i="24" s="1"/>
  <c r="D148" i="24" a="1"/>
  <c r="D148" i="24" s="1"/>
  <c r="E148" i="24" a="1"/>
  <c r="E148" i="24" s="1"/>
  <c r="F148" i="24"/>
  <c r="H148" i="24"/>
  <c r="A150" i="24"/>
  <c r="B148" i="24"/>
  <c r="G148" i="24"/>
  <c r="D149" i="24" a="1"/>
  <c r="D149" i="24" s="1"/>
  <c r="E149" i="24" a="1"/>
  <c r="E149" i="24" s="1"/>
  <c r="C149" i="24" a="1"/>
  <c r="C149" i="24" s="1"/>
  <c r="A151" i="24"/>
  <c r="B149" i="24"/>
  <c r="H149" i="24"/>
  <c r="G149" i="24"/>
  <c r="F149" i="24"/>
  <c r="G61" i="29" l="1"/>
  <c r="H61" i="29" s="1"/>
  <c r="J61" i="29" s="1"/>
  <c r="Q61" i="29"/>
  <c r="P60" i="29"/>
  <c r="O61" i="29" s="1"/>
  <c r="D150" i="24" a="1"/>
  <c r="D150" i="24" s="1"/>
  <c r="C150" i="24" a="1"/>
  <c r="C150" i="24" s="1"/>
  <c r="E150" i="24" a="1"/>
  <c r="E150" i="24" s="1"/>
  <c r="H150" i="24"/>
  <c r="B150" i="24"/>
  <c r="F150" i="24"/>
  <c r="G150" i="24"/>
  <c r="A152" i="24"/>
  <c r="D151" i="24" a="1"/>
  <c r="D151" i="24" s="1"/>
  <c r="E151" i="24" a="1"/>
  <c r="E151" i="24" s="1"/>
  <c r="C151" i="24" a="1"/>
  <c r="C151" i="24" s="1"/>
  <c r="A153" i="24"/>
  <c r="H151" i="24"/>
  <c r="G151" i="24"/>
  <c r="F151" i="24"/>
  <c r="B151" i="24"/>
  <c r="L61" i="29" l="1"/>
  <c r="M61" i="29"/>
  <c r="K61" i="29"/>
  <c r="N61" i="29"/>
  <c r="R61" i="29" s="1"/>
  <c r="C152" i="24" a="1"/>
  <c r="C152" i="24" s="1"/>
  <c r="E152" i="24" a="1"/>
  <c r="E152" i="24" s="1"/>
  <c r="D152" i="24" a="1"/>
  <c r="D152" i="24" s="1"/>
  <c r="A154" i="24"/>
  <c r="G152" i="24"/>
  <c r="F152" i="24"/>
  <c r="H152" i="24"/>
  <c r="B152" i="24"/>
  <c r="E153" i="24" a="1"/>
  <c r="E153" i="24" s="1"/>
  <c r="C153" i="24" a="1"/>
  <c r="C153" i="24" s="1"/>
  <c r="D153" i="24" a="1"/>
  <c r="D153" i="24" s="1"/>
  <c r="F153" i="24"/>
  <c r="A155" i="24"/>
  <c r="G153" i="24"/>
  <c r="H153" i="24"/>
  <c r="B153" i="24"/>
  <c r="P61" i="29" l="1"/>
  <c r="O62" i="29" s="1"/>
  <c r="Q62" i="29"/>
  <c r="G62" i="29"/>
  <c r="H62" i="29" s="1"/>
  <c r="J62" i="29" s="1"/>
  <c r="C154" i="24" a="1"/>
  <c r="C154" i="24" s="1"/>
  <c r="E154" i="24" a="1"/>
  <c r="E154" i="24" s="1"/>
  <c r="D154" i="24" a="1"/>
  <c r="D154" i="24" s="1"/>
  <c r="G154" i="24"/>
  <c r="B154" i="24"/>
  <c r="F154" i="24"/>
  <c r="H154" i="24"/>
  <c r="A156" i="24"/>
  <c r="E155" i="24" a="1"/>
  <c r="E155" i="24" s="1"/>
  <c r="C155" i="24" a="1"/>
  <c r="C155" i="24" s="1"/>
  <c r="D155" i="24" a="1"/>
  <c r="D155" i="24" s="1"/>
  <c r="H155" i="24"/>
  <c r="B155" i="24"/>
  <c r="F155" i="24"/>
  <c r="G155" i="24"/>
  <c r="A157" i="24"/>
  <c r="M62" i="29" l="1"/>
  <c r="N62" i="29" s="1"/>
  <c r="K62" i="29"/>
  <c r="L62" i="29"/>
  <c r="C156" i="24" a="1"/>
  <c r="C156" i="24" s="1"/>
  <c r="E156" i="24" a="1"/>
  <c r="E156" i="24" s="1"/>
  <c r="D156" i="24" a="1"/>
  <c r="D156" i="24" s="1"/>
  <c r="F156" i="24"/>
  <c r="G156" i="24"/>
  <c r="B156" i="24"/>
  <c r="A158" i="24"/>
  <c r="H156" i="24"/>
  <c r="C157" i="24" a="1"/>
  <c r="C157" i="24" s="1"/>
  <c r="E157" i="24" a="1"/>
  <c r="E157" i="24" s="1"/>
  <c r="D157" i="24" a="1"/>
  <c r="D157" i="24" s="1"/>
  <c r="A159" i="24"/>
  <c r="B157" i="24"/>
  <c r="H157" i="24"/>
  <c r="G157" i="24"/>
  <c r="F157" i="24"/>
  <c r="P62" i="29" l="1"/>
  <c r="O63" i="29" s="1"/>
  <c r="R62" i="29"/>
  <c r="C158" i="24" a="1"/>
  <c r="C158" i="24" s="1"/>
  <c r="D158" i="24" a="1"/>
  <c r="D158" i="24" s="1"/>
  <c r="E158" i="24" a="1"/>
  <c r="E158" i="24" s="1"/>
  <c r="H158" i="24"/>
  <c r="G158" i="24"/>
  <c r="B158" i="24"/>
  <c r="A160" i="24"/>
  <c r="F158" i="24"/>
  <c r="C159" i="24" a="1"/>
  <c r="C159" i="24" s="1"/>
  <c r="D159" i="24" a="1"/>
  <c r="D159" i="24" s="1"/>
  <c r="E159" i="24" a="1"/>
  <c r="E159" i="24" s="1"/>
  <c r="A161" i="24"/>
  <c r="H159" i="24"/>
  <c r="G159" i="24"/>
  <c r="B159" i="24"/>
  <c r="F159" i="24"/>
  <c r="G63" i="29" l="1"/>
  <c r="H63" i="29" s="1"/>
  <c r="J63" i="29" s="1"/>
  <c r="Q63" i="29"/>
  <c r="C160" i="24" a="1"/>
  <c r="C160" i="24" s="1"/>
  <c r="D160" i="24" a="1"/>
  <c r="D160" i="24" s="1"/>
  <c r="E160" i="24" a="1"/>
  <c r="E160" i="24" s="1"/>
  <c r="A162" i="24"/>
  <c r="H160" i="24"/>
  <c r="G160" i="24"/>
  <c r="B160" i="24"/>
  <c r="F160" i="24"/>
  <c r="C161" i="24" a="1"/>
  <c r="C161" i="24" s="1"/>
  <c r="E161" i="24" a="1"/>
  <c r="E161" i="24" s="1"/>
  <c r="D161" i="24" a="1"/>
  <c r="D161" i="24" s="1"/>
  <c r="F161" i="24"/>
  <c r="A163" i="24"/>
  <c r="H161" i="24"/>
  <c r="G161" i="24"/>
  <c r="B161" i="24"/>
  <c r="M63" i="29" l="1"/>
  <c r="N63" i="29" s="1"/>
  <c r="K63" i="29"/>
  <c r="R63" i="29" s="1"/>
  <c r="L63" i="29"/>
  <c r="P63" i="29" s="1"/>
  <c r="O64" i="29" s="1"/>
  <c r="D163" i="24" a="1"/>
  <c r="D163" i="24" s="1"/>
  <c r="C163" i="24" a="1"/>
  <c r="C163" i="24" s="1"/>
  <c r="E163" i="24" a="1"/>
  <c r="E163" i="24" s="1"/>
  <c r="H163" i="24"/>
  <c r="G163" i="24"/>
  <c r="B163" i="24"/>
  <c r="F163" i="24"/>
  <c r="A165" i="24"/>
  <c r="C162" i="24" a="1"/>
  <c r="C162" i="24" s="1"/>
  <c r="D162" i="24" a="1"/>
  <c r="D162" i="24" s="1"/>
  <c r="E162" i="24" a="1"/>
  <c r="E162" i="24" s="1"/>
  <c r="G162" i="24"/>
  <c r="B162" i="24"/>
  <c r="F162" i="24"/>
  <c r="A164" i="24"/>
  <c r="H162" i="24"/>
  <c r="Q64" i="29" l="1"/>
  <c r="G64" i="29"/>
  <c r="H64" i="29" s="1"/>
  <c r="J64" i="29" s="1"/>
  <c r="D165" i="24" a="1"/>
  <c r="D165" i="24" s="1"/>
  <c r="C165" i="24" a="1"/>
  <c r="C165" i="24" s="1"/>
  <c r="E165" i="24" a="1"/>
  <c r="E165" i="24" s="1"/>
  <c r="A167" i="24"/>
  <c r="F165" i="24"/>
  <c r="H165" i="24"/>
  <c r="G165" i="24"/>
  <c r="B165" i="24"/>
  <c r="D164" i="24" a="1"/>
  <c r="D164" i="24" s="1"/>
  <c r="E164" i="24" a="1"/>
  <c r="E164" i="24" s="1"/>
  <c r="C164" i="24" a="1"/>
  <c r="C164" i="24" s="1"/>
  <c r="F164" i="24"/>
  <c r="G164" i="24"/>
  <c r="A166" i="24"/>
  <c r="H164" i="24"/>
  <c r="B164" i="24"/>
  <c r="L64" i="29" l="1"/>
  <c r="K64" i="29"/>
  <c r="M64" i="29"/>
  <c r="N64" i="29" s="1"/>
  <c r="D166" i="24" a="1"/>
  <c r="D166" i="24" s="1"/>
  <c r="E166" i="24" a="1"/>
  <c r="E166" i="24" s="1"/>
  <c r="C166" i="24" a="1"/>
  <c r="C166" i="24" s="1"/>
  <c r="H166" i="24"/>
  <c r="G166" i="24"/>
  <c r="B166" i="24"/>
  <c r="F166" i="24"/>
  <c r="A168" i="24"/>
  <c r="D167" i="24" a="1"/>
  <c r="D167" i="24" s="1"/>
  <c r="C167" i="24" a="1"/>
  <c r="C167" i="24" s="1"/>
  <c r="E167" i="24" a="1"/>
  <c r="E167" i="24" s="1"/>
  <c r="A169" i="24"/>
  <c r="H167" i="24"/>
  <c r="G167" i="24"/>
  <c r="F167" i="24"/>
  <c r="B167" i="24"/>
  <c r="R64" i="29" l="1"/>
  <c r="P64" i="29"/>
  <c r="O65" i="29" s="1"/>
  <c r="E168" i="24" a="1"/>
  <c r="E168" i="24" s="1"/>
  <c r="C168" i="24" a="1"/>
  <c r="C168" i="24" s="1"/>
  <c r="D168" i="24" a="1"/>
  <c r="D168" i="24" s="1"/>
  <c r="A170" i="24"/>
  <c r="H168" i="24"/>
  <c r="G168" i="24"/>
  <c r="B168" i="24"/>
  <c r="F168" i="24"/>
  <c r="D169" i="24" a="1"/>
  <c r="D169" i="24" s="1"/>
  <c r="E169" i="24" a="1"/>
  <c r="E169" i="24" s="1"/>
  <c r="C169" i="24" a="1"/>
  <c r="C169" i="24" s="1"/>
  <c r="F169" i="24"/>
  <c r="A171" i="24"/>
  <c r="H169" i="24"/>
  <c r="G169" i="24"/>
  <c r="B169" i="24"/>
  <c r="Q65" i="29" l="1"/>
  <c r="G65" i="29"/>
  <c r="H65" i="29" s="1"/>
  <c r="J65" i="29" s="1"/>
  <c r="C171" i="24" a="1"/>
  <c r="C171" i="24" s="1"/>
  <c r="D171" i="24" a="1"/>
  <c r="D171" i="24" s="1"/>
  <c r="E171" i="24" a="1"/>
  <c r="E171" i="24" s="1"/>
  <c r="H171" i="24"/>
  <c r="G171" i="24"/>
  <c r="B171" i="24"/>
  <c r="F171" i="24"/>
  <c r="A173" i="24"/>
  <c r="E170" i="24" a="1"/>
  <c r="E170" i="24" s="1"/>
  <c r="D170" i="24" a="1"/>
  <c r="D170" i="24" s="1"/>
  <c r="C170" i="24" a="1"/>
  <c r="C170" i="24" s="1"/>
  <c r="G170" i="24"/>
  <c r="F170" i="24"/>
  <c r="A172" i="24"/>
  <c r="B170" i="24"/>
  <c r="H170" i="24"/>
  <c r="M65" i="29" l="1"/>
  <c r="N65" i="29" s="1"/>
  <c r="L65" i="29"/>
  <c r="K65" i="29"/>
  <c r="R65" i="29" s="1"/>
  <c r="D173" i="24" a="1"/>
  <c r="D173" i="24" s="1"/>
  <c r="E173" i="24" a="1"/>
  <c r="E173" i="24" s="1"/>
  <c r="C173" i="24" a="1"/>
  <c r="C173" i="24" s="1"/>
  <c r="A175" i="24"/>
  <c r="H173" i="24"/>
  <c r="G173" i="24"/>
  <c r="B173" i="24"/>
  <c r="F173" i="24"/>
  <c r="E172" i="24" a="1"/>
  <c r="E172" i="24" s="1"/>
  <c r="C172" i="24" a="1"/>
  <c r="C172" i="24" s="1"/>
  <c r="D172" i="24" a="1"/>
  <c r="D172" i="24" s="1"/>
  <c r="F172" i="24"/>
  <c r="A174" i="24"/>
  <c r="H172" i="24"/>
  <c r="G172" i="24"/>
  <c r="B172" i="24"/>
  <c r="Q66" i="29" l="1"/>
  <c r="G66" i="29"/>
  <c r="H66" i="29" s="1"/>
  <c r="J66" i="29" s="1"/>
  <c r="P65" i="29"/>
  <c r="O66" i="29" s="1"/>
  <c r="C174" i="24" a="1"/>
  <c r="C174" i="24" s="1"/>
  <c r="D174" i="24" a="1"/>
  <c r="D174" i="24" s="1"/>
  <c r="E174" i="24" a="1"/>
  <c r="E174" i="24" s="1"/>
  <c r="H174" i="24"/>
  <c r="G174" i="24"/>
  <c r="B174" i="24"/>
  <c r="F174" i="24"/>
  <c r="A176" i="24"/>
  <c r="C175" i="24" a="1"/>
  <c r="C175" i="24" s="1"/>
  <c r="D175" i="24" a="1"/>
  <c r="D175" i="24" s="1"/>
  <c r="E175" i="24" a="1"/>
  <c r="E175" i="24" s="1"/>
  <c r="A177" i="24"/>
  <c r="H175" i="24"/>
  <c r="G175" i="24"/>
  <c r="B175" i="24"/>
  <c r="F175" i="24"/>
  <c r="K66" i="29" l="1"/>
  <c r="L66" i="29"/>
  <c r="M66" i="29"/>
  <c r="N66" i="29" s="1"/>
  <c r="C176" i="24" a="1"/>
  <c r="C176" i="24" s="1"/>
  <c r="D176" i="24" a="1"/>
  <c r="D176" i="24" s="1"/>
  <c r="E176" i="24" a="1"/>
  <c r="E176" i="24" s="1"/>
  <c r="B176" i="24"/>
  <c r="F176" i="24"/>
  <c r="A178" i="24"/>
  <c r="H176" i="24"/>
  <c r="G176" i="24"/>
  <c r="C177" i="24" a="1"/>
  <c r="C177" i="24" s="1"/>
  <c r="D177" i="24" a="1"/>
  <c r="D177" i="24" s="1"/>
  <c r="E177" i="24" a="1"/>
  <c r="E177" i="24" s="1"/>
  <c r="H177" i="24"/>
  <c r="G177" i="24"/>
  <c r="B177" i="24"/>
  <c r="F177" i="24"/>
  <c r="A179" i="24"/>
  <c r="R66" i="29" l="1"/>
  <c r="P66" i="29"/>
  <c r="O67" i="29" s="1"/>
  <c r="G67" i="29"/>
  <c r="H67" i="29" s="1"/>
  <c r="J67" i="29" s="1"/>
  <c r="Q67" i="29"/>
  <c r="C179" i="24" a="1"/>
  <c r="C179" i="24" s="1"/>
  <c r="D179" i="24" a="1"/>
  <c r="D179" i="24" s="1"/>
  <c r="E179" i="24" a="1"/>
  <c r="E179" i="24" s="1"/>
  <c r="H179" i="24"/>
  <c r="G179" i="24"/>
  <c r="B179" i="24"/>
  <c r="F179" i="24"/>
  <c r="A181" i="24"/>
  <c r="D178" i="24" a="1"/>
  <c r="D178" i="24" s="1"/>
  <c r="E178" i="24" a="1"/>
  <c r="E178" i="24" s="1"/>
  <c r="C178" i="24" a="1"/>
  <c r="C178" i="24" s="1"/>
  <c r="G178" i="24"/>
  <c r="B178" i="24"/>
  <c r="F178" i="24"/>
  <c r="A180" i="24"/>
  <c r="H178" i="24"/>
  <c r="L67" i="29" l="1"/>
  <c r="M67" i="29"/>
  <c r="N67" i="29" s="1"/>
  <c r="K67" i="29"/>
  <c r="C181" i="24" a="1"/>
  <c r="C181" i="24" s="1"/>
  <c r="D181" i="24" a="1"/>
  <c r="D181" i="24" s="1"/>
  <c r="E181" i="24" a="1"/>
  <c r="E181" i="24" s="1"/>
  <c r="A183" i="24"/>
  <c r="H181" i="24"/>
  <c r="G181" i="24"/>
  <c r="B181" i="24"/>
  <c r="F181" i="24"/>
  <c r="E180" i="24" a="1"/>
  <c r="E180" i="24" s="1"/>
  <c r="C180" i="24" a="1"/>
  <c r="C180" i="24" s="1"/>
  <c r="D180" i="24" a="1"/>
  <c r="D180" i="24" s="1"/>
  <c r="F180" i="24"/>
  <c r="A182" i="24"/>
  <c r="H180" i="24"/>
  <c r="G180" i="24"/>
  <c r="B180" i="24"/>
  <c r="R67" i="29" l="1"/>
  <c r="Q68" i="29"/>
  <c r="G68" i="29"/>
  <c r="H68" i="29" s="1"/>
  <c r="J68" i="29" s="1"/>
  <c r="P67" i="29"/>
  <c r="O68" i="29" s="1"/>
  <c r="D182" i="24" a="1"/>
  <c r="D182" i="24" s="1"/>
  <c r="E182" i="24" a="1"/>
  <c r="E182" i="24" s="1"/>
  <c r="C182" i="24" a="1"/>
  <c r="C182" i="24" s="1"/>
  <c r="H182" i="24"/>
  <c r="G182" i="24"/>
  <c r="B182" i="24"/>
  <c r="F182" i="24"/>
  <c r="A184" i="24"/>
  <c r="C183" i="24" a="1"/>
  <c r="C183" i="24" s="1"/>
  <c r="D183" i="24" a="1"/>
  <c r="D183" i="24" s="1"/>
  <c r="E183" i="24" a="1"/>
  <c r="E183" i="24" s="1"/>
  <c r="A185" i="24"/>
  <c r="H183" i="24"/>
  <c r="G183" i="24"/>
  <c r="B183" i="24"/>
  <c r="F183" i="24"/>
  <c r="L68" i="29" l="1"/>
  <c r="M68" i="29"/>
  <c r="N68" i="29" s="1"/>
  <c r="K68" i="29"/>
  <c r="C184" i="24" a="1"/>
  <c r="C184" i="24" s="1"/>
  <c r="E184" i="24" a="1"/>
  <c r="E184" i="24" s="1"/>
  <c r="D184" i="24" a="1"/>
  <c r="D184" i="24" s="1"/>
  <c r="B184" i="24"/>
  <c r="G184" i="24"/>
  <c r="H184" i="24"/>
  <c r="F184" i="24"/>
  <c r="A186" i="24"/>
  <c r="C185" i="24" a="1"/>
  <c r="C185" i="24" s="1"/>
  <c r="D185" i="24" a="1"/>
  <c r="D185" i="24" s="1"/>
  <c r="E185" i="24" a="1"/>
  <c r="E185" i="24" s="1"/>
  <c r="A187" i="24"/>
  <c r="H185" i="24"/>
  <c r="G185" i="24"/>
  <c r="F185" i="24"/>
  <c r="B185" i="24"/>
  <c r="R68" i="29" l="1"/>
  <c r="Q69" i="29" s="1"/>
  <c r="P68" i="29"/>
  <c r="O69" i="29" s="1"/>
  <c r="C186" i="24" a="1"/>
  <c r="C186" i="24" s="1"/>
  <c r="E186" i="24" a="1"/>
  <c r="E186" i="24" s="1"/>
  <c r="D186" i="24" a="1"/>
  <c r="D186" i="24" s="1"/>
  <c r="H186" i="24"/>
  <c r="G186" i="24"/>
  <c r="B186" i="24"/>
  <c r="F186" i="24"/>
  <c r="A188" i="24"/>
  <c r="C187" i="24" a="1"/>
  <c r="C187" i="24" s="1"/>
  <c r="D187" i="24" a="1"/>
  <c r="D187" i="24" s="1"/>
  <c r="E187" i="24" a="1"/>
  <c r="E187" i="24" s="1"/>
  <c r="A189" i="24"/>
  <c r="H187" i="24"/>
  <c r="G187" i="24"/>
  <c r="B187" i="24"/>
  <c r="F187" i="24"/>
  <c r="G69" i="29" l="1"/>
  <c r="H69" i="29" s="1"/>
  <c r="J69" i="29" s="1"/>
  <c r="M69" i="29" s="1"/>
  <c r="N69" i="29" s="1"/>
  <c r="C188" i="24" a="1"/>
  <c r="C188" i="24" s="1"/>
  <c r="E188" i="24" a="1"/>
  <c r="E188" i="24" s="1"/>
  <c r="D188" i="24" a="1"/>
  <c r="D188" i="24" s="1"/>
  <c r="A190" i="24"/>
  <c r="H188" i="24"/>
  <c r="G188" i="24"/>
  <c r="B188" i="24"/>
  <c r="F188" i="24"/>
  <c r="C189" i="24" a="1"/>
  <c r="C189" i="24" s="1"/>
  <c r="D189" i="24" a="1"/>
  <c r="D189" i="24" s="1"/>
  <c r="E189" i="24" a="1"/>
  <c r="E189" i="24" s="1"/>
  <c r="F189" i="24"/>
  <c r="A191" i="24"/>
  <c r="H189" i="24"/>
  <c r="G189" i="24"/>
  <c r="B189" i="24"/>
  <c r="K69" i="29" l="1"/>
  <c r="L69" i="29"/>
  <c r="P69" i="29"/>
  <c r="O70" i="29" s="1"/>
  <c r="R69" i="29"/>
  <c r="Q70" i="29"/>
  <c r="G70" i="29"/>
  <c r="H70" i="29" s="1"/>
  <c r="J70" i="29" s="1"/>
  <c r="D191" i="24" a="1"/>
  <c r="D191" i="24" s="1"/>
  <c r="E191" i="24" a="1"/>
  <c r="E191" i="24" s="1"/>
  <c r="C191" i="24" a="1"/>
  <c r="C191" i="24" s="1"/>
  <c r="H191" i="24"/>
  <c r="G191" i="24"/>
  <c r="B191" i="24"/>
  <c r="F191" i="24"/>
  <c r="A193" i="24"/>
  <c r="C190" i="24" a="1"/>
  <c r="C190" i="24" s="1"/>
  <c r="D190" i="24" a="1"/>
  <c r="D190" i="24" s="1"/>
  <c r="E190" i="24" a="1"/>
  <c r="E190" i="24" s="1"/>
  <c r="G190" i="24"/>
  <c r="B190" i="24"/>
  <c r="F190" i="24"/>
  <c r="A192" i="24"/>
  <c r="H190" i="24"/>
  <c r="K70" i="29" l="1"/>
  <c r="M70" i="29"/>
  <c r="N70" i="29" s="1"/>
  <c r="R70" i="29" s="1"/>
  <c r="L70" i="29"/>
  <c r="C193" i="24" a="1"/>
  <c r="C193" i="24" s="1"/>
  <c r="D193" i="24" a="1"/>
  <c r="D193" i="24" s="1"/>
  <c r="E193" i="24" a="1"/>
  <c r="E193" i="24" s="1"/>
  <c r="F193" i="24"/>
  <c r="B193" i="24"/>
  <c r="A195" i="24"/>
  <c r="H193" i="24"/>
  <c r="G193" i="24"/>
  <c r="C192" i="24" a="1"/>
  <c r="C192" i="24" s="1"/>
  <c r="D192" i="24" a="1"/>
  <c r="D192" i="24" s="1"/>
  <c r="E192" i="24" a="1"/>
  <c r="E192" i="24" s="1"/>
  <c r="H192" i="24"/>
  <c r="G192" i="24"/>
  <c r="B192" i="24"/>
  <c r="F192" i="24"/>
  <c r="A194" i="24"/>
  <c r="P70" i="29" l="1"/>
  <c r="O71" i="29" s="1"/>
  <c r="G71" i="29"/>
  <c r="H71" i="29" s="1"/>
  <c r="J71" i="29" s="1"/>
  <c r="Q71" i="29"/>
  <c r="C194" i="24" a="1"/>
  <c r="C194" i="24" s="1"/>
  <c r="D194" i="24" a="1"/>
  <c r="D194" i="24" s="1"/>
  <c r="E194" i="24" a="1"/>
  <c r="E194" i="24" s="1"/>
  <c r="H194" i="24"/>
  <c r="B194" i="24"/>
  <c r="F194" i="24"/>
  <c r="G194" i="24"/>
  <c r="A196" i="24"/>
  <c r="E195" i="24" a="1"/>
  <c r="E195" i="24" s="1"/>
  <c r="D195" i="24" a="1"/>
  <c r="D195" i="24" s="1"/>
  <c r="C195" i="24" a="1"/>
  <c r="C195" i="24" s="1"/>
  <c r="A197" i="24"/>
  <c r="H195" i="24"/>
  <c r="G195" i="24"/>
  <c r="F195" i="24"/>
  <c r="B195" i="24"/>
  <c r="M71" i="29" l="1"/>
  <c r="N71" i="29" s="1"/>
  <c r="L71" i="29"/>
  <c r="P71" i="29" s="1"/>
  <c r="O72" i="29" s="1"/>
  <c r="K71" i="29"/>
  <c r="C196" i="24" a="1"/>
  <c r="C196" i="24" s="1"/>
  <c r="D196" i="24" a="1"/>
  <c r="D196" i="24" s="1"/>
  <c r="E196" i="24" a="1"/>
  <c r="E196" i="24" s="1"/>
  <c r="A198" i="24"/>
  <c r="H196" i="24"/>
  <c r="B196" i="24"/>
  <c r="G196" i="24"/>
  <c r="F196" i="24"/>
  <c r="E197" i="24" a="1"/>
  <c r="E197" i="24" s="1"/>
  <c r="D197" i="24" a="1"/>
  <c r="D197" i="24" s="1"/>
  <c r="C197" i="24" a="1"/>
  <c r="C197" i="24" s="1"/>
  <c r="F197" i="24"/>
  <c r="A199" i="24"/>
  <c r="H197" i="24"/>
  <c r="G197" i="24"/>
  <c r="B197" i="24"/>
  <c r="R71" i="29" l="1"/>
  <c r="E199" i="24" a="1"/>
  <c r="E199" i="24" s="1"/>
  <c r="D199" i="24" a="1"/>
  <c r="D199" i="24" s="1"/>
  <c r="C199" i="24" a="1"/>
  <c r="C199" i="24" s="1"/>
  <c r="H199" i="24"/>
  <c r="G199" i="24"/>
  <c r="B199" i="24"/>
  <c r="F199" i="24"/>
  <c r="A201" i="24"/>
  <c r="C198" i="24" a="1"/>
  <c r="C198" i="24" s="1"/>
  <c r="D198" i="24" a="1"/>
  <c r="D198" i="24" s="1"/>
  <c r="E198" i="24" a="1"/>
  <c r="E198" i="24" s="1"/>
  <c r="H198" i="24"/>
  <c r="G198" i="24"/>
  <c r="F198" i="24"/>
  <c r="A200" i="24"/>
  <c r="B198" i="24"/>
  <c r="G72" i="29" l="1"/>
  <c r="H72" i="29" s="1"/>
  <c r="J72" i="29" s="1"/>
  <c r="Q72" i="29"/>
  <c r="C201" i="24" a="1"/>
  <c r="C201" i="24" s="1"/>
  <c r="D201" i="24" a="1"/>
  <c r="D201" i="24" s="1"/>
  <c r="E201" i="24" a="1"/>
  <c r="E201" i="24" s="1"/>
  <c r="A203" i="24"/>
  <c r="G201" i="24"/>
  <c r="F201" i="24"/>
  <c r="B201" i="24"/>
  <c r="H201" i="24"/>
  <c r="C200" i="24" a="1"/>
  <c r="C200" i="24" s="1"/>
  <c r="D200" i="24" a="1"/>
  <c r="D200" i="24" s="1"/>
  <c r="E200" i="24" a="1"/>
  <c r="E200" i="24" s="1"/>
  <c r="F200" i="24"/>
  <c r="A202" i="24"/>
  <c r="G200" i="24"/>
  <c r="H200" i="24"/>
  <c r="B200" i="24"/>
  <c r="L72" i="29" l="1"/>
  <c r="K72" i="29"/>
  <c r="M72" i="29"/>
  <c r="N72" i="29" s="1"/>
  <c r="C202" i="24" a="1"/>
  <c r="C202" i="24" s="1"/>
  <c r="D202" i="24" a="1"/>
  <c r="D202" i="24" s="1"/>
  <c r="E202" i="24" a="1"/>
  <c r="E202" i="24" s="1"/>
  <c r="H202" i="24"/>
  <c r="G202" i="24"/>
  <c r="B202" i="24"/>
  <c r="F202" i="24"/>
  <c r="A204" i="24"/>
  <c r="E203" i="24" a="1"/>
  <c r="E203" i="24" s="1"/>
  <c r="C203" i="24" a="1"/>
  <c r="C203" i="24" s="1"/>
  <c r="D203" i="24" a="1"/>
  <c r="D203" i="24" s="1"/>
  <c r="A205" i="24"/>
  <c r="H203" i="24"/>
  <c r="B203" i="24"/>
  <c r="F203" i="24"/>
  <c r="G203" i="24"/>
  <c r="R72" i="29" l="1"/>
  <c r="Q73" i="29"/>
  <c r="G73" i="29"/>
  <c r="H73" i="29" s="1"/>
  <c r="J73" i="29" s="1"/>
  <c r="P72" i="29"/>
  <c r="O73" i="29" s="1"/>
  <c r="C204" i="24" a="1"/>
  <c r="C204" i="24" s="1"/>
  <c r="D204" i="24" a="1"/>
  <c r="D204" i="24" s="1"/>
  <c r="E204" i="24" a="1"/>
  <c r="E204" i="24" s="1"/>
  <c r="A206" i="24"/>
  <c r="H204" i="24"/>
  <c r="G204" i="24"/>
  <c r="B204" i="24"/>
  <c r="F204" i="24"/>
  <c r="C205" i="24" a="1"/>
  <c r="C205" i="24" s="1"/>
  <c r="D205" i="24" a="1"/>
  <c r="D205" i="24" s="1"/>
  <c r="E205" i="24" a="1"/>
  <c r="E205" i="24" s="1"/>
  <c r="F205" i="24"/>
  <c r="A207" i="24"/>
  <c r="H205" i="24"/>
  <c r="G205" i="24"/>
  <c r="B205" i="24"/>
  <c r="M73" i="29" l="1"/>
  <c r="N73" i="29" s="1"/>
  <c r="L73" i="29"/>
  <c r="K73" i="29"/>
  <c r="P73" i="29"/>
  <c r="O74" i="29" s="1"/>
  <c r="R73" i="29"/>
  <c r="C207" i="24" a="1"/>
  <c r="C207" i="24" s="1"/>
  <c r="D207" i="24" a="1"/>
  <c r="D207" i="24" s="1"/>
  <c r="E207" i="24" a="1"/>
  <c r="E207" i="24" s="1"/>
  <c r="H207" i="24"/>
  <c r="G207" i="24"/>
  <c r="B207" i="24"/>
  <c r="F207" i="24"/>
  <c r="A209" i="24"/>
  <c r="D206" i="24" a="1"/>
  <c r="D206" i="24" s="1"/>
  <c r="E206" i="24" a="1"/>
  <c r="E206" i="24" s="1"/>
  <c r="C206" i="24" a="1"/>
  <c r="C206" i="24" s="1"/>
  <c r="B206" i="24"/>
  <c r="H206" i="24"/>
  <c r="F206" i="24"/>
  <c r="A208" i="24"/>
  <c r="G206" i="24"/>
  <c r="Q74" i="29" l="1"/>
  <c r="G74" i="29"/>
  <c r="H74" i="29" s="1"/>
  <c r="J74" i="29" s="1"/>
  <c r="C209" i="24" a="1"/>
  <c r="C209" i="24" s="1"/>
  <c r="D209" i="24" a="1"/>
  <c r="D209" i="24" s="1"/>
  <c r="E209" i="24" a="1"/>
  <c r="E209" i="24" s="1"/>
  <c r="A211" i="24"/>
  <c r="H209" i="24"/>
  <c r="F209" i="24"/>
  <c r="B209" i="24"/>
  <c r="G209" i="24"/>
  <c r="D208" i="24" a="1"/>
  <c r="D208" i="24" s="1"/>
  <c r="E208" i="24" a="1"/>
  <c r="E208" i="24" s="1"/>
  <c r="C208" i="24" a="1"/>
  <c r="C208" i="24" s="1"/>
  <c r="F208" i="24"/>
  <c r="A210" i="24"/>
  <c r="H208" i="24"/>
  <c r="G208" i="24"/>
  <c r="B208" i="24"/>
  <c r="K74" i="29" l="1"/>
  <c r="L74" i="29"/>
  <c r="M74" i="29"/>
  <c r="N74" i="29" s="1"/>
  <c r="C210" i="24" a="1"/>
  <c r="C210" i="24" s="1"/>
  <c r="D210" i="24" a="1"/>
  <c r="D210" i="24" s="1"/>
  <c r="E210" i="24" a="1"/>
  <c r="E210" i="24" s="1"/>
  <c r="H210" i="24"/>
  <c r="G210" i="24"/>
  <c r="B210" i="24"/>
  <c r="F210" i="24"/>
  <c r="A212" i="24"/>
  <c r="E211" i="24" a="1"/>
  <c r="E211" i="24" s="1"/>
  <c r="C211" i="24" a="1"/>
  <c r="C211" i="24" s="1"/>
  <c r="D211" i="24" a="1"/>
  <c r="D211" i="24" s="1"/>
  <c r="A213" i="24"/>
  <c r="H211" i="24"/>
  <c r="G211" i="24"/>
  <c r="B211" i="24"/>
  <c r="F211" i="24"/>
  <c r="P74" i="29" l="1"/>
  <c r="O75" i="29" s="1"/>
  <c r="R74" i="29"/>
  <c r="C212" i="24" a="1"/>
  <c r="C212" i="24" s="1"/>
  <c r="D212" i="24" a="1"/>
  <c r="D212" i="24" s="1"/>
  <c r="E212" i="24" a="1"/>
  <c r="E212" i="24" s="1"/>
  <c r="A214" i="24"/>
  <c r="H212" i="24"/>
  <c r="G212" i="24"/>
  <c r="B212" i="24"/>
  <c r="F212" i="24"/>
  <c r="E213" i="24" a="1"/>
  <c r="E213" i="24" s="1"/>
  <c r="D213" i="24" a="1"/>
  <c r="D213" i="24" s="1"/>
  <c r="C213" i="24" a="1"/>
  <c r="C213" i="24" s="1"/>
  <c r="F213" i="24"/>
  <c r="A215" i="24"/>
  <c r="H213" i="24"/>
  <c r="G213" i="24"/>
  <c r="B213" i="24"/>
  <c r="Q75" i="29" l="1"/>
  <c r="G75" i="29"/>
  <c r="H75" i="29" s="1"/>
  <c r="J75" i="29" s="1"/>
  <c r="D215" i="24" a="1"/>
  <c r="D215" i="24" s="1"/>
  <c r="E215" i="24" a="1"/>
  <c r="E215" i="24" s="1"/>
  <c r="C215" i="24" a="1"/>
  <c r="C215" i="24" s="1"/>
  <c r="H215" i="24"/>
  <c r="F215" i="24"/>
  <c r="G215" i="24"/>
  <c r="A217" i="24"/>
  <c r="B215" i="24"/>
  <c r="C214" i="24" a="1"/>
  <c r="C214" i="24" s="1"/>
  <c r="D214" i="24" a="1"/>
  <c r="D214" i="24" s="1"/>
  <c r="E214" i="24" a="1"/>
  <c r="E214" i="24" s="1"/>
  <c r="G214" i="24"/>
  <c r="B214" i="24"/>
  <c r="H214" i="24"/>
  <c r="F214" i="24"/>
  <c r="A216" i="24"/>
  <c r="L75" i="29" l="1"/>
  <c r="K75" i="29"/>
  <c r="M75" i="29"/>
  <c r="N75" i="29" s="1"/>
  <c r="C216" i="24" a="1"/>
  <c r="C216" i="24" s="1"/>
  <c r="D216" i="24" a="1"/>
  <c r="D216" i="24" s="1"/>
  <c r="E216" i="24" a="1"/>
  <c r="E216" i="24" s="1"/>
  <c r="F216" i="24"/>
  <c r="A218" i="24"/>
  <c r="H216" i="24"/>
  <c r="B216" i="24"/>
  <c r="G216" i="24"/>
  <c r="D217" i="24" a="1"/>
  <c r="D217" i="24" s="1"/>
  <c r="E217" i="24" a="1"/>
  <c r="E217" i="24" s="1"/>
  <c r="C217" i="24" a="1"/>
  <c r="C217" i="24" s="1"/>
  <c r="A219" i="24"/>
  <c r="H217" i="24"/>
  <c r="G217" i="24"/>
  <c r="F217" i="24"/>
  <c r="B217" i="24"/>
  <c r="R75" i="29" l="1"/>
  <c r="P75" i="29"/>
  <c r="O76" i="29" s="1"/>
  <c r="C218" i="24" a="1"/>
  <c r="C218" i="24" s="1"/>
  <c r="D218" i="24" a="1"/>
  <c r="D218" i="24" s="1"/>
  <c r="E218" i="24" a="1"/>
  <c r="E218" i="24" s="1"/>
  <c r="H218" i="24"/>
  <c r="G218" i="24"/>
  <c r="B218" i="24"/>
  <c r="F218" i="24"/>
  <c r="A220" i="24"/>
  <c r="D219" i="24" a="1"/>
  <c r="D219" i="24" s="1"/>
  <c r="E219" i="24" a="1"/>
  <c r="E219" i="24" s="1"/>
  <c r="C219" i="24" a="1"/>
  <c r="C219" i="24" s="1"/>
  <c r="F219" i="24"/>
  <c r="A221" i="24"/>
  <c r="H219" i="24"/>
  <c r="G219" i="24"/>
  <c r="B219" i="24"/>
  <c r="G76" i="29" l="1"/>
  <c r="H76" i="29" s="1"/>
  <c r="J76" i="29" s="1"/>
  <c r="Q76" i="29"/>
  <c r="C220" i="24" a="1"/>
  <c r="C220" i="24" s="1"/>
  <c r="D220" i="24" a="1"/>
  <c r="D220" i="24" s="1"/>
  <c r="E220" i="24" a="1"/>
  <c r="E220" i="24" s="1"/>
  <c r="B220" i="24"/>
  <c r="G220" i="24"/>
  <c r="F220" i="24"/>
  <c r="H220" i="24"/>
  <c r="A222" i="24"/>
  <c r="C221" i="24" a="1"/>
  <c r="C221" i="24" s="1"/>
  <c r="D221" i="24" a="1"/>
  <c r="D221" i="24" s="1"/>
  <c r="E221" i="24" a="1"/>
  <c r="E221" i="24" s="1"/>
  <c r="H221" i="24"/>
  <c r="B221" i="24"/>
  <c r="F221" i="24"/>
  <c r="G221" i="24"/>
  <c r="A223" i="24"/>
  <c r="M76" i="29" l="1"/>
  <c r="N76" i="29" s="1"/>
  <c r="K76" i="29"/>
  <c r="R76" i="29" s="1"/>
  <c r="L76" i="29"/>
  <c r="P76" i="29" s="1"/>
  <c r="O77" i="29" s="1"/>
  <c r="C222" i="24" a="1"/>
  <c r="C222" i="24" s="1"/>
  <c r="E222" i="24" a="1"/>
  <c r="E222" i="24" s="1"/>
  <c r="D222" i="24" a="1"/>
  <c r="D222" i="24" s="1"/>
  <c r="A224" i="24"/>
  <c r="H222" i="24"/>
  <c r="G222" i="24"/>
  <c r="B222" i="24"/>
  <c r="F222" i="24"/>
  <c r="C223" i="24" a="1"/>
  <c r="C223" i="24" s="1"/>
  <c r="D223" i="24" a="1"/>
  <c r="D223" i="24" s="1"/>
  <c r="E223" i="24" a="1"/>
  <c r="E223" i="24" s="1"/>
  <c r="A225" i="24"/>
  <c r="H223" i="24"/>
  <c r="G223" i="24"/>
  <c r="B223" i="24"/>
  <c r="F223" i="24"/>
  <c r="Q77" i="29" l="1"/>
  <c r="G77" i="29"/>
  <c r="H77" i="29" s="1"/>
  <c r="J77" i="29" s="1"/>
  <c r="C225" i="24" a="1"/>
  <c r="C225" i="24" s="1"/>
  <c r="D225" i="24" a="1"/>
  <c r="D225" i="24" s="1"/>
  <c r="E225" i="24" a="1"/>
  <c r="E225" i="24" s="1"/>
  <c r="G225" i="24"/>
  <c r="B225" i="24"/>
  <c r="F225" i="24"/>
  <c r="A227" i="24"/>
  <c r="H225" i="24"/>
  <c r="E224" i="24" a="1"/>
  <c r="E224" i="24" s="1"/>
  <c r="C224" i="24" a="1"/>
  <c r="C224" i="24" s="1"/>
  <c r="D224" i="24" a="1"/>
  <c r="D224" i="24" s="1"/>
  <c r="H224" i="24"/>
  <c r="G224" i="24"/>
  <c r="B224" i="24"/>
  <c r="F224" i="24"/>
  <c r="A226" i="24"/>
  <c r="K77" i="29" l="1"/>
  <c r="M77" i="29"/>
  <c r="N77" i="29" s="1"/>
  <c r="L77" i="29"/>
  <c r="R77" i="29"/>
  <c r="E226" i="24" a="1"/>
  <c r="E226" i="24" s="1"/>
  <c r="D226" i="24" a="1"/>
  <c r="D226" i="24" s="1"/>
  <c r="C226" i="24" a="1"/>
  <c r="C226" i="24" s="1"/>
  <c r="H226" i="24"/>
  <c r="G226" i="24"/>
  <c r="B226" i="24"/>
  <c r="F226" i="24"/>
  <c r="A228" i="24"/>
  <c r="C227" i="24" a="1"/>
  <c r="C227" i="24" s="1"/>
  <c r="D227" i="24" a="1"/>
  <c r="D227" i="24" s="1"/>
  <c r="E227" i="24" a="1"/>
  <c r="E227" i="24" s="1"/>
  <c r="F227" i="24"/>
  <c r="A229" i="24"/>
  <c r="H227" i="24"/>
  <c r="G227" i="24"/>
  <c r="B227" i="24"/>
  <c r="P77" i="29" l="1"/>
  <c r="O78" i="29" s="1"/>
  <c r="G78" i="29"/>
  <c r="H78" i="29" s="1"/>
  <c r="J78" i="29" s="1"/>
  <c r="Q78" i="29"/>
  <c r="E228" i="24" a="1"/>
  <c r="E228" i="24" s="1"/>
  <c r="D228" i="24" a="1"/>
  <c r="D228" i="24" s="1"/>
  <c r="C228" i="24" a="1"/>
  <c r="C228" i="24" s="1"/>
  <c r="B228" i="24"/>
  <c r="A230" i="24"/>
  <c r="F228" i="24"/>
  <c r="H228" i="24"/>
  <c r="G228" i="24"/>
  <c r="C229" i="24" a="1"/>
  <c r="C229" i="24" s="1"/>
  <c r="D229" i="24" a="1"/>
  <c r="D229" i="24" s="1"/>
  <c r="E229" i="24" a="1"/>
  <c r="E229" i="24" s="1"/>
  <c r="H229" i="24"/>
  <c r="F229" i="24"/>
  <c r="G229" i="24"/>
  <c r="B229" i="24"/>
  <c r="A231" i="24"/>
  <c r="K78" i="29" l="1"/>
  <c r="L78" i="29"/>
  <c r="M78" i="29"/>
  <c r="N78" i="29" s="1"/>
  <c r="C231" i="24" a="1"/>
  <c r="C231" i="24" s="1"/>
  <c r="D231" i="24" a="1"/>
  <c r="D231" i="24" s="1"/>
  <c r="E231" i="24" a="1"/>
  <c r="E231" i="24" s="1"/>
  <c r="G231" i="24"/>
  <c r="F231" i="24"/>
  <c r="A233" i="24"/>
  <c r="B231" i="24"/>
  <c r="H231" i="24"/>
  <c r="D230" i="24" a="1"/>
  <c r="D230" i="24" s="1"/>
  <c r="E230" i="24" a="1"/>
  <c r="E230" i="24" s="1"/>
  <c r="C230" i="24" a="1"/>
  <c r="C230" i="24" s="1"/>
  <c r="A232" i="24"/>
  <c r="H230" i="24"/>
  <c r="G230" i="24"/>
  <c r="F230" i="24"/>
  <c r="B230" i="24"/>
  <c r="R78" i="29" l="1"/>
  <c r="Q79" i="29"/>
  <c r="G79" i="29"/>
  <c r="H79" i="29" s="1"/>
  <c r="J79" i="29" s="1"/>
  <c r="P78" i="29"/>
  <c r="O79" i="29" s="1"/>
  <c r="C233" i="24" a="1"/>
  <c r="C233" i="24" s="1"/>
  <c r="D233" i="24" a="1"/>
  <c r="D233" i="24" s="1"/>
  <c r="E233" i="24" a="1"/>
  <c r="E233" i="24" s="1"/>
  <c r="F233" i="24"/>
  <c r="H233" i="24"/>
  <c r="G233" i="24"/>
  <c r="B233" i="24"/>
  <c r="A235" i="24"/>
  <c r="E232" i="24" a="1"/>
  <c r="E232" i="24" s="1"/>
  <c r="D232" i="24" a="1"/>
  <c r="D232" i="24" s="1"/>
  <c r="C232" i="24" a="1"/>
  <c r="C232" i="24" s="1"/>
  <c r="A234" i="24"/>
  <c r="B232" i="24"/>
  <c r="H232" i="24"/>
  <c r="G232" i="24"/>
  <c r="F232" i="24"/>
  <c r="L79" i="29" l="1"/>
  <c r="M79" i="29"/>
  <c r="N79" i="29" s="1"/>
  <c r="K79" i="29"/>
  <c r="C235" i="24" a="1"/>
  <c r="C235" i="24" s="1"/>
  <c r="D235" i="24" a="1"/>
  <c r="D235" i="24" s="1"/>
  <c r="E235" i="24" a="1"/>
  <c r="E235" i="24" s="1"/>
  <c r="A237" i="24"/>
  <c r="G235" i="24"/>
  <c r="B235" i="24"/>
  <c r="F235" i="24"/>
  <c r="H235" i="24"/>
  <c r="D234" i="24" a="1"/>
  <c r="D234" i="24" s="1"/>
  <c r="E234" i="24" a="1"/>
  <c r="E234" i="24" s="1"/>
  <c r="C234" i="24" a="1"/>
  <c r="C234" i="24" s="1"/>
  <c r="F234" i="24"/>
  <c r="H234" i="24"/>
  <c r="A236" i="24"/>
  <c r="G234" i="24"/>
  <c r="B234" i="24"/>
  <c r="R79" i="29" l="1"/>
  <c r="P79" i="29"/>
  <c r="O80" i="29" s="1"/>
  <c r="G80" i="29"/>
  <c r="H80" i="29" s="1"/>
  <c r="J80" i="29" s="1"/>
  <c r="Q80" i="29"/>
  <c r="D236" i="24" a="1"/>
  <c r="D236" i="24" s="1"/>
  <c r="E236" i="24" a="1"/>
  <c r="E236" i="24" s="1"/>
  <c r="C236" i="24" a="1"/>
  <c r="C236" i="24" s="1"/>
  <c r="H236" i="24"/>
  <c r="A238" i="24"/>
  <c r="G236" i="24"/>
  <c r="B236" i="24"/>
  <c r="F236" i="24"/>
  <c r="C237" i="24" a="1"/>
  <c r="C237" i="24" s="1"/>
  <c r="D237" i="24" a="1"/>
  <c r="D237" i="24" s="1"/>
  <c r="E237" i="24" a="1"/>
  <c r="E237" i="24" s="1"/>
  <c r="A239" i="24"/>
  <c r="G237" i="24"/>
  <c r="F237" i="24"/>
  <c r="H237" i="24"/>
  <c r="B237" i="24"/>
  <c r="L80" i="29" l="1"/>
  <c r="K80" i="29"/>
  <c r="M80" i="29"/>
  <c r="N80" i="29" s="1"/>
  <c r="R80" i="29" s="1"/>
  <c r="D238" i="24" a="1"/>
  <c r="D238" i="24" s="1"/>
  <c r="E238" i="24" a="1"/>
  <c r="E238" i="24" s="1"/>
  <c r="C238" i="24" a="1"/>
  <c r="C238" i="24" s="1"/>
  <c r="A240" i="24"/>
  <c r="H238" i="24"/>
  <c r="F238" i="24"/>
  <c r="B238" i="24"/>
  <c r="G238" i="24"/>
  <c r="C239" i="24" a="1"/>
  <c r="C239" i="24" s="1"/>
  <c r="D239" i="24" a="1"/>
  <c r="D239" i="24" s="1"/>
  <c r="E239" i="24" a="1"/>
  <c r="E239" i="24" s="1"/>
  <c r="F239" i="24"/>
  <c r="G239" i="24"/>
  <c r="A241" i="24"/>
  <c r="H239" i="24"/>
  <c r="B239" i="24"/>
  <c r="G81" i="29" l="1"/>
  <c r="H81" i="29" s="1"/>
  <c r="J81" i="29" s="1"/>
  <c r="Q81" i="29"/>
  <c r="P80" i="29"/>
  <c r="O81" i="29" s="1"/>
  <c r="C241" i="24" a="1"/>
  <c r="C241" i="24" s="1"/>
  <c r="D241" i="24" a="1"/>
  <c r="D241" i="24" s="1"/>
  <c r="E241" i="24" a="1"/>
  <c r="E241" i="24" s="1"/>
  <c r="H241" i="24"/>
  <c r="A243" i="24"/>
  <c r="B241" i="24"/>
  <c r="F241" i="24"/>
  <c r="G241" i="24"/>
  <c r="D240" i="24" a="1"/>
  <c r="D240" i="24" s="1"/>
  <c r="E240" i="24" a="1"/>
  <c r="E240" i="24" s="1"/>
  <c r="C240" i="24" a="1"/>
  <c r="C240" i="24" s="1"/>
  <c r="G240" i="24"/>
  <c r="B240" i="24"/>
  <c r="A242" i="24"/>
  <c r="H240" i="24"/>
  <c r="F240" i="24"/>
  <c r="M81" i="29" l="1"/>
  <c r="N81" i="29" s="1"/>
  <c r="K81" i="29"/>
  <c r="R81" i="29" s="1"/>
  <c r="L81" i="29"/>
  <c r="P81" i="29" s="1"/>
  <c r="O82" i="29" s="1"/>
  <c r="E242" i="24" a="1"/>
  <c r="E242" i="24" s="1"/>
  <c r="D242" i="24" a="1"/>
  <c r="D242" i="24" s="1"/>
  <c r="C242" i="24" a="1"/>
  <c r="C242" i="24" s="1"/>
  <c r="F242" i="24"/>
  <c r="A244" i="24"/>
  <c r="H242" i="24"/>
  <c r="B242" i="24"/>
  <c r="G242" i="24"/>
  <c r="C243" i="24" a="1"/>
  <c r="C243" i="24" s="1"/>
  <c r="D243" i="24" a="1"/>
  <c r="D243" i="24" s="1"/>
  <c r="E243" i="24" a="1"/>
  <c r="E243" i="24" s="1"/>
  <c r="A245" i="24"/>
  <c r="B243" i="24"/>
  <c r="F243" i="24"/>
  <c r="G243" i="24"/>
  <c r="H243" i="24"/>
  <c r="G82" i="29" l="1"/>
  <c r="H82" i="29" s="1"/>
  <c r="J82" i="29" s="1"/>
  <c r="Q82" i="29"/>
  <c r="E244" i="24" a="1"/>
  <c r="E244" i="24" s="1"/>
  <c r="D244" i="24" a="1"/>
  <c r="D244" i="24" s="1"/>
  <c r="C244" i="24" a="1"/>
  <c r="C244" i="24" s="1"/>
  <c r="H244" i="24"/>
  <c r="B244" i="24"/>
  <c r="A246" i="24"/>
  <c r="G244" i="24"/>
  <c r="F244" i="24"/>
  <c r="C245" i="24" a="1"/>
  <c r="C245" i="24" s="1"/>
  <c r="D245" i="24" a="1"/>
  <c r="D245" i="24" s="1"/>
  <c r="E245" i="24" a="1"/>
  <c r="E245" i="24" s="1"/>
  <c r="A247" i="24"/>
  <c r="H245" i="24"/>
  <c r="G245" i="24"/>
  <c r="B245" i="24"/>
  <c r="F245" i="24"/>
  <c r="K82" i="29" l="1"/>
  <c r="L82" i="29"/>
  <c r="M82" i="29"/>
  <c r="N82" i="29" s="1"/>
  <c r="C246" i="24" a="1"/>
  <c r="C246" i="24" s="1"/>
  <c r="E246" i="24" a="1"/>
  <c r="E246" i="24" s="1"/>
  <c r="D246" i="24" a="1"/>
  <c r="D246" i="24" s="1"/>
  <c r="A248" i="24"/>
  <c r="H246" i="24"/>
  <c r="B246" i="24"/>
  <c r="F246" i="24"/>
  <c r="G246" i="24"/>
  <c r="C247" i="24" a="1"/>
  <c r="C247" i="24" s="1"/>
  <c r="D247" i="24" a="1"/>
  <c r="D247" i="24" s="1"/>
  <c r="E247" i="24" a="1"/>
  <c r="E247" i="24" s="1"/>
  <c r="F247" i="24"/>
  <c r="A249" i="24"/>
  <c r="G247" i="24"/>
  <c r="B247" i="24"/>
  <c r="H247" i="24"/>
  <c r="R82" i="29" l="1"/>
  <c r="G83" i="29"/>
  <c r="H83" i="29" s="1"/>
  <c r="J83" i="29" s="1"/>
  <c r="Q83" i="29"/>
  <c r="P82" i="29"/>
  <c r="O83" i="29" s="1"/>
  <c r="C249" i="24" a="1"/>
  <c r="C249" i="24" s="1"/>
  <c r="D249" i="24" a="1"/>
  <c r="D249" i="24" s="1"/>
  <c r="E249" i="24" a="1"/>
  <c r="E249" i="24" s="1"/>
  <c r="H249" i="24"/>
  <c r="G249" i="24"/>
  <c r="B249" i="24"/>
  <c r="A251" i="24"/>
  <c r="F249" i="24"/>
  <c r="C248" i="24" a="1"/>
  <c r="C248" i="24" s="1"/>
  <c r="D248" i="24" a="1"/>
  <c r="D248" i="24" s="1"/>
  <c r="E248" i="24" a="1"/>
  <c r="E248" i="24" s="1"/>
  <c r="G248" i="24"/>
  <c r="A250" i="24"/>
  <c r="B248" i="24"/>
  <c r="F248" i="24"/>
  <c r="H248" i="24"/>
  <c r="M83" i="29" l="1"/>
  <c r="N83" i="29" s="1"/>
  <c r="K83" i="29"/>
  <c r="L83" i="29"/>
  <c r="C250" i="24" a="1"/>
  <c r="C250" i="24" s="1"/>
  <c r="E250" i="24" a="1"/>
  <c r="E250" i="24" s="1"/>
  <c r="D250" i="24" a="1"/>
  <c r="D250" i="24" s="1"/>
  <c r="F250" i="24"/>
  <c r="G250" i="24"/>
  <c r="A252" i="24"/>
  <c r="H250" i="24"/>
  <c r="B250" i="24"/>
  <c r="C251" i="24" a="1"/>
  <c r="C251" i="24" s="1"/>
  <c r="D251" i="24" a="1"/>
  <c r="D251" i="24" s="1"/>
  <c r="E251" i="24" a="1"/>
  <c r="E251" i="24" s="1"/>
  <c r="A253" i="24"/>
  <c r="B251" i="24"/>
  <c r="H251" i="24"/>
  <c r="G251" i="24"/>
  <c r="F251" i="24"/>
  <c r="P83" i="29" l="1"/>
  <c r="O84" i="29" s="1"/>
  <c r="R83" i="29"/>
  <c r="C252" i="24" a="1"/>
  <c r="C252" i="24" s="1"/>
  <c r="D252" i="24" a="1"/>
  <c r="D252" i="24" s="1"/>
  <c r="E252" i="24" a="1"/>
  <c r="E252" i="24" s="1"/>
  <c r="H252" i="24"/>
  <c r="A254" i="24"/>
  <c r="G252" i="24"/>
  <c r="B252" i="24"/>
  <c r="F252" i="24"/>
  <c r="D253" i="24" a="1"/>
  <c r="D253" i="24" s="1"/>
  <c r="E253" i="24" a="1"/>
  <c r="E253" i="24" s="1"/>
  <c r="C253" i="24" a="1"/>
  <c r="C253" i="24" s="1"/>
  <c r="A255" i="24"/>
  <c r="G253" i="24"/>
  <c r="B253" i="24"/>
  <c r="H253" i="24"/>
  <c r="F253" i="24"/>
  <c r="G84" i="29" l="1"/>
  <c r="H84" i="29" s="1"/>
  <c r="J84" i="29" s="1"/>
  <c r="Q84" i="29"/>
  <c r="C254" i="24" a="1"/>
  <c r="C254" i="24" s="1"/>
  <c r="D254" i="24" a="1"/>
  <c r="D254" i="24" s="1"/>
  <c r="E254" i="24" a="1"/>
  <c r="E254" i="24" s="1"/>
  <c r="G254" i="24"/>
  <c r="H254" i="24"/>
  <c r="B254" i="24"/>
  <c r="A256" i="24"/>
  <c r="F254" i="24"/>
  <c r="D255" i="24" a="1"/>
  <c r="D255" i="24" s="1"/>
  <c r="E255" i="24" a="1"/>
  <c r="E255" i="24" s="1"/>
  <c r="C255" i="24" a="1"/>
  <c r="C255" i="24" s="1"/>
  <c r="H255" i="24"/>
  <c r="F255" i="24"/>
  <c r="G255" i="24"/>
  <c r="B255" i="24"/>
  <c r="A257" i="24"/>
  <c r="L84" i="29" l="1"/>
  <c r="M84" i="29"/>
  <c r="N84" i="29" s="1"/>
  <c r="K84" i="29"/>
  <c r="E257" i="24" a="1"/>
  <c r="E257" i="24" s="1"/>
  <c r="D257" i="24" a="1"/>
  <c r="D257" i="24" s="1"/>
  <c r="C257" i="24" a="1"/>
  <c r="C257" i="24" s="1"/>
  <c r="H257" i="24"/>
  <c r="F257" i="24"/>
  <c r="A259" i="24"/>
  <c r="G257" i="24"/>
  <c r="B257" i="24"/>
  <c r="C256" i="24" a="1"/>
  <c r="C256" i="24" s="1"/>
  <c r="D256" i="24" a="1"/>
  <c r="D256" i="24" s="1"/>
  <c r="E256" i="24" a="1"/>
  <c r="E256" i="24" s="1"/>
  <c r="G256" i="24"/>
  <c r="F256" i="24"/>
  <c r="H256" i="24"/>
  <c r="B256" i="24"/>
  <c r="A258" i="24"/>
  <c r="R84" i="29" l="1"/>
  <c r="G85" i="29"/>
  <c r="H85" i="29" s="1"/>
  <c r="J85" i="29" s="1"/>
  <c r="Q85" i="29"/>
  <c r="P84" i="29"/>
  <c r="O85" i="29" s="1"/>
  <c r="E259" i="24" a="1"/>
  <c r="E259" i="24" s="1"/>
  <c r="C259" i="24" a="1"/>
  <c r="C259" i="24" s="1"/>
  <c r="D259" i="24" a="1"/>
  <c r="D259" i="24" s="1"/>
  <c r="A261" i="24"/>
  <c r="F259" i="24"/>
  <c r="G259" i="24"/>
  <c r="B259" i="24"/>
  <c r="H259" i="24"/>
  <c r="C258" i="24" a="1"/>
  <c r="C258" i="24" s="1"/>
  <c r="D258" i="24" a="1"/>
  <c r="D258" i="24" s="1"/>
  <c r="E258" i="24" a="1"/>
  <c r="E258" i="24" s="1"/>
  <c r="F258" i="24"/>
  <c r="B258" i="24"/>
  <c r="A260" i="24"/>
  <c r="H258" i="24"/>
  <c r="G258" i="24"/>
  <c r="L85" i="29" l="1"/>
  <c r="M85" i="29"/>
  <c r="N85" i="29" s="1"/>
  <c r="K85" i="29"/>
  <c r="C260" i="24" a="1"/>
  <c r="C260" i="24" s="1"/>
  <c r="D260" i="24" a="1"/>
  <c r="D260" i="24" s="1"/>
  <c r="E260" i="24" a="1"/>
  <c r="E260" i="24" s="1"/>
  <c r="H260" i="24"/>
  <c r="B260" i="24"/>
  <c r="A262" i="24"/>
  <c r="G260" i="24"/>
  <c r="F260" i="24"/>
  <c r="E261" i="24" a="1"/>
  <c r="E261" i="24" s="1"/>
  <c r="D261" i="24" a="1"/>
  <c r="D261" i="24" s="1"/>
  <c r="C261" i="24" a="1"/>
  <c r="C261" i="24" s="1"/>
  <c r="A263" i="24"/>
  <c r="H261" i="24"/>
  <c r="B261" i="24"/>
  <c r="F261" i="24"/>
  <c r="G261" i="24"/>
  <c r="R85" i="29" l="1"/>
  <c r="P85" i="29"/>
  <c r="O86" i="29" s="1"/>
  <c r="Q86" i="29"/>
  <c r="G86" i="29"/>
  <c r="H86" i="29" s="1"/>
  <c r="J86" i="29" s="1"/>
  <c r="C262" i="24" a="1"/>
  <c r="C262" i="24" s="1"/>
  <c r="D262" i="24" a="1"/>
  <c r="D262" i="24" s="1"/>
  <c r="E262" i="24" a="1"/>
  <c r="E262" i="24" s="1"/>
  <c r="A264" i="24"/>
  <c r="G262" i="24"/>
  <c r="F262" i="24"/>
  <c r="H262" i="24"/>
  <c r="B262" i="24"/>
  <c r="C263" i="24" a="1"/>
  <c r="C263" i="24" s="1"/>
  <c r="E263" i="24" a="1"/>
  <c r="E263" i="24" s="1"/>
  <c r="D263" i="24" a="1"/>
  <c r="D263" i="24" s="1"/>
  <c r="F263" i="24"/>
  <c r="A265" i="24"/>
  <c r="H263" i="24"/>
  <c r="B263" i="24"/>
  <c r="G263" i="24"/>
  <c r="M86" i="29" l="1"/>
  <c r="N86" i="29" s="1"/>
  <c r="L86" i="29"/>
  <c r="K86" i="29"/>
  <c r="R86" i="29" s="1"/>
  <c r="C265" i="24" a="1"/>
  <c r="C265" i="24" s="1"/>
  <c r="E265" i="24" a="1"/>
  <c r="E265" i="24" s="1"/>
  <c r="D265" i="24" a="1"/>
  <c r="D265" i="24" s="1"/>
  <c r="H265" i="24"/>
  <c r="G265" i="24"/>
  <c r="F265" i="24"/>
  <c r="A267" i="24"/>
  <c r="B265" i="24"/>
  <c r="C264" i="24" a="1"/>
  <c r="C264" i="24" s="1"/>
  <c r="D264" i="24" a="1"/>
  <c r="D264" i="24" s="1"/>
  <c r="E264" i="24" a="1"/>
  <c r="E264" i="24" s="1"/>
  <c r="G264" i="24"/>
  <c r="F264" i="24"/>
  <c r="H264" i="24"/>
  <c r="B264" i="24"/>
  <c r="A266" i="24"/>
  <c r="P86" i="29" l="1"/>
  <c r="O87" i="29" s="1"/>
  <c r="Q87" i="29"/>
  <c r="G87" i="29"/>
  <c r="H87" i="29" s="1"/>
  <c r="J87" i="29" s="1"/>
  <c r="C266" i="24" a="1"/>
  <c r="C266" i="24" s="1"/>
  <c r="D266" i="24" a="1"/>
  <c r="D266" i="24" s="1"/>
  <c r="E266" i="24" a="1"/>
  <c r="E266" i="24" s="1"/>
  <c r="F266" i="24"/>
  <c r="A268" i="24"/>
  <c r="H266" i="24"/>
  <c r="G266" i="24"/>
  <c r="B266" i="24"/>
  <c r="C267" i="24" a="1"/>
  <c r="C267" i="24" s="1"/>
  <c r="D267" i="24" a="1"/>
  <c r="D267" i="24" s="1"/>
  <c r="E267" i="24" a="1"/>
  <c r="E267" i="24" s="1"/>
  <c r="A269" i="24"/>
  <c r="G267" i="24"/>
  <c r="B267" i="24"/>
  <c r="F267" i="24"/>
  <c r="H267" i="24"/>
  <c r="K87" i="29" l="1"/>
  <c r="L87" i="29"/>
  <c r="M87" i="29"/>
  <c r="N87" i="29" s="1"/>
  <c r="D268" i="24" a="1"/>
  <c r="D268" i="24" s="1"/>
  <c r="E268" i="24" a="1"/>
  <c r="E268" i="24" s="1"/>
  <c r="C268" i="24" a="1"/>
  <c r="C268" i="24" s="1"/>
  <c r="H268" i="24"/>
  <c r="A270" i="24"/>
  <c r="G268" i="24"/>
  <c r="B268" i="24"/>
  <c r="F268" i="24"/>
  <c r="C269" i="24" a="1"/>
  <c r="C269" i="24" s="1"/>
  <c r="D269" i="24" a="1"/>
  <c r="D269" i="24" s="1"/>
  <c r="E269" i="24" a="1"/>
  <c r="E269" i="24" s="1"/>
  <c r="A271" i="24"/>
  <c r="H269" i="24"/>
  <c r="G269" i="24"/>
  <c r="B269" i="24"/>
  <c r="F269" i="24"/>
  <c r="R87" i="29" l="1"/>
  <c r="G88" i="29"/>
  <c r="H88" i="29" s="1"/>
  <c r="J88" i="29" s="1"/>
  <c r="Q88" i="29"/>
  <c r="P87" i="29"/>
  <c r="O88" i="29" s="1"/>
  <c r="D270" i="24" a="1"/>
  <c r="D270" i="24" s="1"/>
  <c r="E270" i="24" a="1"/>
  <c r="E270" i="24" s="1"/>
  <c r="C270" i="24" a="1"/>
  <c r="C270" i="24" s="1"/>
  <c r="A272" i="24"/>
  <c r="F270" i="24"/>
  <c r="B270" i="24"/>
  <c r="H270" i="24"/>
  <c r="G270" i="24"/>
  <c r="C271" i="24" a="1"/>
  <c r="C271" i="24" s="1"/>
  <c r="D271" i="24" a="1"/>
  <c r="D271" i="24" s="1"/>
  <c r="E271" i="24" a="1"/>
  <c r="E271" i="24" s="1"/>
  <c r="F271" i="24"/>
  <c r="A273" i="24"/>
  <c r="H271" i="24"/>
  <c r="G271" i="24"/>
  <c r="B271" i="24"/>
  <c r="M88" i="29" l="1"/>
  <c r="K88" i="29"/>
  <c r="L88" i="29"/>
  <c r="P88" i="29" s="1"/>
  <c r="O89" i="29" s="1"/>
  <c r="N88" i="29"/>
  <c r="R88" i="29" s="1"/>
  <c r="C273" i="24" a="1"/>
  <c r="C273" i="24" s="1"/>
  <c r="D273" i="24" a="1"/>
  <c r="D273" i="24" s="1"/>
  <c r="E273" i="24" a="1"/>
  <c r="E273" i="24" s="1"/>
  <c r="H273" i="24"/>
  <c r="B273" i="24"/>
  <c r="G273" i="24"/>
  <c r="F273" i="24"/>
  <c r="A275" i="24"/>
  <c r="D272" i="24" a="1"/>
  <c r="D272" i="24" s="1"/>
  <c r="E272" i="24" a="1"/>
  <c r="E272" i="24" s="1"/>
  <c r="C272" i="24" a="1"/>
  <c r="C272" i="24" s="1"/>
  <c r="G272" i="24"/>
  <c r="B272" i="24"/>
  <c r="F272" i="24"/>
  <c r="A274" i="24"/>
  <c r="H272" i="24"/>
  <c r="G89" i="29" l="1"/>
  <c r="H89" i="29" s="1"/>
  <c r="J89" i="29" s="1"/>
  <c r="Q89" i="29"/>
  <c r="C275" i="24" a="1"/>
  <c r="C275" i="24" s="1"/>
  <c r="D275" i="24" a="1"/>
  <c r="D275" i="24" s="1"/>
  <c r="E275" i="24" a="1"/>
  <c r="E275" i="24" s="1"/>
  <c r="A277" i="24"/>
  <c r="H275" i="24"/>
  <c r="G275" i="24"/>
  <c r="B275" i="24"/>
  <c r="F275" i="24"/>
  <c r="E274" i="24" a="1"/>
  <c r="E274" i="24" s="1"/>
  <c r="D274" i="24" a="1"/>
  <c r="D274" i="24" s="1"/>
  <c r="C274" i="24" a="1"/>
  <c r="C274" i="24" s="1"/>
  <c r="F274" i="24"/>
  <c r="B274" i="24"/>
  <c r="A276" i="24"/>
  <c r="H274" i="24"/>
  <c r="G274" i="24"/>
  <c r="L89" i="29" l="1"/>
  <c r="K89" i="29"/>
  <c r="M89" i="29"/>
  <c r="N89" i="29" s="1"/>
  <c r="E276" i="24" a="1"/>
  <c r="E276" i="24" s="1"/>
  <c r="D276" i="24" a="1"/>
  <c r="D276" i="24" s="1"/>
  <c r="C276" i="24" a="1"/>
  <c r="C276" i="24" s="1"/>
  <c r="H276" i="24"/>
  <c r="B276" i="24"/>
  <c r="F276" i="24"/>
  <c r="G276" i="24"/>
  <c r="A278" i="24"/>
  <c r="C277" i="24" a="1"/>
  <c r="C277" i="24" s="1"/>
  <c r="D277" i="24" a="1"/>
  <c r="D277" i="24" s="1"/>
  <c r="E277" i="24" a="1"/>
  <c r="E277" i="24" s="1"/>
  <c r="A279" i="24"/>
  <c r="B277" i="24"/>
  <c r="H277" i="24"/>
  <c r="G277" i="24"/>
  <c r="F277" i="24"/>
  <c r="R89" i="29" l="1"/>
  <c r="Q90" i="29" s="1"/>
  <c r="P89" i="29"/>
  <c r="O90" i="29" s="1"/>
  <c r="C278" i="24" a="1"/>
  <c r="C278" i="24" s="1"/>
  <c r="E278" i="24" a="1"/>
  <c r="E278" i="24" s="1"/>
  <c r="D278" i="24" a="1"/>
  <c r="D278" i="24" s="1"/>
  <c r="A280" i="24"/>
  <c r="G278" i="24"/>
  <c r="F278" i="24"/>
  <c r="H278" i="24"/>
  <c r="B278" i="24"/>
  <c r="C279" i="24" a="1"/>
  <c r="C279" i="24" s="1"/>
  <c r="D279" i="24" a="1"/>
  <c r="D279" i="24" s="1"/>
  <c r="E279" i="24" a="1"/>
  <c r="E279" i="24" s="1"/>
  <c r="F279" i="24"/>
  <c r="H279" i="24"/>
  <c r="B279" i="24"/>
  <c r="A281" i="24"/>
  <c r="G279" i="24"/>
  <c r="G90" i="29" l="1"/>
  <c r="H90" i="29"/>
  <c r="J90" i="29" s="1"/>
  <c r="G25" i="29"/>
  <c r="C281" i="24" a="1"/>
  <c r="C281" i="24" s="1"/>
  <c r="D281" i="24" a="1"/>
  <c r="D281" i="24" s="1"/>
  <c r="E281" i="24" a="1"/>
  <c r="E281" i="24" s="1"/>
  <c r="H281" i="24"/>
  <c r="G281" i="24"/>
  <c r="A283" i="24"/>
  <c r="F281" i="24"/>
  <c r="B281" i="24"/>
  <c r="C280" i="24" a="1"/>
  <c r="C280" i="24" s="1"/>
  <c r="D280" i="24" a="1"/>
  <c r="D280" i="24" s="1"/>
  <c r="E280" i="24" a="1"/>
  <c r="E280" i="24" s="1"/>
  <c r="G280" i="24"/>
  <c r="F280" i="24"/>
  <c r="H280" i="24"/>
  <c r="B280" i="24"/>
  <c r="A282" i="24"/>
  <c r="M90" i="29" l="1"/>
  <c r="L90" i="29"/>
  <c r="P90" i="29" s="1"/>
  <c r="K90" i="29"/>
  <c r="N90" i="29"/>
  <c r="R90" i="29" s="1"/>
  <c r="G27" i="29" s="1"/>
  <c r="C282" i="24" a="1"/>
  <c r="C282" i="24" s="1"/>
  <c r="E282" i="24" a="1"/>
  <c r="E282" i="24" s="1"/>
  <c r="D282" i="24" a="1"/>
  <c r="D282" i="24" s="1"/>
  <c r="F282" i="24"/>
  <c r="A284" i="24"/>
  <c r="B282" i="24"/>
  <c r="G282" i="24"/>
  <c r="H282" i="24"/>
  <c r="C283" i="24" a="1"/>
  <c r="C283" i="24" s="1"/>
  <c r="D283" i="24" a="1"/>
  <c r="D283" i="24" s="1"/>
  <c r="E283" i="24" a="1"/>
  <c r="E283" i="24" s="1"/>
  <c r="A285" i="24"/>
  <c r="B283" i="24"/>
  <c r="G283" i="24"/>
  <c r="F283" i="24"/>
  <c r="H283" i="24"/>
  <c r="G26" i="29" l="1"/>
  <c r="G22" i="29" a="1"/>
  <c r="G22" i="29" s="1"/>
  <c r="C284" i="24" a="1"/>
  <c r="C284" i="24" s="1"/>
  <c r="D284" i="24" a="1"/>
  <c r="D284" i="24" s="1"/>
  <c r="E284" i="24" a="1"/>
  <c r="E284" i="24" s="1"/>
  <c r="H284" i="24"/>
  <c r="G284" i="24"/>
  <c r="B284" i="24"/>
  <c r="A286" i="24"/>
  <c r="F284" i="24"/>
  <c r="D285" i="24" a="1"/>
  <c r="D285" i="24" s="1"/>
  <c r="E285" i="24" a="1"/>
  <c r="E285" i="24" s="1"/>
  <c r="C285" i="24" a="1"/>
  <c r="C285" i="24" s="1"/>
  <c r="B285" i="24"/>
  <c r="G285" i="24"/>
  <c r="F285" i="24"/>
  <c r="A287" i="24"/>
  <c r="H285" i="24"/>
  <c r="G24" i="29" l="1" a="1"/>
  <c r="G24" i="29" s="1"/>
  <c r="G23" i="29" a="1"/>
  <c r="G23" i="29" s="1"/>
  <c r="D287" i="24" a="1"/>
  <c r="D287" i="24" s="1"/>
  <c r="C287" i="24" a="1"/>
  <c r="C287" i="24" s="1"/>
  <c r="E287" i="24" a="1"/>
  <c r="E287" i="24" s="1"/>
  <c r="F287" i="24"/>
  <c r="H287" i="24"/>
  <c r="A289" i="24"/>
  <c r="G287" i="24"/>
  <c r="B287" i="24"/>
  <c r="C286" i="24" a="1"/>
  <c r="C286" i="24" s="1"/>
  <c r="D286" i="24" a="1"/>
  <c r="D286" i="24" s="1"/>
  <c r="E286" i="24" a="1"/>
  <c r="E286" i="24" s="1"/>
  <c r="H286" i="24"/>
  <c r="B286" i="24"/>
  <c r="G286" i="24"/>
  <c r="A288" i="24"/>
  <c r="F286" i="24"/>
  <c r="C288" i="24" l="1" a="1"/>
  <c r="C288" i="24" s="1"/>
  <c r="D288" i="24" a="1"/>
  <c r="D288" i="24" s="1"/>
  <c r="E288" i="24" a="1"/>
  <c r="E288" i="24" s="1"/>
  <c r="F288" i="24"/>
  <c r="H288" i="24"/>
  <c r="G288" i="24"/>
  <c r="A290" i="24"/>
  <c r="B288" i="24"/>
  <c r="E289" i="24" a="1"/>
  <c r="E289" i="24" s="1"/>
  <c r="D289" i="24" a="1"/>
  <c r="D289" i="24" s="1"/>
  <c r="C289" i="24" a="1"/>
  <c r="C289" i="24" s="1"/>
  <c r="H289" i="24"/>
  <c r="B289" i="24"/>
  <c r="F289" i="24"/>
  <c r="A291" i="24"/>
  <c r="G289" i="24"/>
  <c r="E291" i="24" l="1" a="1"/>
  <c r="E291" i="24" s="1"/>
  <c r="C291" i="24" a="1"/>
  <c r="C291" i="24" s="1"/>
  <c r="D291" i="24" a="1"/>
  <c r="D291" i="24" s="1"/>
  <c r="A293" i="24"/>
  <c r="G291" i="24"/>
  <c r="H291" i="24"/>
  <c r="F291" i="24"/>
  <c r="B291" i="24"/>
  <c r="D290" i="24" a="1"/>
  <c r="D290" i="24" s="1"/>
  <c r="E290" i="24" a="1"/>
  <c r="E290" i="24" s="1"/>
  <c r="C290" i="24" a="1"/>
  <c r="C290" i="24" s="1"/>
  <c r="A292" i="24"/>
  <c r="H290" i="24"/>
  <c r="G290" i="24"/>
  <c r="B290" i="24"/>
  <c r="F290" i="24"/>
  <c r="E292" i="24" l="1" a="1"/>
  <c r="E292" i="24" s="1"/>
  <c r="D292" i="24" a="1"/>
  <c r="D292" i="24" s="1"/>
  <c r="C292" i="24" a="1"/>
  <c r="C292" i="24" s="1"/>
  <c r="H292" i="24"/>
  <c r="B292" i="24"/>
  <c r="F292" i="24"/>
  <c r="G292" i="24"/>
  <c r="A294" i="24"/>
  <c r="E293" i="24" a="1"/>
  <c r="E293" i="24" s="1"/>
  <c r="C293" i="24" a="1"/>
  <c r="C293" i="24" s="1"/>
  <c r="D293" i="24" a="1"/>
  <c r="D293" i="24" s="1"/>
  <c r="G293" i="24"/>
  <c r="A295" i="24"/>
  <c r="B293" i="24"/>
  <c r="F293" i="24"/>
  <c r="H293" i="24"/>
  <c r="C294" i="24" l="1" a="1"/>
  <c r="C294" i="24" s="1"/>
  <c r="E294" i="24" a="1"/>
  <c r="E294" i="24" s="1"/>
  <c r="D294" i="24" a="1"/>
  <c r="D294" i="24" s="1"/>
  <c r="A296" i="24"/>
  <c r="H294" i="24"/>
  <c r="B294" i="24"/>
  <c r="F294" i="24"/>
  <c r="G294" i="24"/>
  <c r="C295" i="24" a="1"/>
  <c r="C295" i="24" s="1"/>
  <c r="E295" i="24" a="1"/>
  <c r="E295" i="24" s="1"/>
  <c r="D295" i="24" a="1"/>
  <c r="D295" i="24" s="1"/>
  <c r="H295" i="24"/>
  <c r="B295" i="24"/>
  <c r="A297" i="24"/>
  <c r="G295" i="24"/>
  <c r="F295" i="24"/>
  <c r="C297" i="24" l="1" a="1"/>
  <c r="C297" i="24" s="1"/>
  <c r="D297" i="24" a="1"/>
  <c r="D297" i="24" s="1"/>
  <c r="E297" i="24" a="1"/>
  <c r="E297" i="24" s="1"/>
  <c r="F297" i="24"/>
  <c r="A299" i="24"/>
  <c r="H297" i="24"/>
  <c r="G297" i="24"/>
  <c r="B297" i="24"/>
  <c r="C296" i="24" a="1"/>
  <c r="C296" i="24" s="1"/>
  <c r="D296" i="24" a="1"/>
  <c r="D296" i="24" s="1"/>
  <c r="E296" i="24" a="1"/>
  <c r="E296" i="24" s="1"/>
  <c r="A298" i="24"/>
  <c r="G296" i="24"/>
  <c r="F296" i="24"/>
  <c r="H296" i="24"/>
  <c r="B296" i="24"/>
  <c r="C299" i="24" l="1" a="1"/>
  <c r="C299" i="24" s="1"/>
  <c r="D299" i="24" a="1"/>
  <c r="D299" i="24" s="1"/>
  <c r="E299" i="24" a="1"/>
  <c r="E299" i="24" s="1"/>
  <c r="A301" i="24"/>
  <c r="F299" i="24"/>
  <c r="B299" i="24"/>
  <c r="H299" i="24"/>
  <c r="G299" i="24"/>
  <c r="C298" i="24" a="1"/>
  <c r="C298" i="24" s="1"/>
  <c r="E298" i="24" a="1"/>
  <c r="E298" i="24" s="1"/>
  <c r="D298" i="24" a="1"/>
  <c r="D298" i="24" s="1"/>
  <c r="A300" i="24"/>
  <c r="G298" i="24"/>
  <c r="H298" i="24"/>
  <c r="B298" i="24"/>
  <c r="F298" i="24"/>
  <c r="C300" i="24" l="1" a="1"/>
  <c r="C300" i="24" s="1"/>
  <c r="E300" i="24" a="1"/>
  <c r="E300" i="24" s="1"/>
  <c r="D300" i="24" a="1"/>
  <c r="D300" i="24" s="1"/>
  <c r="H300" i="24"/>
  <c r="A302" i="24"/>
  <c r="G300" i="24"/>
  <c r="B300" i="24"/>
  <c r="F300" i="24"/>
  <c r="E301" i="24" a="1"/>
  <c r="E301" i="24" s="1"/>
  <c r="C301" i="24" a="1"/>
  <c r="C301" i="24" s="1"/>
  <c r="D301" i="24" a="1"/>
  <c r="D301" i="24" s="1"/>
  <c r="G301" i="24"/>
  <c r="H301" i="24"/>
  <c r="B301" i="24"/>
  <c r="F301" i="24"/>
  <c r="A303" i="24"/>
  <c r="C303" i="24" l="1" a="1"/>
  <c r="C303" i="24" s="1"/>
  <c r="D303" i="24" a="1"/>
  <c r="D303" i="24" s="1"/>
  <c r="E303" i="24" a="1"/>
  <c r="E303" i="24" s="1"/>
  <c r="F303" i="24"/>
  <c r="A305" i="24"/>
  <c r="H303" i="24"/>
  <c r="B303" i="24"/>
  <c r="G303" i="24"/>
  <c r="C302" i="24" a="1"/>
  <c r="C302" i="24" s="1"/>
  <c r="D302" i="24" a="1"/>
  <c r="D302" i="24" s="1"/>
  <c r="E302" i="24" a="1"/>
  <c r="E302" i="24" s="1"/>
  <c r="H302" i="24"/>
  <c r="B302" i="24"/>
  <c r="G302" i="24"/>
  <c r="A304" i="24"/>
  <c r="F302" i="24"/>
  <c r="C304" i="24" l="1" a="1"/>
  <c r="C304" i="24" s="1"/>
  <c r="E304" i="24" a="1"/>
  <c r="E304" i="24" s="1"/>
  <c r="D304" i="24" a="1"/>
  <c r="D304" i="24" s="1"/>
  <c r="F304" i="24"/>
  <c r="H304" i="24"/>
  <c r="A306" i="24"/>
  <c r="G304" i="24"/>
  <c r="B304" i="24"/>
  <c r="C305" i="24" a="1"/>
  <c r="C305" i="24" s="1"/>
  <c r="D305" i="24" a="1"/>
  <c r="D305" i="24" s="1"/>
  <c r="E305" i="24" a="1"/>
  <c r="E305" i="24" s="1"/>
  <c r="H305" i="24"/>
  <c r="G305" i="24"/>
  <c r="B305" i="24"/>
  <c r="F305" i="24"/>
  <c r="A307" i="24"/>
  <c r="E307" i="24" l="1" a="1"/>
  <c r="E307" i="24" s="1"/>
  <c r="C307" i="24" a="1"/>
  <c r="C307" i="24" s="1"/>
  <c r="D307" i="24" a="1"/>
  <c r="D307" i="24" s="1"/>
  <c r="A309" i="24"/>
  <c r="H307" i="24"/>
  <c r="F307" i="24"/>
  <c r="G307" i="24"/>
  <c r="B307" i="24"/>
  <c r="C306" i="24" a="1"/>
  <c r="C306" i="24" s="1"/>
  <c r="D306" i="24" a="1"/>
  <c r="D306" i="24" s="1"/>
  <c r="E306" i="24" a="1"/>
  <c r="E306" i="24" s="1"/>
  <c r="A308" i="24"/>
  <c r="H306" i="24"/>
  <c r="G306" i="24"/>
  <c r="B306" i="24"/>
  <c r="F306" i="24"/>
  <c r="E308" i="24" l="1" a="1"/>
  <c r="E308" i="24" s="1"/>
  <c r="C308" i="24" a="1"/>
  <c r="C308" i="24" s="1"/>
  <c r="D308" i="24" a="1"/>
  <c r="D308" i="24" s="1"/>
  <c r="H308" i="24"/>
  <c r="G308" i="24"/>
  <c r="B308" i="24"/>
  <c r="F308" i="24"/>
  <c r="A310" i="24"/>
  <c r="C309" i="24" a="1"/>
  <c r="C309" i="24" s="1"/>
  <c r="D309" i="24" a="1"/>
  <c r="D309" i="24" s="1"/>
  <c r="E309" i="24" a="1"/>
  <c r="E309" i="24" s="1"/>
  <c r="G309" i="24"/>
  <c r="B309" i="24"/>
  <c r="F309" i="24"/>
  <c r="A311" i="24"/>
  <c r="H309" i="24"/>
  <c r="E310" i="24" l="1" a="1"/>
  <c r="E310" i="24" s="1"/>
  <c r="D310" i="24" a="1"/>
  <c r="D310" i="24" s="1"/>
  <c r="C310" i="24" a="1"/>
  <c r="C310" i="24" s="1"/>
  <c r="H310" i="24"/>
  <c r="G310" i="24"/>
  <c r="B310" i="24"/>
  <c r="F310" i="24"/>
  <c r="A312" i="24"/>
  <c r="D311" i="24" a="1"/>
  <c r="D311" i="24" s="1"/>
  <c r="C311" i="24" a="1"/>
  <c r="C311" i="24" s="1"/>
  <c r="E311" i="24" a="1"/>
  <c r="E311" i="24" s="1"/>
  <c r="F311" i="24"/>
  <c r="A313" i="24"/>
  <c r="H311" i="24"/>
  <c r="B311" i="24"/>
  <c r="G311" i="24"/>
  <c r="C312" i="24" l="1" a="1"/>
  <c r="C312" i="24" s="1"/>
  <c r="E312" i="24" a="1"/>
  <c r="E312" i="24" s="1"/>
  <c r="D312" i="24" a="1"/>
  <c r="D312" i="24" s="1"/>
  <c r="A314" i="24"/>
  <c r="G312" i="24"/>
  <c r="B312" i="24"/>
  <c r="F312" i="24"/>
  <c r="H312" i="24"/>
  <c r="E313" i="24" a="1"/>
  <c r="E313" i="24" s="1"/>
  <c r="C313" i="24" a="1"/>
  <c r="C313" i="24" s="1"/>
  <c r="D313" i="24" a="1"/>
  <c r="D313" i="24" s="1"/>
  <c r="F313" i="24"/>
  <c r="A315" i="24"/>
  <c r="H313" i="24"/>
  <c r="G313" i="24"/>
  <c r="B313" i="24"/>
  <c r="D315" i="24" l="1" a="1"/>
  <c r="D315" i="24" s="1"/>
  <c r="C315" i="24" a="1"/>
  <c r="C315" i="24" s="1"/>
  <c r="E315" i="24" a="1"/>
  <c r="E315" i="24" s="1"/>
  <c r="A317" i="24"/>
  <c r="H315" i="24"/>
  <c r="F315" i="24"/>
  <c r="G315" i="24"/>
  <c r="B315" i="24"/>
  <c r="C314" i="24" a="1"/>
  <c r="C314" i="24" s="1"/>
  <c r="D314" i="24" a="1"/>
  <c r="D314" i="24" s="1"/>
  <c r="E314" i="24" a="1"/>
  <c r="E314" i="24" s="1"/>
  <c r="A316" i="24"/>
  <c r="H314" i="24"/>
  <c r="G314" i="24"/>
  <c r="B314" i="24"/>
  <c r="F314" i="24"/>
  <c r="C316" i="24" l="1" a="1"/>
  <c r="C316" i="24" s="1"/>
  <c r="E316" i="24" a="1"/>
  <c r="E316" i="24" s="1"/>
  <c r="D316" i="24" a="1"/>
  <c r="D316" i="24" s="1"/>
  <c r="H316" i="24"/>
  <c r="B316" i="24"/>
  <c r="A318" i="24"/>
  <c r="G316" i="24"/>
  <c r="F316" i="24"/>
  <c r="C317" i="24" a="1"/>
  <c r="C317" i="24" s="1"/>
  <c r="D317" i="24" a="1"/>
  <c r="D317" i="24" s="1"/>
  <c r="E317" i="24" a="1"/>
  <c r="E317" i="24" s="1"/>
  <c r="G317" i="24"/>
  <c r="B317" i="24"/>
  <c r="H317" i="24"/>
  <c r="A319" i="24"/>
  <c r="F317" i="24"/>
  <c r="D319" i="24" l="1" a="1"/>
  <c r="D319" i="24" s="1"/>
  <c r="C319" i="24" a="1"/>
  <c r="C319" i="24" s="1"/>
  <c r="E319" i="24" a="1"/>
  <c r="E319" i="24" s="1"/>
  <c r="F319" i="24"/>
  <c r="A321" i="24"/>
  <c r="H319" i="24"/>
  <c r="G319" i="24"/>
  <c r="B319" i="24"/>
  <c r="D318" i="24" a="1"/>
  <c r="D318" i="24" s="1"/>
  <c r="E318" i="24" a="1"/>
  <c r="E318" i="24" s="1"/>
  <c r="C318" i="24" a="1"/>
  <c r="C318" i="24" s="1"/>
  <c r="H318" i="24"/>
  <c r="G318" i="24"/>
  <c r="B318" i="24"/>
  <c r="F318" i="24"/>
  <c r="A320" i="24"/>
  <c r="C320" i="24" l="1" a="1"/>
  <c r="C320" i="24" s="1"/>
  <c r="E320" i="24" a="1"/>
  <c r="E320" i="24" s="1"/>
  <c r="D320" i="24" a="1"/>
  <c r="D320" i="24" s="1"/>
  <c r="F320" i="24"/>
  <c r="H320" i="24"/>
  <c r="G320" i="24"/>
  <c r="B320" i="24"/>
  <c r="A322" i="24"/>
  <c r="D321" i="24" a="1"/>
  <c r="D321" i="24" s="1"/>
  <c r="E321" i="24" a="1"/>
  <c r="E321" i="24" s="1"/>
  <c r="C321" i="24" a="1"/>
  <c r="C321" i="24" s="1"/>
  <c r="H321" i="24"/>
  <c r="G321" i="24"/>
  <c r="B321" i="24"/>
  <c r="F321" i="24"/>
  <c r="A323" i="24"/>
  <c r="D323" i="24" l="1" a="1"/>
  <c r="D323" i="24" s="1"/>
  <c r="E323" i="24" a="1"/>
  <c r="E323" i="24" s="1"/>
  <c r="C323" i="24" a="1"/>
  <c r="C323" i="24" s="1"/>
  <c r="A325" i="24"/>
  <c r="H323" i="24"/>
  <c r="F323" i="24"/>
  <c r="G323" i="24"/>
  <c r="B323" i="24"/>
  <c r="C322" i="24" a="1"/>
  <c r="C322" i="24" s="1"/>
  <c r="D322" i="24" a="1"/>
  <c r="D322" i="24" s="1"/>
  <c r="E322" i="24" a="1"/>
  <c r="E322" i="24" s="1"/>
  <c r="A324" i="24"/>
  <c r="H322" i="24"/>
  <c r="G322" i="24"/>
  <c r="B322" i="24"/>
  <c r="F322" i="24"/>
  <c r="D324" i="24" l="1" a="1"/>
  <c r="D324" i="24" s="1"/>
  <c r="E324" i="24" a="1"/>
  <c r="E324" i="24" s="1"/>
  <c r="C324" i="24" a="1"/>
  <c r="C324" i="24" s="1"/>
  <c r="H324" i="24"/>
  <c r="G324" i="24"/>
  <c r="B324" i="24"/>
  <c r="F324" i="24"/>
  <c r="A326" i="24"/>
  <c r="C325" i="24" a="1"/>
  <c r="C325" i="24" s="1"/>
  <c r="E325" i="24" a="1"/>
  <c r="E325" i="24" s="1"/>
  <c r="D325" i="24" a="1"/>
  <c r="D325" i="24" s="1"/>
  <c r="G325" i="24"/>
  <c r="B325" i="24"/>
  <c r="F325" i="24"/>
  <c r="A327" i="24"/>
  <c r="H325" i="24"/>
  <c r="C326" i="24" l="1" a="1"/>
  <c r="C326" i="24" s="1"/>
  <c r="D326" i="24" a="1"/>
  <c r="D326" i="24" s="1"/>
  <c r="E326" i="24" a="1"/>
  <c r="E326" i="24" s="1"/>
  <c r="H326" i="24"/>
  <c r="B326" i="24"/>
  <c r="A328" i="24"/>
  <c r="G326" i="24"/>
  <c r="F326" i="24"/>
  <c r="D327" i="24" a="1"/>
  <c r="D327" i="24" s="1"/>
  <c r="E327" i="24" a="1"/>
  <c r="E327" i="24" s="1"/>
  <c r="C327" i="24" a="1"/>
  <c r="C327" i="24" s="1"/>
  <c r="F327" i="24"/>
  <c r="A329" i="24"/>
  <c r="H327" i="24"/>
  <c r="G327" i="24"/>
  <c r="B327" i="24"/>
  <c r="C328" i="24" l="1" a="1"/>
  <c r="C328" i="24" s="1"/>
  <c r="D328" i="24" a="1"/>
  <c r="D328" i="24" s="1"/>
  <c r="E328" i="24" a="1"/>
  <c r="E328" i="24" s="1"/>
  <c r="A330" i="24"/>
  <c r="G328" i="24"/>
  <c r="B328" i="24"/>
  <c r="H328" i="24"/>
  <c r="F328" i="24"/>
  <c r="C329" i="24" a="1"/>
  <c r="C329" i="24" s="1"/>
  <c r="D329" i="24" a="1"/>
  <c r="D329" i="24" s="1"/>
  <c r="E329" i="24" a="1"/>
  <c r="E329" i="24" s="1"/>
  <c r="F329" i="24"/>
  <c r="A331" i="24"/>
  <c r="H329" i="24"/>
  <c r="G329" i="24"/>
  <c r="B329" i="24"/>
  <c r="D331" i="24" l="1" a="1"/>
  <c r="D331" i="24" s="1"/>
  <c r="E331" i="24" a="1"/>
  <c r="E331" i="24" s="1"/>
  <c r="C331" i="24" a="1"/>
  <c r="C331" i="24" s="1"/>
  <c r="A333" i="24"/>
  <c r="H331" i="24"/>
  <c r="F331" i="24"/>
  <c r="G331" i="24"/>
  <c r="B331" i="24"/>
  <c r="E330" i="24" a="1"/>
  <c r="E330" i="24" s="1"/>
  <c r="C330" i="24" a="1"/>
  <c r="C330" i="24" s="1"/>
  <c r="D330" i="24" a="1"/>
  <c r="D330" i="24" s="1"/>
  <c r="A332" i="24"/>
  <c r="H330" i="24"/>
  <c r="G330" i="24"/>
  <c r="B330" i="24"/>
  <c r="F330" i="24"/>
  <c r="E332" i="24" l="1" a="1"/>
  <c r="E332" i="24" s="1"/>
  <c r="C332" i="24" a="1"/>
  <c r="C332" i="24" s="1"/>
  <c r="D332" i="24" a="1"/>
  <c r="D332" i="24" s="1"/>
  <c r="A334" i="24"/>
  <c r="G332" i="24"/>
  <c r="B332" i="24"/>
  <c r="H332" i="24"/>
  <c r="F332" i="24"/>
  <c r="C333" i="24" a="1"/>
  <c r="C333" i="24" s="1"/>
  <c r="D333" i="24" a="1"/>
  <c r="D333" i="24" s="1"/>
  <c r="E333" i="24" a="1"/>
  <c r="E333" i="24" s="1"/>
  <c r="F333" i="24"/>
  <c r="A335" i="24"/>
  <c r="H333" i="24"/>
  <c r="G333" i="24"/>
  <c r="B333" i="24"/>
  <c r="BA26" i="20" a="1"/>
  <c r="BA26" i="20" l="1"/>
  <c r="AY26" i="20" s="1" a="1"/>
  <c r="AY26" i="20" s="1"/>
  <c r="D335" i="24" a="1"/>
  <c r="D335" i="24" s="1"/>
  <c r="E335" i="24" a="1"/>
  <c r="E335" i="24" s="1"/>
  <c r="C335" i="24" a="1"/>
  <c r="C335" i="24" s="1"/>
  <c r="F335" i="24"/>
  <c r="A337" i="24"/>
  <c r="H335" i="24"/>
  <c r="G335" i="24"/>
  <c r="B335" i="24"/>
  <c r="D334" i="24" a="1"/>
  <c r="D334" i="24" s="1"/>
  <c r="E334" i="24" a="1"/>
  <c r="E334" i="24" s="1"/>
  <c r="C334" i="24" a="1"/>
  <c r="C334" i="24" s="1"/>
  <c r="H334" i="24"/>
  <c r="G334" i="24"/>
  <c r="B334" i="24"/>
  <c r="A336" i="24"/>
  <c r="F334" i="24"/>
  <c r="BB26" i="20" a="1"/>
  <c r="D15" i="30" l="1"/>
  <c r="BB26" i="20"/>
  <c r="H25" i="29"/>
  <c r="C336" i="24" a="1"/>
  <c r="C336" i="24" s="1"/>
  <c r="E336" i="24" a="1"/>
  <c r="E336" i="24" s="1"/>
  <c r="D336" i="24" a="1"/>
  <c r="D336" i="24" s="1"/>
  <c r="F336" i="24"/>
  <c r="H336" i="24"/>
  <c r="A338" i="24"/>
  <c r="G336" i="24"/>
  <c r="B336" i="24"/>
  <c r="C337" i="24" a="1"/>
  <c r="C337" i="24" s="1"/>
  <c r="D337" i="24" a="1"/>
  <c r="D337" i="24" s="1"/>
  <c r="E337" i="24" a="1"/>
  <c r="E337" i="24" s="1"/>
  <c r="H337" i="24"/>
  <c r="G337" i="24"/>
  <c r="B337" i="24"/>
  <c r="F337" i="24"/>
  <c r="A339" i="24"/>
  <c r="BA23" i="20" a="1"/>
  <c r="C32" i="23" a="1"/>
  <c r="C32" i="23" l="1"/>
  <c r="BA23" i="20"/>
  <c r="AY23" i="20" s="1" a="1"/>
  <c r="AY23" i="20" s="1"/>
  <c r="E15" i="30"/>
  <c r="F15" i="30" s="1"/>
  <c r="E339" i="24" a="1"/>
  <c r="E339" i="24" s="1"/>
  <c r="C339" i="24" a="1"/>
  <c r="C339" i="24" s="1"/>
  <c r="D339" i="24" a="1"/>
  <c r="D339" i="24" s="1"/>
  <c r="A341" i="24"/>
  <c r="H339" i="24"/>
  <c r="F339" i="24"/>
  <c r="G339" i="24"/>
  <c r="B339" i="24"/>
  <c r="C338" i="24" a="1"/>
  <c r="C338" i="24" s="1"/>
  <c r="D338" i="24" a="1"/>
  <c r="D338" i="24" s="1"/>
  <c r="E338" i="24" a="1"/>
  <c r="E338" i="24" s="1"/>
  <c r="A340" i="24"/>
  <c r="H338" i="24"/>
  <c r="G338" i="24"/>
  <c r="F338" i="24"/>
  <c r="B338" i="24"/>
  <c r="BB23" i="20" a="1"/>
  <c r="BA27" i="20" a="1"/>
  <c r="BA24" i="20" a="1"/>
  <c r="BA25" i="20" a="1"/>
  <c r="BA28" i="20" a="1"/>
  <c r="BA27" i="20" l="1"/>
  <c r="AY27" i="20" s="1" a="1"/>
  <c r="AY27" i="20" s="1"/>
  <c r="H26" i="29" s="1"/>
  <c r="BA25" i="20"/>
  <c r="AY25" i="20" s="1" a="1"/>
  <c r="AY25" i="20" s="1"/>
  <c r="BA28" i="20"/>
  <c r="AY28" i="20" s="1" a="1"/>
  <c r="AY28" i="20" s="1"/>
  <c r="BA24" i="20"/>
  <c r="AY24" i="20" s="1" a="1"/>
  <c r="AY24" i="20" s="1"/>
  <c r="BB23" i="20"/>
  <c r="H22" i="29"/>
  <c r="C340" i="24" a="1"/>
  <c r="C340" i="24" s="1"/>
  <c r="E340" i="24" a="1"/>
  <c r="E340" i="24" s="1"/>
  <c r="D340" i="24" a="1"/>
  <c r="D340" i="24" s="1"/>
  <c r="H340" i="24"/>
  <c r="G340" i="24"/>
  <c r="A342" i="24"/>
  <c r="B340" i="24"/>
  <c r="F340" i="24"/>
  <c r="D341" i="24" a="1"/>
  <c r="D341" i="24" s="1"/>
  <c r="C341" i="24" a="1"/>
  <c r="C341" i="24" s="1"/>
  <c r="E341" i="24" a="1"/>
  <c r="E341" i="24" s="1"/>
  <c r="F341" i="24"/>
  <c r="G341" i="24"/>
  <c r="A343" i="24"/>
  <c r="H341" i="24"/>
  <c r="B341" i="24"/>
  <c r="BB27" i="20" a="1"/>
  <c r="BB24" i="20" a="1"/>
  <c r="BB28" i="20" a="1"/>
  <c r="BB25" i="20" a="1"/>
  <c r="C29" i="23" a="1"/>
  <c r="C33" i="23" a="1"/>
  <c r="BB27" i="20" l="1"/>
  <c r="BB24" i="20"/>
  <c r="C29" i="23"/>
  <c r="BB28" i="20"/>
  <c r="C33" i="23"/>
  <c r="BB25" i="20"/>
  <c r="H23" i="29"/>
  <c r="H27" i="29"/>
  <c r="H24" i="29"/>
  <c r="D343" i="24" a="1"/>
  <c r="D343" i="24" s="1"/>
  <c r="E343" i="24" a="1"/>
  <c r="E343" i="24" s="1"/>
  <c r="C343" i="24" a="1"/>
  <c r="C343" i="24" s="1"/>
  <c r="F343" i="24"/>
  <c r="A345" i="24"/>
  <c r="G343" i="24"/>
  <c r="H343" i="24"/>
  <c r="B343" i="24"/>
  <c r="C342" i="24" a="1"/>
  <c r="C342" i="24" s="1"/>
  <c r="D342" i="24" a="1"/>
  <c r="D342" i="24" s="1"/>
  <c r="E342" i="24" a="1"/>
  <c r="E342" i="24" s="1"/>
  <c r="A344" i="24"/>
  <c r="B342" i="24"/>
  <c r="H342" i="24"/>
  <c r="G342" i="24"/>
  <c r="F342" i="24"/>
  <c r="C31" i="23" a="1"/>
  <c r="C34" i="23" a="1"/>
  <c r="C30" i="23" a="1"/>
  <c r="K5" i="20" l="1"/>
  <c r="D14" i="20"/>
  <c r="C30" i="23"/>
  <c r="C34" i="23"/>
  <c r="C31" i="23"/>
  <c r="C345" i="24" a="1"/>
  <c r="C345" i="24" s="1"/>
  <c r="D345" i="24" a="1"/>
  <c r="D345" i="24" s="1"/>
  <c r="E345" i="24" a="1"/>
  <c r="E345" i="24" s="1"/>
  <c r="A347" i="24"/>
  <c r="B345" i="24"/>
  <c r="H345" i="24"/>
  <c r="F345" i="24"/>
  <c r="G345" i="24"/>
  <c r="C344" i="24" a="1"/>
  <c r="C344" i="24" s="1"/>
  <c r="D344" i="24" a="1"/>
  <c r="D344" i="24" s="1"/>
  <c r="E344" i="24" a="1"/>
  <c r="E344" i="24" s="1"/>
  <c r="A346" i="24"/>
  <c r="G344" i="24"/>
  <c r="F344" i="24"/>
  <c r="H344" i="24"/>
  <c r="B344" i="24"/>
  <c r="C4" i="23" l="1"/>
  <c r="C5" i="23" s="1"/>
  <c r="E346" i="24" a="1"/>
  <c r="E346" i="24" s="1"/>
  <c r="C346" i="24" a="1"/>
  <c r="C346" i="24" s="1"/>
  <c r="D346" i="24" a="1"/>
  <c r="D346" i="24" s="1"/>
  <c r="H346" i="24"/>
  <c r="B346" i="24"/>
  <c r="F346" i="24"/>
  <c r="G346" i="24"/>
  <c r="A348" i="24"/>
  <c r="D347" i="24" a="1"/>
  <c r="D347" i="24" s="1"/>
  <c r="E347" i="24" a="1"/>
  <c r="E347" i="24" s="1"/>
  <c r="C347" i="24" a="1"/>
  <c r="C347" i="24" s="1"/>
  <c r="G347" i="24"/>
  <c r="B347" i="24"/>
  <c r="A349" i="24"/>
  <c r="F347" i="24"/>
  <c r="H347" i="24"/>
  <c r="E348" i="24" l="1" a="1"/>
  <c r="E348" i="24" s="1"/>
  <c r="C348" i="24" a="1"/>
  <c r="C348" i="24" s="1"/>
  <c r="D348" i="24" a="1"/>
  <c r="D348" i="24" s="1"/>
  <c r="H348" i="24"/>
  <c r="G348" i="24"/>
  <c r="B348" i="24"/>
  <c r="A350" i="24"/>
  <c r="F348" i="24"/>
  <c r="E349" i="24" a="1"/>
  <c r="E349" i="24" s="1"/>
  <c r="C349" i="24" a="1"/>
  <c r="C349" i="24" s="1"/>
  <c r="D349" i="24" a="1"/>
  <c r="D349" i="24" s="1"/>
  <c r="F349" i="24"/>
  <c r="A351" i="24"/>
  <c r="H349" i="24"/>
  <c r="G349" i="24"/>
  <c r="B349" i="24"/>
  <c r="C350" i="24" l="1" a="1"/>
  <c r="C350" i="24" s="1"/>
  <c r="D350" i="24" a="1"/>
  <c r="D350" i="24" s="1"/>
  <c r="E350" i="24" a="1"/>
  <c r="E350" i="24" s="1"/>
  <c r="A352" i="24"/>
  <c r="G350" i="24"/>
  <c r="B350" i="24"/>
  <c r="F350" i="24"/>
  <c r="H350" i="24"/>
  <c r="C351" i="24" a="1"/>
  <c r="C351" i="24" s="1"/>
  <c r="E351" i="24" a="1"/>
  <c r="E351" i="24" s="1"/>
  <c r="D351" i="24" a="1"/>
  <c r="D351" i="24" s="1"/>
  <c r="F351" i="24"/>
  <c r="A353" i="24"/>
  <c r="H351" i="24"/>
  <c r="G351" i="24"/>
  <c r="B351" i="24"/>
  <c r="E353" i="24" l="1" a="1"/>
  <c r="E353" i="24" s="1"/>
  <c r="C353" i="24" a="1"/>
  <c r="C353" i="24" s="1"/>
  <c r="D353" i="24" a="1"/>
  <c r="D353" i="24" s="1"/>
  <c r="A355" i="24"/>
  <c r="F353" i="24"/>
  <c r="G353" i="24"/>
  <c r="H353" i="24"/>
  <c r="B353" i="24"/>
  <c r="D352" i="24" a="1"/>
  <c r="D352" i="24" s="1"/>
  <c r="E352" i="24" a="1"/>
  <c r="E352" i="24" s="1"/>
  <c r="C352" i="24" a="1"/>
  <c r="C352" i="24" s="1"/>
  <c r="A354" i="24"/>
  <c r="H352" i="24"/>
  <c r="B352" i="24"/>
  <c r="F352" i="24"/>
  <c r="G352" i="24"/>
  <c r="D354" i="24" l="1" a="1"/>
  <c r="D354" i="24" s="1"/>
  <c r="C354" i="24" a="1"/>
  <c r="C354" i="24" s="1"/>
  <c r="E354" i="24" a="1"/>
  <c r="E354" i="24" s="1"/>
  <c r="H354" i="24"/>
  <c r="G354" i="24"/>
  <c r="B354" i="24"/>
  <c r="F354" i="24"/>
  <c r="A356" i="24"/>
  <c r="C355" i="24" a="1"/>
  <c r="C355" i="24" s="1"/>
  <c r="D355" i="24" a="1"/>
  <c r="D355" i="24" s="1"/>
  <c r="E355" i="24" a="1"/>
  <c r="E355" i="24" s="1"/>
  <c r="G355" i="24"/>
  <c r="B355" i="24"/>
  <c r="A357" i="24"/>
  <c r="H355" i="24"/>
  <c r="F355" i="24"/>
  <c r="D356" i="24" l="1" a="1"/>
  <c r="D356" i="24" s="1"/>
  <c r="C356" i="24" a="1"/>
  <c r="C356" i="24" s="1"/>
  <c r="E356" i="24" a="1"/>
  <c r="E356" i="24" s="1"/>
  <c r="A358" i="24"/>
  <c r="F356" i="24"/>
  <c r="G356" i="24"/>
  <c r="H356" i="24"/>
  <c r="B356" i="24"/>
  <c r="C357" i="24" a="1"/>
  <c r="C357" i="24" s="1"/>
  <c r="E357" i="24" a="1"/>
  <c r="E357" i="24" s="1"/>
  <c r="D357" i="24" a="1"/>
  <c r="D357" i="24" s="1"/>
  <c r="H357" i="24"/>
  <c r="G357" i="24"/>
  <c r="B357" i="24"/>
  <c r="F357" i="24"/>
  <c r="A359" i="24"/>
  <c r="C359" i="24" l="1" a="1"/>
  <c r="C359" i="24" s="1"/>
  <c r="E359" i="24" a="1"/>
  <c r="E359" i="24" s="1"/>
  <c r="D359" i="24" a="1"/>
  <c r="D359" i="24" s="1"/>
  <c r="F359" i="24"/>
  <c r="A361" i="24"/>
  <c r="H359" i="24"/>
  <c r="B359" i="24"/>
  <c r="G359" i="24"/>
  <c r="C358" i="24" a="1"/>
  <c r="C358" i="24" s="1"/>
  <c r="D358" i="24" a="1"/>
  <c r="D358" i="24" s="1"/>
  <c r="E358" i="24" a="1"/>
  <c r="E358" i="24" s="1"/>
  <c r="A360" i="24"/>
  <c r="G358" i="24"/>
  <c r="B358" i="24"/>
  <c r="H358" i="24"/>
  <c r="F358" i="24"/>
  <c r="E361" i="24" l="1" a="1"/>
  <c r="E361" i="24" s="1"/>
  <c r="C361" i="24" a="1"/>
  <c r="C361" i="24" s="1"/>
  <c r="D361" i="24" a="1"/>
  <c r="D361" i="24" s="1"/>
  <c r="A363" i="24"/>
  <c r="H361" i="24"/>
  <c r="F361" i="24"/>
  <c r="B361" i="24"/>
  <c r="G361" i="24"/>
  <c r="D360" i="24" a="1"/>
  <c r="D360" i="24" s="1"/>
  <c r="E360" i="24" a="1"/>
  <c r="E360" i="24" s="1"/>
  <c r="C360" i="24" a="1"/>
  <c r="C360" i="24" s="1"/>
  <c r="A362" i="24"/>
  <c r="B360" i="24"/>
  <c r="H360" i="24"/>
  <c r="G360" i="24"/>
  <c r="F360" i="24"/>
  <c r="D362" i="24" l="1" a="1"/>
  <c r="D362" i="24" s="1"/>
  <c r="C362" i="24" a="1"/>
  <c r="C362" i="24" s="1"/>
  <c r="E362" i="24" a="1"/>
  <c r="E362" i="24" s="1"/>
  <c r="H362" i="24"/>
  <c r="G362" i="24"/>
  <c r="B362" i="24"/>
  <c r="F362" i="24"/>
  <c r="A364" i="24"/>
  <c r="C363" i="24" a="1"/>
  <c r="C363" i="24" s="1"/>
  <c r="D363" i="24" a="1"/>
  <c r="D363" i="24" s="1"/>
  <c r="E363" i="24" a="1"/>
  <c r="E363" i="24" s="1"/>
  <c r="G363" i="24"/>
  <c r="B363" i="24"/>
  <c r="F363" i="24"/>
  <c r="H363" i="24"/>
  <c r="A365" i="24"/>
  <c r="C365" i="24" l="1" a="1"/>
  <c r="C365" i="24" s="1"/>
  <c r="E365" i="24" a="1"/>
  <c r="E365" i="24" s="1"/>
  <c r="D365" i="24" a="1"/>
  <c r="D365" i="24" s="1"/>
  <c r="F365" i="24"/>
  <c r="A367" i="24"/>
  <c r="H365" i="24"/>
  <c r="G365" i="24"/>
  <c r="B365" i="24"/>
  <c r="D364" i="24" a="1"/>
  <c r="D364" i="24" s="1"/>
  <c r="E364" i="24" a="1"/>
  <c r="E364" i="24" s="1"/>
  <c r="C364" i="24" a="1"/>
  <c r="C364" i="24" s="1"/>
  <c r="H364" i="24"/>
  <c r="G364" i="24"/>
  <c r="B364" i="24"/>
  <c r="A366" i="24"/>
  <c r="F364" i="24"/>
  <c r="C366" i="24" l="1" a="1"/>
  <c r="C366" i="24" s="1"/>
  <c r="D366" i="24" a="1"/>
  <c r="D366" i="24" s="1"/>
  <c r="E366" i="24" a="1"/>
  <c r="E366" i="24" s="1"/>
  <c r="F366" i="24"/>
  <c r="H366" i="24"/>
  <c r="A368" i="24"/>
  <c r="G366" i="24"/>
  <c r="B366" i="24"/>
  <c r="C367" i="24" a="1"/>
  <c r="C367" i="24" s="1"/>
  <c r="E367" i="24" a="1"/>
  <c r="E367" i="24" s="1"/>
  <c r="D367" i="24" a="1"/>
  <c r="D367" i="24" s="1"/>
  <c r="H367" i="24"/>
  <c r="G367" i="24"/>
  <c r="B367" i="24"/>
  <c r="F367" i="24"/>
  <c r="A369" i="24"/>
  <c r="E369" i="24" l="1" a="1"/>
  <c r="E369" i="24" s="1"/>
  <c r="C369" i="24" a="1"/>
  <c r="C369" i="24" s="1"/>
  <c r="D369" i="24" a="1"/>
  <c r="D369" i="24" s="1"/>
  <c r="A371" i="24"/>
  <c r="F369" i="24"/>
  <c r="G369" i="24"/>
  <c r="B369" i="24"/>
  <c r="H369" i="24"/>
  <c r="D368" i="24" a="1"/>
  <c r="D368" i="24" s="1"/>
  <c r="E368" i="24" a="1"/>
  <c r="E368" i="24" s="1"/>
  <c r="C368" i="24" a="1"/>
  <c r="C368" i="24" s="1"/>
  <c r="A370" i="24"/>
  <c r="H368" i="24"/>
  <c r="B368" i="24"/>
  <c r="G368" i="24"/>
  <c r="F368" i="24"/>
  <c r="D370" i="24" l="1" a="1"/>
  <c r="D370" i="24" s="1"/>
  <c r="C370" i="24" a="1"/>
  <c r="C370" i="24" s="1"/>
  <c r="E370" i="24" a="1"/>
  <c r="E370" i="24" s="1"/>
  <c r="H370" i="24"/>
  <c r="G370" i="24"/>
  <c r="B370" i="24"/>
  <c r="F370" i="24"/>
  <c r="A372" i="24"/>
  <c r="C371" i="24" a="1"/>
  <c r="C371" i="24" s="1"/>
  <c r="D371" i="24" a="1"/>
  <c r="D371" i="24" s="1"/>
  <c r="E371" i="24" a="1"/>
  <c r="E371" i="24" s="1"/>
  <c r="G371" i="24"/>
  <c r="B371" i="24"/>
  <c r="A373" i="24"/>
  <c r="H371" i="24"/>
  <c r="F371" i="24"/>
  <c r="D372" i="24" l="1" a="1"/>
  <c r="D372" i="24" s="1"/>
  <c r="C372" i="24" a="1"/>
  <c r="C372" i="24" s="1"/>
  <c r="E372" i="24" a="1"/>
  <c r="E372" i="24" s="1"/>
  <c r="H372" i="24"/>
  <c r="B372" i="24"/>
  <c r="F372" i="24"/>
  <c r="G372" i="24"/>
  <c r="A374" i="24"/>
  <c r="C373" i="24" a="1"/>
  <c r="C373" i="24" s="1"/>
  <c r="E373" i="24" a="1"/>
  <c r="E373" i="24" s="1"/>
  <c r="D373" i="24" a="1"/>
  <c r="D373" i="24" s="1"/>
  <c r="F373" i="24"/>
  <c r="A375" i="24"/>
  <c r="B373" i="24"/>
  <c r="H373" i="24"/>
  <c r="G373" i="24"/>
  <c r="C374" i="24" l="1" a="1"/>
  <c r="C374" i="24" s="1"/>
  <c r="D374" i="24" a="1"/>
  <c r="D374" i="24" s="1"/>
  <c r="E374" i="24" a="1"/>
  <c r="E374" i="24" s="1"/>
  <c r="A376" i="24"/>
  <c r="G374" i="24"/>
  <c r="B374" i="24"/>
  <c r="F374" i="24"/>
  <c r="H374" i="24"/>
  <c r="C375" i="24" a="1"/>
  <c r="C375" i="24" s="1"/>
  <c r="E375" i="24" a="1"/>
  <c r="E375" i="24" s="1"/>
  <c r="D375" i="24" a="1"/>
  <c r="D375" i="24" s="1"/>
  <c r="F375" i="24"/>
  <c r="A377" i="24"/>
  <c r="G375" i="24"/>
  <c r="B375" i="24"/>
  <c r="H375" i="24"/>
  <c r="E377" i="24" l="1" a="1"/>
  <c r="E377" i="24" s="1"/>
  <c r="C377" i="24" a="1"/>
  <c r="C377" i="24" s="1"/>
  <c r="D377" i="24" a="1"/>
  <c r="D377" i="24" s="1"/>
  <c r="A379" i="24"/>
  <c r="H377" i="24"/>
  <c r="F377" i="24"/>
  <c r="G377" i="24"/>
  <c r="B377" i="24"/>
  <c r="D376" i="24" a="1"/>
  <c r="D376" i="24" s="1"/>
  <c r="E376" i="24" a="1"/>
  <c r="E376" i="24" s="1"/>
  <c r="C376" i="24" a="1"/>
  <c r="C376" i="24" s="1"/>
  <c r="A378" i="24"/>
  <c r="B376" i="24"/>
  <c r="H376" i="24"/>
  <c r="G376" i="24"/>
  <c r="F376" i="24"/>
  <c r="D378" i="24" l="1" a="1"/>
  <c r="D378" i="24" s="1"/>
  <c r="E378" i="24" a="1"/>
  <c r="E378" i="24" s="1"/>
  <c r="C378" i="24" a="1"/>
  <c r="C378" i="24" s="1"/>
  <c r="H378" i="24"/>
  <c r="G378" i="24"/>
  <c r="B378" i="24"/>
  <c r="F378" i="24"/>
  <c r="A380" i="24"/>
  <c r="C379" i="24" a="1"/>
  <c r="C379" i="24" s="1"/>
  <c r="D379" i="24" a="1"/>
  <c r="D379" i="24" s="1"/>
  <c r="E379" i="24" a="1"/>
  <c r="E379" i="24" s="1"/>
  <c r="G379" i="24"/>
  <c r="F379" i="24"/>
  <c r="H379" i="24"/>
  <c r="B379" i="24"/>
  <c r="A381" i="24"/>
  <c r="C381" i="24" l="1" a="1"/>
  <c r="C381" i="24" s="1"/>
  <c r="E381" i="24" a="1"/>
  <c r="E381" i="24" s="1"/>
  <c r="D381" i="24" a="1"/>
  <c r="D381" i="24" s="1"/>
  <c r="F381" i="24"/>
  <c r="A383" i="24"/>
  <c r="H381" i="24"/>
  <c r="B381" i="24"/>
  <c r="G381" i="24"/>
  <c r="D380" i="24" a="1"/>
  <c r="D380" i="24" s="1"/>
  <c r="E380" i="24" a="1"/>
  <c r="E380" i="24" s="1"/>
  <c r="C380" i="24" a="1"/>
  <c r="C380" i="24" s="1"/>
  <c r="H380" i="24"/>
  <c r="G380" i="24"/>
  <c r="B380" i="24"/>
  <c r="A382" i="24"/>
  <c r="F380" i="24"/>
  <c r="C382" i="24" l="1" a="1"/>
  <c r="C382" i="24" s="1"/>
  <c r="D382" i="24" a="1"/>
  <c r="D382" i="24" s="1"/>
  <c r="E382" i="24" a="1"/>
  <c r="E382" i="24" s="1"/>
  <c r="F382" i="24"/>
  <c r="H382" i="24"/>
  <c r="G382" i="24"/>
  <c r="A384" i="24"/>
  <c r="B382" i="24"/>
  <c r="C383" i="24" a="1"/>
  <c r="C383" i="24" s="1"/>
  <c r="E383" i="24" a="1"/>
  <c r="E383" i="24" s="1"/>
  <c r="D383" i="24" a="1"/>
  <c r="D383" i="24" s="1"/>
  <c r="H383" i="24"/>
  <c r="B383" i="24"/>
  <c r="A385" i="24"/>
  <c r="G383" i="24"/>
  <c r="F383" i="24"/>
  <c r="D384" i="24" l="1" a="1"/>
  <c r="D384" i="24" s="1"/>
  <c r="E384" i="24" a="1"/>
  <c r="E384" i="24" s="1"/>
  <c r="C384" i="24" a="1"/>
  <c r="C384" i="24" s="1"/>
  <c r="A386" i="24"/>
  <c r="H384" i="24"/>
  <c r="B384" i="24"/>
  <c r="G384" i="24"/>
  <c r="F384" i="24"/>
  <c r="E385" i="24" a="1"/>
  <c r="E385" i="24" s="1"/>
  <c r="C385" i="24" a="1"/>
  <c r="C385" i="24" s="1"/>
  <c r="D385" i="24" a="1"/>
  <c r="D385" i="24" s="1"/>
  <c r="A387" i="24"/>
  <c r="H385" i="24"/>
  <c r="F385" i="24"/>
  <c r="B385" i="24"/>
  <c r="G385" i="24"/>
  <c r="C387" i="24" l="1" a="1"/>
  <c r="C387" i="24" s="1"/>
  <c r="D387" i="24" a="1"/>
  <c r="D387" i="24" s="1"/>
  <c r="E387" i="24" a="1"/>
  <c r="E387" i="24" s="1"/>
  <c r="G387" i="24"/>
  <c r="B387" i="24"/>
  <c r="A389" i="24"/>
  <c r="H387" i="24"/>
  <c r="F387" i="24"/>
  <c r="D386" i="24" a="1"/>
  <c r="D386" i="24" s="1"/>
  <c r="C386" i="24" a="1"/>
  <c r="C386" i="24" s="1"/>
  <c r="E386" i="24" a="1"/>
  <c r="E386" i="24" s="1"/>
  <c r="H386" i="24"/>
  <c r="G386" i="24"/>
  <c r="B386" i="24"/>
  <c r="F386" i="24"/>
  <c r="A388" i="24"/>
  <c r="D388" i="24" l="1" a="1"/>
  <c r="D388" i="24" s="1"/>
  <c r="C388" i="24" a="1"/>
  <c r="C388" i="24" s="1"/>
  <c r="E388" i="24" a="1"/>
  <c r="E388" i="24" s="1"/>
  <c r="H388" i="24"/>
  <c r="G388" i="24"/>
  <c r="B388" i="24"/>
  <c r="A390" i="24"/>
  <c r="F388" i="24"/>
  <c r="C389" i="24" a="1"/>
  <c r="C389" i="24" s="1"/>
  <c r="E389" i="24" a="1"/>
  <c r="E389" i="24" s="1"/>
  <c r="D389" i="24" a="1"/>
  <c r="D389" i="24" s="1"/>
  <c r="F389" i="24"/>
  <c r="H389" i="24"/>
  <c r="G389" i="24"/>
  <c r="A391" i="24"/>
  <c r="B389" i="24"/>
  <c r="C391" i="24" l="1" a="1"/>
  <c r="C391" i="24" s="1"/>
  <c r="E391" i="24" a="1"/>
  <c r="E391" i="24" s="1"/>
  <c r="D391" i="24" a="1"/>
  <c r="D391" i="24" s="1"/>
  <c r="H391" i="24"/>
  <c r="G391" i="24"/>
  <c r="B391" i="24"/>
  <c r="F391" i="24"/>
  <c r="A393" i="24"/>
  <c r="C390" i="24" a="1"/>
  <c r="C390" i="24" s="1"/>
  <c r="D390" i="24" a="1"/>
  <c r="D390" i="24" s="1"/>
  <c r="E390" i="24" a="1"/>
  <c r="E390" i="24" s="1"/>
  <c r="F390" i="24"/>
  <c r="A392" i="24"/>
  <c r="G390" i="24"/>
  <c r="H390" i="24"/>
  <c r="B390" i="24"/>
  <c r="E393" i="24" l="1" a="1"/>
  <c r="E393" i="24" s="1"/>
  <c r="C393" i="24" a="1"/>
  <c r="C393" i="24" s="1"/>
  <c r="D393" i="24" a="1"/>
  <c r="D393" i="24" s="1"/>
  <c r="A395" i="24"/>
  <c r="H393" i="24"/>
  <c r="F393" i="24"/>
  <c r="B393" i="24"/>
  <c r="G393" i="24"/>
  <c r="D392" i="24" a="1"/>
  <c r="D392" i="24" s="1"/>
  <c r="E392" i="24" a="1"/>
  <c r="E392" i="24" s="1"/>
  <c r="C392" i="24" a="1"/>
  <c r="C392" i="24" s="1"/>
  <c r="A394" i="24"/>
  <c r="H392" i="24"/>
  <c r="G392" i="24"/>
  <c r="F392" i="24"/>
  <c r="B392" i="24"/>
  <c r="D394" i="24" l="1" a="1"/>
  <c r="D394" i="24" s="1"/>
  <c r="E394" i="24" a="1"/>
  <c r="E394" i="24" s="1"/>
  <c r="C394" i="24" a="1"/>
  <c r="C394" i="24" s="1"/>
  <c r="A396" i="24"/>
  <c r="B394" i="24"/>
  <c r="H394" i="24"/>
  <c r="G394" i="24"/>
  <c r="F394" i="24"/>
  <c r="C395" i="24" a="1"/>
  <c r="C395" i="24" s="1"/>
  <c r="D395" i="24" a="1"/>
  <c r="D395" i="24" s="1"/>
  <c r="E395" i="24" a="1"/>
  <c r="E395" i="24" s="1"/>
  <c r="F395" i="24"/>
  <c r="A397" i="24"/>
  <c r="G395" i="24"/>
  <c r="B395" i="24"/>
  <c r="H395" i="24"/>
  <c r="C397" i="24" l="1" a="1"/>
  <c r="C397" i="24" s="1"/>
  <c r="E397" i="24" a="1"/>
  <c r="E397" i="24" s="1"/>
  <c r="D397" i="24" a="1"/>
  <c r="D397" i="24" s="1"/>
  <c r="A399" i="24"/>
  <c r="F397" i="24"/>
  <c r="B397" i="24"/>
  <c r="H397" i="24"/>
  <c r="G397" i="24"/>
  <c r="D396" i="24" a="1"/>
  <c r="D396" i="24" s="1"/>
  <c r="E396" i="24" a="1"/>
  <c r="E396" i="24" s="1"/>
  <c r="C396" i="24" a="1"/>
  <c r="C396" i="24" s="1"/>
  <c r="A398" i="24"/>
  <c r="H396" i="24"/>
  <c r="G396" i="24"/>
  <c r="F396" i="24"/>
  <c r="B396" i="24"/>
  <c r="C398" i="24" l="1" a="1"/>
  <c r="C398" i="24" s="1"/>
  <c r="D398" i="24" a="1"/>
  <c r="D398" i="24" s="1"/>
  <c r="E398" i="24" a="1"/>
  <c r="E398" i="24" s="1"/>
  <c r="H398" i="24"/>
  <c r="G398" i="24"/>
  <c r="B398" i="24"/>
  <c r="F398" i="24"/>
  <c r="A400" i="24"/>
  <c r="C399" i="24" a="1"/>
  <c r="C399" i="24" s="1"/>
  <c r="E399" i="24" a="1"/>
  <c r="E399" i="24" s="1"/>
  <c r="D399" i="24" a="1"/>
  <c r="D399" i="24" s="1"/>
  <c r="G399" i="24"/>
  <c r="F399" i="24"/>
  <c r="A401" i="24"/>
  <c r="B399" i="24"/>
  <c r="H399" i="24"/>
  <c r="D400" i="24" l="1" a="1"/>
  <c r="D400" i="24" s="1"/>
  <c r="E400" i="24" a="1"/>
  <c r="E400" i="24" s="1"/>
  <c r="C400" i="24" a="1"/>
  <c r="C400" i="24" s="1"/>
  <c r="H400" i="24"/>
  <c r="G400" i="24"/>
  <c r="B400" i="24"/>
  <c r="A402" i="24"/>
  <c r="F400" i="24"/>
  <c r="E401" i="24" a="1"/>
  <c r="E401" i="24" s="1"/>
  <c r="C401" i="24" a="1"/>
  <c r="C401" i="24" s="1"/>
  <c r="D401" i="24" a="1"/>
  <c r="D401" i="24" s="1"/>
  <c r="F401" i="24"/>
  <c r="H401" i="24"/>
  <c r="G401" i="24"/>
  <c r="A403" i="24"/>
  <c r="B401" i="24"/>
  <c r="C403" i="24" l="1" a="1"/>
  <c r="C403" i="24" s="1"/>
  <c r="D403" i="24" a="1"/>
  <c r="D403" i="24" s="1"/>
  <c r="E403" i="24" a="1"/>
  <c r="E403" i="24" s="1"/>
  <c r="H403" i="24"/>
  <c r="F403" i="24"/>
  <c r="G403" i="24"/>
  <c r="B403" i="24"/>
  <c r="A405" i="24"/>
  <c r="D402" i="24" a="1"/>
  <c r="D402" i="24" s="1"/>
  <c r="C402" i="24" a="1"/>
  <c r="C402" i="24" s="1"/>
  <c r="E402" i="24" a="1"/>
  <c r="E402" i="24" s="1"/>
  <c r="F402" i="24"/>
  <c r="B402" i="24"/>
  <c r="H402" i="24"/>
  <c r="G402" i="24"/>
  <c r="A404" i="24"/>
  <c r="D404" i="24" l="1" a="1"/>
  <c r="D404" i="24" s="1"/>
  <c r="C404" i="24" a="1"/>
  <c r="C404" i="24" s="1"/>
  <c r="E404" i="24" a="1"/>
  <c r="E404" i="24" s="1"/>
  <c r="A406" i="24"/>
  <c r="H404" i="24"/>
  <c r="G404" i="24"/>
  <c r="F404" i="24"/>
  <c r="B404" i="24"/>
  <c r="C405" i="24" a="1"/>
  <c r="C405" i="24" s="1"/>
  <c r="E405" i="24" a="1"/>
  <c r="E405" i="24" s="1"/>
  <c r="D405" i="24" a="1"/>
  <c r="D405" i="24" s="1"/>
  <c r="A407" i="24"/>
  <c r="F405" i="24"/>
  <c r="B405" i="24"/>
  <c r="H405" i="24"/>
  <c r="G405" i="24"/>
  <c r="C407" i="24" l="1" a="1"/>
  <c r="C407" i="24" s="1"/>
  <c r="E407" i="24" a="1"/>
  <c r="E407" i="24" s="1"/>
  <c r="D407" i="24" a="1"/>
  <c r="D407" i="24" s="1"/>
  <c r="G407" i="24"/>
  <c r="B407" i="24"/>
  <c r="F407" i="24"/>
  <c r="H407" i="24"/>
  <c r="A409" i="24"/>
  <c r="C406" i="24" a="1"/>
  <c r="C406" i="24" s="1"/>
  <c r="D406" i="24" a="1"/>
  <c r="D406" i="24" s="1"/>
  <c r="E406" i="24" a="1"/>
  <c r="E406" i="24" s="1"/>
  <c r="H406" i="24"/>
  <c r="B406" i="24"/>
  <c r="A408" i="24"/>
  <c r="G406" i="24"/>
  <c r="F406" i="24"/>
  <c r="E409" i="24" l="1" a="1"/>
  <c r="E409" i="24" s="1"/>
  <c r="C409" i="24" a="1"/>
  <c r="C409" i="24" s="1"/>
  <c r="D409" i="24" a="1"/>
  <c r="D409" i="24" s="1"/>
  <c r="F409" i="24"/>
  <c r="G409" i="24"/>
  <c r="A411" i="24"/>
  <c r="H409" i="24"/>
  <c r="B409" i="24"/>
  <c r="D408" i="24" a="1"/>
  <c r="D408" i="24" s="1"/>
  <c r="E408" i="24" a="1"/>
  <c r="E408" i="24" s="1"/>
  <c r="C408" i="24" a="1"/>
  <c r="C408" i="24" s="1"/>
  <c r="H408" i="24"/>
  <c r="B408" i="24"/>
  <c r="F408" i="24"/>
  <c r="G408" i="24"/>
  <c r="A410" i="24"/>
  <c r="D410" i="24" l="1" a="1"/>
  <c r="D410" i="24" s="1"/>
  <c r="E410" i="24" a="1"/>
  <c r="E410" i="24" s="1"/>
  <c r="C410" i="24" a="1"/>
  <c r="C410" i="24" s="1"/>
  <c r="A412" i="24"/>
  <c r="G410" i="24"/>
  <c r="B410" i="24"/>
  <c r="F410" i="24"/>
  <c r="H410" i="24"/>
  <c r="C411" i="24" a="1"/>
  <c r="C411" i="24" s="1"/>
  <c r="D411" i="24" a="1"/>
  <c r="D411" i="24" s="1"/>
  <c r="E411" i="24" a="1"/>
  <c r="E411" i="24" s="1"/>
  <c r="F411" i="24"/>
  <c r="A413" i="24"/>
  <c r="H411" i="24"/>
  <c r="G411" i="24"/>
  <c r="B411" i="24"/>
  <c r="C413" i="24" l="1" a="1"/>
  <c r="C413" i="24" s="1"/>
  <c r="E413" i="24" a="1"/>
  <c r="E413" i="24" s="1"/>
  <c r="D413" i="24" a="1"/>
  <c r="D413" i="24" s="1"/>
  <c r="A415" i="24"/>
  <c r="F413" i="24"/>
  <c r="B413" i="24"/>
  <c r="H413" i="24"/>
  <c r="G413" i="24"/>
  <c r="D412" i="24" a="1"/>
  <c r="D412" i="24" s="1"/>
  <c r="C412" i="24" a="1"/>
  <c r="C412" i="24" s="1"/>
  <c r="E412" i="24" a="1"/>
  <c r="E412" i="24" s="1"/>
  <c r="A414" i="24"/>
  <c r="H412" i="24"/>
  <c r="G412" i="24"/>
  <c r="F412" i="24"/>
  <c r="B412" i="24"/>
  <c r="C414" i="24" l="1" a="1"/>
  <c r="C414" i="24" s="1"/>
  <c r="D414" i="24" a="1"/>
  <c r="D414" i="24" s="1"/>
  <c r="E414" i="24" a="1"/>
  <c r="E414" i="24" s="1"/>
  <c r="H414" i="24"/>
  <c r="G414" i="24"/>
  <c r="B414" i="24"/>
  <c r="F414" i="24"/>
  <c r="A416" i="24"/>
  <c r="C415" i="24" a="1"/>
  <c r="C415" i="24" s="1"/>
  <c r="E415" i="24" a="1"/>
  <c r="E415" i="24" s="1"/>
  <c r="D415" i="24" a="1"/>
  <c r="D415" i="24" s="1"/>
  <c r="G415" i="24"/>
  <c r="B415" i="24"/>
  <c r="F415" i="24"/>
  <c r="A417" i="24"/>
  <c r="H415" i="24"/>
  <c r="D416" i="24" l="1" a="1"/>
  <c r="D416" i="24" s="1"/>
  <c r="E416" i="24" a="1"/>
  <c r="E416" i="24" s="1"/>
  <c r="C416" i="24" a="1"/>
  <c r="C416" i="24" s="1"/>
  <c r="H416" i="24"/>
  <c r="F416" i="24"/>
  <c r="G416" i="24"/>
  <c r="A418" i="24"/>
  <c r="B416" i="24"/>
  <c r="E417" i="24" a="1"/>
  <c r="E417" i="24" s="1"/>
  <c r="C417" i="24" a="1"/>
  <c r="C417" i="24" s="1"/>
  <c r="D417" i="24" a="1"/>
  <c r="D417" i="24" s="1"/>
  <c r="F417" i="24"/>
  <c r="G417" i="24"/>
  <c r="A419" i="24"/>
  <c r="B417" i="24"/>
  <c r="H417" i="24"/>
  <c r="D418" i="24" l="1" a="1"/>
  <c r="D418" i="24" s="1"/>
  <c r="C418" i="24" a="1"/>
  <c r="C418" i="24" s="1"/>
  <c r="E418" i="24" a="1"/>
  <c r="E418" i="24" s="1"/>
  <c r="A420" i="24"/>
  <c r="G418" i="24"/>
  <c r="B418" i="24"/>
  <c r="H418" i="24"/>
  <c r="F418" i="24"/>
  <c r="C419" i="24" a="1"/>
  <c r="C419" i="24" s="1"/>
  <c r="D419" i="24" a="1"/>
  <c r="D419" i="24" s="1"/>
  <c r="E419" i="24" a="1"/>
  <c r="E419" i="24" s="1"/>
  <c r="F419" i="24"/>
  <c r="G419" i="24"/>
  <c r="A421" i="24"/>
  <c r="H419" i="24"/>
  <c r="B419" i="24"/>
  <c r="C421" i="24" l="1" a="1"/>
  <c r="C421" i="24" s="1"/>
  <c r="E421" i="24" a="1"/>
  <c r="E421" i="24" s="1"/>
  <c r="D421" i="24" a="1"/>
  <c r="D421" i="24" s="1"/>
  <c r="A423" i="24"/>
  <c r="G421" i="24"/>
  <c r="H421" i="24"/>
  <c r="F421" i="24"/>
  <c r="B421" i="24"/>
  <c r="D420" i="24" a="1"/>
  <c r="D420" i="24" s="1"/>
  <c r="E420" i="24" a="1"/>
  <c r="E420" i="24" s="1"/>
  <c r="C420" i="24" a="1"/>
  <c r="C420" i="24" s="1"/>
  <c r="A422" i="24"/>
  <c r="G420" i="24"/>
  <c r="B420" i="24"/>
  <c r="H420" i="24"/>
  <c r="F420" i="24"/>
  <c r="C422" i="24" l="1" a="1"/>
  <c r="C422" i="24" s="1"/>
  <c r="D422" i="24" a="1"/>
  <c r="D422" i="24" s="1"/>
  <c r="E422" i="24" a="1"/>
  <c r="E422" i="24" s="1"/>
  <c r="H422" i="24"/>
  <c r="G422" i="24"/>
  <c r="B422" i="24"/>
  <c r="F422" i="24"/>
  <c r="A424" i="24"/>
  <c r="C423" i="24" a="1"/>
  <c r="C423" i="24" s="1"/>
  <c r="E423" i="24" a="1"/>
  <c r="E423" i="24" s="1"/>
  <c r="D423" i="24" a="1"/>
  <c r="D423" i="24" s="1"/>
  <c r="G423" i="24"/>
  <c r="B423" i="24"/>
  <c r="F423" i="24"/>
  <c r="A425" i="24"/>
  <c r="H423" i="24"/>
  <c r="D424" i="24" l="1" a="1"/>
  <c r="D424" i="24" s="1"/>
  <c r="E424" i="24" a="1"/>
  <c r="E424" i="24" s="1"/>
  <c r="C424" i="24" a="1"/>
  <c r="C424" i="24" s="1"/>
  <c r="H424" i="24"/>
  <c r="B424" i="24"/>
  <c r="G424" i="24"/>
  <c r="A426" i="24"/>
  <c r="F424" i="24"/>
  <c r="E425" i="24" a="1"/>
  <c r="E425" i="24" s="1"/>
  <c r="C425" i="24" a="1"/>
  <c r="C425" i="24" s="1"/>
  <c r="D425" i="24" a="1"/>
  <c r="D425" i="24" s="1"/>
  <c r="F425" i="24"/>
  <c r="H425" i="24"/>
  <c r="B425" i="24"/>
  <c r="A427" i="24"/>
  <c r="G425" i="24"/>
  <c r="C427" i="24" l="1" a="1"/>
  <c r="C427" i="24" s="1"/>
  <c r="D427" i="24" a="1"/>
  <c r="D427" i="24" s="1"/>
  <c r="E427" i="24" a="1"/>
  <c r="E427" i="24" s="1"/>
  <c r="F427" i="24"/>
  <c r="A429" i="24"/>
  <c r="G427" i="24"/>
  <c r="B427" i="24"/>
  <c r="H427" i="24"/>
  <c r="D426" i="24" a="1"/>
  <c r="D426" i="24" s="1"/>
  <c r="C426" i="24" a="1"/>
  <c r="C426" i="24" s="1"/>
  <c r="E426" i="24" a="1"/>
  <c r="E426" i="24" s="1"/>
  <c r="A428" i="24"/>
  <c r="B426" i="24"/>
  <c r="H426" i="24"/>
  <c r="G426" i="24"/>
  <c r="F426" i="24"/>
  <c r="C429" i="24" l="1" a="1"/>
  <c r="C429" i="24" s="1"/>
  <c r="E429" i="24" a="1"/>
  <c r="E429" i="24" s="1"/>
  <c r="D429" i="24" a="1"/>
  <c r="D429" i="24" s="1"/>
  <c r="A431" i="24"/>
  <c r="H429" i="24"/>
  <c r="F429" i="24"/>
  <c r="G429" i="24"/>
  <c r="B429" i="24"/>
  <c r="D428" i="24" a="1"/>
  <c r="D428" i="24" s="1"/>
  <c r="E428" i="24" a="1"/>
  <c r="E428" i="24" s="1"/>
  <c r="C428" i="24" a="1"/>
  <c r="C428" i="24" s="1"/>
  <c r="A430" i="24"/>
  <c r="H428" i="24"/>
  <c r="B428" i="24"/>
  <c r="G428" i="24"/>
  <c r="F428" i="24"/>
  <c r="C430" i="24" l="1" a="1"/>
  <c r="C430" i="24" s="1"/>
  <c r="D430" i="24" a="1"/>
  <c r="D430" i="24" s="1"/>
  <c r="E430" i="24" a="1"/>
  <c r="E430" i="24" s="1"/>
  <c r="H430" i="24"/>
  <c r="A432" i="24"/>
  <c r="G430" i="24"/>
  <c r="B430" i="24"/>
  <c r="F430" i="24"/>
  <c r="C431" i="24" a="1"/>
  <c r="C431" i="24" s="1"/>
  <c r="E431" i="24" a="1"/>
  <c r="E431" i="24" s="1"/>
  <c r="D431" i="24" a="1"/>
  <c r="D431" i="24" s="1"/>
  <c r="G431" i="24"/>
  <c r="A433" i="24"/>
  <c r="B431" i="24"/>
  <c r="F431" i="24"/>
  <c r="H431" i="24"/>
  <c r="E433" i="24" l="1" a="1"/>
  <c r="E433" i="24" s="1"/>
  <c r="C433" i="24" a="1"/>
  <c r="C433" i="24" s="1"/>
  <c r="D433" i="24" a="1"/>
  <c r="D433" i="24" s="1"/>
  <c r="F433" i="24"/>
  <c r="A435" i="24"/>
  <c r="H433" i="24"/>
  <c r="G433" i="24"/>
  <c r="B433" i="24"/>
  <c r="D432" i="24" a="1"/>
  <c r="D432" i="24" s="1"/>
  <c r="E432" i="24" a="1"/>
  <c r="E432" i="24" s="1"/>
  <c r="C432" i="24" a="1"/>
  <c r="C432" i="24" s="1"/>
  <c r="H432" i="24"/>
  <c r="G432" i="24"/>
  <c r="B432" i="24"/>
  <c r="A434" i="24"/>
  <c r="F432" i="24"/>
  <c r="C435" i="24" l="1" a="1"/>
  <c r="C435" i="24" s="1"/>
  <c r="D435" i="24" a="1"/>
  <c r="D435" i="24" s="1"/>
  <c r="E435" i="24" a="1"/>
  <c r="E435" i="24" s="1"/>
  <c r="H435" i="24"/>
  <c r="B435" i="24"/>
  <c r="G435" i="24"/>
  <c r="F435" i="24"/>
  <c r="A437" i="24"/>
  <c r="D434" i="24" a="1"/>
  <c r="D434" i="24" s="1"/>
  <c r="E434" i="24" a="1"/>
  <c r="E434" i="24" s="1"/>
  <c r="C434" i="24" a="1"/>
  <c r="C434" i="24" s="1"/>
  <c r="F434" i="24"/>
  <c r="H434" i="24"/>
  <c r="A436" i="24"/>
  <c r="G434" i="24"/>
  <c r="B434" i="24"/>
  <c r="C437" i="24" l="1" a="1"/>
  <c r="C437" i="24" s="1"/>
  <c r="E437" i="24" a="1"/>
  <c r="E437" i="24" s="1"/>
  <c r="D437" i="24" a="1"/>
  <c r="D437" i="24" s="1"/>
  <c r="A439" i="24"/>
  <c r="F437" i="24"/>
  <c r="B437" i="24"/>
  <c r="H437" i="24"/>
  <c r="G437" i="24"/>
  <c r="D436" i="24" a="1"/>
  <c r="D436" i="24" s="1"/>
  <c r="C436" i="24" a="1"/>
  <c r="C436" i="24" s="1"/>
  <c r="E436" i="24" a="1"/>
  <c r="E436" i="24" s="1"/>
  <c r="A438" i="24"/>
  <c r="H436" i="24"/>
  <c r="G436" i="24"/>
  <c r="F436" i="24"/>
  <c r="B436" i="24"/>
  <c r="C438" i="24" l="1" a="1"/>
  <c r="C438" i="24" s="1"/>
  <c r="D438" i="24" a="1"/>
  <c r="D438" i="24" s="1"/>
  <c r="E438" i="24" a="1"/>
  <c r="E438" i="24" s="1"/>
  <c r="A440" i="24"/>
  <c r="H438" i="24"/>
  <c r="G438" i="24"/>
  <c r="F438" i="24"/>
  <c r="B438" i="24"/>
  <c r="C439" i="24" a="1"/>
  <c r="C439" i="24" s="1"/>
  <c r="E439" i="24" a="1"/>
  <c r="E439" i="24" s="1"/>
  <c r="D439" i="24" a="1"/>
  <c r="D439" i="24" s="1"/>
  <c r="F439" i="24"/>
  <c r="B439" i="24"/>
  <c r="A441" i="24"/>
  <c r="H439" i="24"/>
  <c r="G439" i="24"/>
  <c r="E441" i="24" l="1" a="1"/>
  <c r="E441" i="24" s="1"/>
  <c r="C441" i="24" a="1"/>
  <c r="C441" i="24" s="1"/>
  <c r="D441" i="24" a="1"/>
  <c r="D441" i="24" s="1"/>
  <c r="G441" i="24"/>
  <c r="B441" i="24"/>
  <c r="F441" i="24"/>
  <c r="H441" i="24"/>
  <c r="A443" i="24"/>
  <c r="D440" i="24" a="1"/>
  <c r="D440" i="24" s="1"/>
  <c r="E440" i="24" a="1"/>
  <c r="E440" i="24" s="1"/>
  <c r="C440" i="24" a="1"/>
  <c r="C440" i="24" s="1"/>
  <c r="F440" i="24"/>
  <c r="A442" i="24"/>
  <c r="G440" i="24"/>
  <c r="H440" i="24"/>
  <c r="B440" i="24"/>
  <c r="C443" i="24" l="1" a="1"/>
  <c r="C443" i="24" s="1"/>
  <c r="D443" i="24" a="1"/>
  <c r="D443" i="24" s="1"/>
  <c r="E443" i="24" a="1"/>
  <c r="E443" i="24" s="1"/>
  <c r="F443" i="24"/>
  <c r="A445" i="24"/>
  <c r="H443" i="24"/>
  <c r="G443" i="24"/>
  <c r="B443" i="24"/>
  <c r="D442" i="24" a="1"/>
  <c r="D442" i="24" s="1"/>
  <c r="C442" i="24" a="1"/>
  <c r="C442" i="24" s="1"/>
  <c r="E442" i="24" a="1"/>
  <c r="E442" i="24" s="1"/>
  <c r="A444" i="24"/>
  <c r="H442" i="24"/>
  <c r="B442" i="24"/>
  <c r="F442" i="24"/>
  <c r="G442" i="24"/>
  <c r="C445" i="24" l="1" a="1"/>
  <c r="C445" i="24" s="1"/>
  <c r="E445" i="24" a="1"/>
  <c r="E445" i="24" s="1"/>
  <c r="D445" i="24" a="1"/>
  <c r="D445" i="24" s="1"/>
  <c r="H445" i="24"/>
  <c r="B445" i="24"/>
  <c r="G445" i="24"/>
  <c r="F445" i="24"/>
  <c r="A447" i="24"/>
  <c r="D444" i="24" a="1"/>
  <c r="D444" i="24" s="1"/>
  <c r="E444" i="24" a="1"/>
  <c r="E444" i="24" s="1"/>
  <c r="C444" i="24" a="1"/>
  <c r="C444" i="24" s="1"/>
  <c r="G444" i="24"/>
  <c r="H444" i="24"/>
  <c r="A446" i="24"/>
  <c r="B444" i="24"/>
  <c r="F444" i="24"/>
  <c r="C446" i="24" l="1" a="1"/>
  <c r="C446" i="24" s="1"/>
  <c r="D446" i="24" a="1"/>
  <c r="D446" i="24" s="1"/>
  <c r="E446" i="24" a="1"/>
  <c r="E446" i="24" s="1"/>
  <c r="F446" i="24"/>
  <c r="H446" i="24"/>
  <c r="B446" i="24"/>
  <c r="A448" i="24"/>
  <c r="G446" i="24"/>
  <c r="C447" i="24" a="1"/>
  <c r="C447" i="24" s="1"/>
  <c r="E447" i="24" a="1"/>
  <c r="E447" i="24" s="1"/>
  <c r="D447" i="24" a="1"/>
  <c r="D447" i="24" s="1"/>
  <c r="A449" i="24"/>
  <c r="H447" i="24"/>
  <c r="F447" i="24"/>
  <c r="B447" i="24"/>
  <c r="G447" i="24"/>
  <c r="E449" i="24" l="1" a="1"/>
  <c r="E449" i="24" s="1"/>
  <c r="C449" i="24" a="1"/>
  <c r="C449" i="24" s="1"/>
  <c r="D449" i="24" a="1"/>
  <c r="D449" i="24" s="1"/>
  <c r="A451" i="24"/>
  <c r="G449" i="24"/>
  <c r="F449" i="24"/>
  <c r="H449" i="24"/>
  <c r="B449" i="24"/>
  <c r="D448" i="24" a="1"/>
  <c r="D448" i="24" s="1"/>
  <c r="E448" i="24" a="1"/>
  <c r="E448" i="24" s="1"/>
  <c r="C448" i="24" a="1"/>
  <c r="C448" i="24" s="1"/>
  <c r="H448" i="24"/>
  <c r="F448" i="24"/>
  <c r="G448" i="24"/>
  <c r="B448" i="24"/>
  <c r="A450" i="24"/>
  <c r="D450" i="24" l="1" a="1"/>
  <c r="D450" i="24" s="1"/>
  <c r="C450" i="24" a="1"/>
  <c r="C450" i="24" s="1"/>
  <c r="E450" i="24" a="1"/>
  <c r="E450" i="24" s="1"/>
  <c r="B450" i="24"/>
  <c r="F450" i="24"/>
  <c r="G450" i="24"/>
  <c r="A452" i="24"/>
  <c r="H450" i="24"/>
  <c r="C451" i="24" a="1"/>
  <c r="C451" i="24" s="1"/>
  <c r="D451" i="24" a="1"/>
  <c r="D451" i="24" s="1"/>
  <c r="E451" i="24" a="1"/>
  <c r="E451" i="24" s="1"/>
  <c r="H451" i="24"/>
  <c r="A453" i="24"/>
  <c r="G451" i="24"/>
  <c r="B451" i="24"/>
  <c r="F451" i="24"/>
  <c r="D452" i="24" l="1" a="1"/>
  <c r="D452" i="24" s="1"/>
  <c r="C452" i="24" a="1"/>
  <c r="C452" i="24" s="1"/>
  <c r="E452" i="24" a="1"/>
  <c r="E452" i="24" s="1"/>
  <c r="H452" i="24"/>
  <c r="F452" i="24"/>
  <c r="G452" i="24"/>
  <c r="A454" i="24"/>
  <c r="B452" i="24"/>
  <c r="C453" i="24" a="1"/>
  <c r="C453" i="24" s="1"/>
  <c r="E453" i="24" a="1"/>
  <c r="E453" i="24" s="1"/>
  <c r="D453" i="24" a="1"/>
  <c r="D453" i="24" s="1"/>
  <c r="H453" i="24"/>
  <c r="G453" i="24"/>
  <c r="F453" i="24"/>
  <c r="B453" i="24"/>
  <c r="A455" i="24"/>
  <c r="C455" i="24" l="1" a="1"/>
  <c r="C455" i="24" s="1"/>
  <c r="E455" i="24" a="1"/>
  <c r="E455" i="24" s="1"/>
  <c r="D455" i="24" a="1"/>
  <c r="D455" i="24" s="1"/>
  <c r="A457" i="24"/>
  <c r="G455" i="24"/>
  <c r="F455" i="24"/>
  <c r="B455" i="24"/>
  <c r="H455" i="24"/>
  <c r="C454" i="24" a="1"/>
  <c r="C454" i="24" s="1"/>
  <c r="D454" i="24" a="1"/>
  <c r="D454" i="24" s="1"/>
  <c r="E454" i="24" a="1"/>
  <c r="E454" i="24" s="1"/>
  <c r="F454" i="24"/>
  <c r="A456" i="24"/>
  <c r="H454" i="24"/>
  <c r="G454" i="24"/>
  <c r="B454" i="24"/>
  <c r="D456" i="24" l="1" a="1"/>
  <c r="D456" i="24" s="1"/>
  <c r="E456" i="24" a="1"/>
  <c r="E456" i="24" s="1"/>
  <c r="C456" i="24" a="1"/>
  <c r="C456" i="24" s="1"/>
  <c r="H456" i="24"/>
  <c r="G456" i="24"/>
  <c r="B456" i="24"/>
  <c r="F456" i="24"/>
  <c r="A458" i="24"/>
  <c r="E457" i="24" a="1"/>
  <c r="E457" i="24" s="1"/>
  <c r="C457" i="24" a="1"/>
  <c r="C457" i="24" s="1"/>
  <c r="D457" i="24" a="1"/>
  <c r="D457" i="24" s="1"/>
  <c r="A459" i="24"/>
  <c r="H457" i="24"/>
  <c r="G457" i="24"/>
  <c r="B457" i="24"/>
  <c r="F457" i="24"/>
  <c r="D458" i="24" l="1" a="1"/>
  <c r="D458" i="24" s="1"/>
  <c r="E458" i="24" a="1"/>
  <c r="E458" i="24" s="1"/>
  <c r="C458" i="24" a="1"/>
  <c r="C458" i="24" s="1"/>
  <c r="A460" i="24"/>
  <c r="G458" i="24"/>
  <c r="F458" i="24"/>
  <c r="H458" i="24"/>
  <c r="B458" i="24"/>
  <c r="C459" i="24" a="1"/>
  <c r="C459" i="24" s="1"/>
  <c r="D459" i="24" a="1"/>
  <c r="D459" i="24" s="1"/>
  <c r="E459" i="24" a="1"/>
  <c r="E459" i="24" s="1"/>
  <c r="F459" i="24"/>
  <c r="A461" i="24"/>
  <c r="H459" i="24"/>
  <c r="G459" i="24"/>
  <c r="B459" i="24"/>
  <c r="C461" i="24" l="1" a="1"/>
  <c r="C461" i="24" s="1"/>
  <c r="E461" i="24" a="1"/>
  <c r="E461" i="24" s="1"/>
  <c r="D461" i="24" a="1"/>
  <c r="D461" i="24" s="1"/>
  <c r="G461" i="24"/>
  <c r="B461" i="24"/>
  <c r="A463" i="24"/>
  <c r="F461" i="24"/>
  <c r="H461" i="24"/>
  <c r="D460" i="24" a="1"/>
  <c r="D460" i="24" s="1"/>
  <c r="E460" i="24" a="1"/>
  <c r="E460" i="24" s="1"/>
  <c r="C460" i="24" a="1"/>
  <c r="C460" i="24" s="1"/>
  <c r="B460" i="24"/>
  <c r="A462" i="24"/>
  <c r="G460" i="24"/>
  <c r="H460" i="24"/>
  <c r="F460" i="24"/>
  <c r="C463" i="24" l="1" a="1"/>
  <c r="C463" i="24" s="1"/>
  <c r="E463" i="24" a="1"/>
  <c r="E463" i="24" s="1"/>
  <c r="D463" i="24" a="1"/>
  <c r="D463" i="24" s="1"/>
  <c r="A465" i="24"/>
  <c r="F463" i="24"/>
  <c r="B463" i="24"/>
  <c r="H463" i="24"/>
  <c r="G463" i="24"/>
  <c r="C462" i="24" a="1"/>
  <c r="C462" i="24" s="1"/>
  <c r="D462" i="24" a="1"/>
  <c r="D462" i="24" s="1"/>
  <c r="E462" i="24" a="1"/>
  <c r="E462" i="24" s="1"/>
  <c r="F462" i="24"/>
  <c r="A464" i="24"/>
  <c r="B462" i="24"/>
  <c r="H462" i="24"/>
  <c r="G462" i="24"/>
  <c r="D464" i="24" l="1" a="1"/>
  <c r="D464" i="24" s="1"/>
  <c r="E464" i="24" a="1"/>
  <c r="E464" i="24" s="1"/>
  <c r="C464" i="24" a="1"/>
  <c r="C464" i="24" s="1"/>
  <c r="H464" i="24"/>
  <c r="G464" i="24"/>
  <c r="B464" i="24"/>
  <c r="F464" i="24"/>
  <c r="A466" i="24"/>
  <c r="E465" i="24" a="1"/>
  <c r="E465" i="24" s="1"/>
  <c r="C465" i="24" a="1"/>
  <c r="C465" i="24" s="1"/>
  <c r="D465" i="24" a="1"/>
  <c r="D465" i="24" s="1"/>
  <c r="A467" i="24"/>
  <c r="H465" i="24"/>
  <c r="F465" i="24"/>
  <c r="G465" i="24"/>
  <c r="B465" i="24"/>
  <c r="D466" i="24" l="1" a="1"/>
  <c r="D466" i="24" s="1"/>
  <c r="C466" i="24" a="1"/>
  <c r="C466" i="24" s="1"/>
  <c r="E466" i="24" a="1"/>
  <c r="E466" i="24" s="1"/>
  <c r="A468" i="24"/>
  <c r="H466" i="24"/>
  <c r="G466" i="24"/>
  <c r="F466" i="24"/>
  <c r="B466" i="24"/>
  <c r="C467" i="24" a="1"/>
  <c r="C467" i="24" s="1"/>
  <c r="D467" i="24" a="1"/>
  <c r="D467" i="24" s="1"/>
  <c r="E467" i="24" a="1"/>
  <c r="E467" i="24" s="1"/>
  <c r="F467" i="24"/>
  <c r="A469" i="24"/>
  <c r="H467" i="24"/>
  <c r="G467" i="24"/>
  <c r="B467" i="24"/>
  <c r="C469" i="24" l="1" a="1"/>
  <c r="C469" i="24" s="1"/>
  <c r="E469" i="24" a="1"/>
  <c r="E469" i="24" s="1"/>
  <c r="D469" i="24" a="1"/>
  <c r="D469" i="24" s="1"/>
  <c r="H469" i="24"/>
  <c r="F469" i="24"/>
  <c r="G469" i="24"/>
  <c r="B469" i="24"/>
  <c r="A471" i="24"/>
  <c r="D468" i="24" a="1"/>
  <c r="D468" i="24" s="1"/>
  <c r="C468" i="24" a="1"/>
  <c r="C468" i="24" s="1"/>
  <c r="E468" i="24" a="1"/>
  <c r="E468" i="24" s="1"/>
  <c r="G468" i="24"/>
  <c r="B468" i="24"/>
  <c r="F468" i="24"/>
  <c r="H468" i="24"/>
  <c r="A470" i="24"/>
  <c r="C470" i="24" l="1" a="1"/>
  <c r="C470" i="24" s="1"/>
  <c r="D470" i="24" a="1"/>
  <c r="D470" i="24" s="1"/>
  <c r="E470" i="24" a="1"/>
  <c r="E470" i="24" s="1"/>
  <c r="G470" i="24"/>
  <c r="A472" i="24"/>
  <c r="H470" i="24"/>
  <c r="B470" i="24"/>
  <c r="F470" i="24"/>
  <c r="C471" i="24" a="1"/>
  <c r="C471" i="24" s="1"/>
  <c r="D471" i="24" a="1"/>
  <c r="D471" i="24" s="1"/>
  <c r="E471" i="24" a="1"/>
  <c r="E471" i="24" s="1"/>
  <c r="G471" i="24"/>
  <c r="H471" i="24"/>
  <c r="A473" i="24"/>
  <c r="F471" i="24"/>
  <c r="B471" i="24"/>
  <c r="E473" i="24" l="1" a="1"/>
  <c r="E473" i="24" s="1"/>
  <c r="C473" i="24" a="1"/>
  <c r="C473" i="24" s="1"/>
  <c r="D473" i="24" a="1"/>
  <c r="D473" i="24" s="1"/>
  <c r="A475" i="24"/>
  <c r="H473" i="24"/>
  <c r="G473" i="24"/>
  <c r="F473" i="24"/>
  <c r="B473" i="24"/>
  <c r="D472" i="24" a="1"/>
  <c r="D472" i="24" s="1"/>
  <c r="E472" i="24" a="1"/>
  <c r="E472" i="24" s="1"/>
  <c r="C472" i="24" a="1"/>
  <c r="C472" i="24" s="1"/>
  <c r="H472" i="24"/>
  <c r="A474" i="24"/>
  <c r="G472" i="24"/>
  <c r="B472" i="24"/>
  <c r="F472" i="24"/>
  <c r="C474" i="24" l="1" a="1"/>
  <c r="C474" i="24" s="1"/>
  <c r="E474" i="24" a="1"/>
  <c r="E474" i="24" s="1"/>
  <c r="D474" i="24" a="1"/>
  <c r="D474" i="24" s="1"/>
  <c r="G474" i="24"/>
  <c r="F474" i="24"/>
  <c r="B474" i="24"/>
  <c r="A476" i="24"/>
  <c r="H474" i="24"/>
  <c r="C475" i="24" a="1"/>
  <c r="C475" i="24" s="1"/>
  <c r="D475" i="24" a="1"/>
  <c r="D475" i="24" s="1"/>
  <c r="E475" i="24" a="1"/>
  <c r="E475" i="24" s="1"/>
  <c r="H475" i="24"/>
  <c r="B475" i="24"/>
  <c r="F475" i="24"/>
  <c r="G475" i="24"/>
  <c r="A477" i="24"/>
  <c r="C477" i="24" l="1" a="1"/>
  <c r="C477" i="24" s="1"/>
  <c r="D477" i="24" a="1"/>
  <c r="D477" i="24" s="1"/>
  <c r="E477" i="24" a="1"/>
  <c r="E477" i="24" s="1"/>
  <c r="A479" i="24"/>
  <c r="G477" i="24"/>
  <c r="H477" i="24"/>
  <c r="B477" i="24"/>
  <c r="F477" i="24"/>
  <c r="E476" i="24" a="1"/>
  <c r="E476" i="24" s="1"/>
  <c r="C476" i="24" a="1"/>
  <c r="C476" i="24" s="1"/>
  <c r="D476" i="24" a="1"/>
  <c r="D476" i="24" s="1"/>
  <c r="F476" i="24"/>
  <c r="H476" i="24"/>
  <c r="B476" i="24"/>
  <c r="A478" i="24"/>
  <c r="G476" i="24"/>
  <c r="C478" i="24" l="1" a="1"/>
  <c r="C478" i="24" s="1"/>
  <c r="D478" i="24" a="1"/>
  <c r="D478" i="24" s="1"/>
  <c r="E478" i="24" a="1"/>
  <c r="E478" i="24" s="1"/>
  <c r="H478" i="24"/>
  <c r="B478" i="24"/>
  <c r="G478" i="24"/>
  <c r="A480" i="24"/>
  <c r="F478" i="24"/>
  <c r="D479" i="24" a="1"/>
  <c r="D479" i="24" s="1"/>
  <c r="C479" i="24" a="1"/>
  <c r="C479" i="24" s="1"/>
  <c r="E479" i="24" a="1"/>
  <c r="E479" i="24" s="1"/>
  <c r="A481" i="24"/>
  <c r="H479" i="24"/>
  <c r="B479" i="24"/>
  <c r="F479" i="24"/>
  <c r="G479" i="24"/>
  <c r="C480" i="24" l="1" a="1"/>
  <c r="C480" i="24" s="1"/>
  <c r="E480" i="24" a="1"/>
  <c r="E480" i="24" s="1"/>
  <c r="D480" i="24" a="1"/>
  <c r="D480" i="24" s="1"/>
  <c r="A482" i="24"/>
  <c r="H480" i="24"/>
  <c r="G480" i="24"/>
  <c r="B480" i="24"/>
  <c r="F480" i="24"/>
  <c r="D481" i="24" a="1"/>
  <c r="D481" i="24" s="1"/>
  <c r="C481" i="24" a="1"/>
  <c r="C481" i="24" s="1"/>
  <c r="E481" i="24" a="1"/>
  <c r="E481" i="24" s="1"/>
  <c r="F481" i="24"/>
  <c r="A483" i="24"/>
  <c r="G481" i="24"/>
  <c r="H481" i="24"/>
  <c r="B481" i="24"/>
  <c r="C483" i="24" l="1" a="1"/>
  <c r="C483" i="24" s="1"/>
  <c r="D483" i="24" a="1"/>
  <c r="D483" i="24" s="1"/>
  <c r="E483" i="24" a="1"/>
  <c r="E483" i="24" s="1"/>
  <c r="H483" i="24"/>
  <c r="G483" i="24"/>
  <c r="B483" i="24"/>
  <c r="A485" i="24"/>
  <c r="F483" i="24"/>
  <c r="C482" i="24" a="1"/>
  <c r="C482" i="24" s="1"/>
  <c r="D482" i="24" a="1"/>
  <c r="D482" i="24" s="1"/>
  <c r="E482" i="24" a="1"/>
  <c r="E482" i="24" s="1"/>
  <c r="G482" i="24"/>
  <c r="B482" i="24"/>
  <c r="F482" i="24"/>
  <c r="H482" i="24"/>
  <c r="A484" i="24"/>
  <c r="E484" i="24" l="1" a="1"/>
  <c r="E484" i="24" s="1"/>
  <c r="C484" i="24" a="1"/>
  <c r="C484" i="24" s="1"/>
  <c r="D484" i="24" a="1"/>
  <c r="D484" i="24" s="1"/>
  <c r="F484" i="24"/>
  <c r="B484" i="24"/>
  <c r="A486" i="24"/>
  <c r="G484" i="24"/>
  <c r="H484" i="24"/>
  <c r="D485" i="24" a="1"/>
  <c r="D485" i="24" s="1"/>
  <c r="E485" i="24" a="1"/>
  <c r="E485" i="24" s="1"/>
  <c r="C485" i="24" a="1"/>
  <c r="C485" i="24" s="1"/>
  <c r="A487" i="24"/>
  <c r="B485" i="24"/>
  <c r="H485" i="24"/>
  <c r="G485" i="24"/>
  <c r="F485" i="24"/>
  <c r="C486" i="24" l="1" a="1"/>
  <c r="C486" i="24" s="1"/>
  <c r="E486" i="24" a="1"/>
  <c r="E486" i="24" s="1"/>
  <c r="D486" i="24" a="1"/>
  <c r="D486" i="24" s="1"/>
  <c r="H486" i="24"/>
  <c r="G486" i="24"/>
  <c r="B486" i="24"/>
  <c r="F486" i="24"/>
  <c r="A488" i="24"/>
  <c r="D487" i="24" a="1"/>
  <c r="D487" i="24" s="1"/>
  <c r="E487" i="24" a="1"/>
  <c r="E487" i="24" s="1"/>
  <c r="C487" i="24" a="1"/>
  <c r="C487" i="24" s="1"/>
  <c r="A489" i="24"/>
  <c r="H487" i="24"/>
  <c r="G487" i="24"/>
  <c r="F487" i="24"/>
  <c r="B487" i="24"/>
  <c r="C488" i="24" l="1" a="1"/>
  <c r="C488" i="24" s="1"/>
  <c r="E488" i="24" a="1"/>
  <c r="E488" i="24" s="1"/>
  <c r="D488" i="24" a="1"/>
  <c r="D488" i="24" s="1"/>
  <c r="A490" i="24"/>
  <c r="H488" i="24"/>
  <c r="G488" i="24"/>
  <c r="B488" i="24"/>
  <c r="F488" i="24"/>
  <c r="C489" i="24" a="1"/>
  <c r="C489" i="24" s="1"/>
  <c r="D489" i="24" a="1"/>
  <c r="D489" i="24" s="1"/>
  <c r="E489" i="24" a="1"/>
  <c r="E489" i="24" s="1"/>
  <c r="F489" i="24"/>
  <c r="A491" i="24"/>
  <c r="B489" i="24"/>
  <c r="G489" i="24"/>
  <c r="H489" i="24"/>
  <c r="C491" i="24" l="1" a="1"/>
  <c r="C491" i="24" s="1"/>
  <c r="D491" i="24" a="1"/>
  <c r="D491" i="24" s="1"/>
  <c r="E491" i="24" a="1"/>
  <c r="E491" i="24" s="1"/>
  <c r="H491" i="24"/>
  <c r="B491" i="24"/>
  <c r="F491" i="24"/>
  <c r="G491" i="24"/>
  <c r="A493" i="24"/>
  <c r="C490" i="24" a="1"/>
  <c r="C490" i="24" s="1"/>
  <c r="E490" i="24" a="1"/>
  <c r="E490" i="24" s="1"/>
  <c r="D490" i="24" a="1"/>
  <c r="D490" i="24" s="1"/>
  <c r="B490" i="24"/>
  <c r="G490" i="24"/>
  <c r="F490" i="24"/>
  <c r="A492" i="24"/>
  <c r="H490" i="24"/>
  <c r="C493" i="24" l="1" a="1"/>
  <c r="C493" i="24" s="1"/>
  <c r="D493" i="24" a="1"/>
  <c r="D493" i="24" s="1"/>
  <c r="E493" i="24" a="1"/>
  <c r="E493" i="24" s="1"/>
  <c r="A495" i="24"/>
  <c r="H493" i="24"/>
  <c r="F493" i="24"/>
  <c r="G493" i="24"/>
  <c r="B493" i="24"/>
  <c r="E492" i="24" a="1"/>
  <c r="E492" i="24" s="1"/>
  <c r="C492" i="24" a="1"/>
  <c r="C492" i="24" s="1"/>
  <c r="D492" i="24" a="1"/>
  <c r="D492" i="24" s="1"/>
  <c r="F492" i="24"/>
  <c r="G492" i="24"/>
  <c r="A494" i="24"/>
  <c r="B492" i="24"/>
  <c r="H492" i="24"/>
  <c r="C494" i="24" l="1" a="1"/>
  <c r="C494" i="24" s="1"/>
  <c r="D494" i="24" a="1"/>
  <c r="D494" i="24" s="1"/>
  <c r="E494" i="24" a="1"/>
  <c r="E494" i="24" s="1"/>
  <c r="H494" i="24"/>
  <c r="G494" i="24"/>
  <c r="A496" i="24"/>
  <c r="B494" i="24"/>
  <c r="F494" i="24"/>
  <c r="D495" i="24" a="1"/>
  <c r="D495" i="24" s="1"/>
  <c r="C495" i="24" a="1"/>
  <c r="C495" i="24" s="1"/>
  <c r="E495" i="24" a="1"/>
  <c r="E495" i="24" s="1"/>
  <c r="A497" i="24"/>
  <c r="B495" i="24"/>
  <c r="H495" i="24"/>
  <c r="F495" i="24"/>
  <c r="G495" i="24"/>
  <c r="C496" i="24" l="1" a="1"/>
  <c r="C496" i="24" s="1"/>
  <c r="E496" i="24" a="1"/>
  <c r="E496" i="24" s="1"/>
  <c r="D496" i="24" a="1"/>
  <c r="D496" i="24" s="1"/>
  <c r="A498" i="24"/>
  <c r="H496" i="24"/>
  <c r="G496" i="24"/>
  <c r="B496" i="24"/>
  <c r="F496" i="24"/>
  <c r="D497" i="24" a="1"/>
  <c r="D497" i="24" s="1"/>
  <c r="C497" i="24" a="1"/>
  <c r="C497" i="24" s="1"/>
  <c r="E497" i="24" a="1"/>
  <c r="E497" i="24" s="1"/>
  <c r="F497" i="24"/>
  <c r="G497" i="24"/>
  <c r="A499" i="24"/>
  <c r="H497" i="24"/>
  <c r="B497" i="24"/>
  <c r="C499" i="24" l="1" a="1"/>
  <c r="C499" i="24" s="1"/>
  <c r="D499" i="24" a="1"/>
  <c r="D499" i="24" s="1"/>
  <c r="E499" i="24" a="1"/>
  <c r="E499" i="24" s="1"/>
  <c r="H499" i="24"/>
  <c r="G499" i="24"/>
  <c r="F499" i="24"/>
  <c r="B499" i="24"/>
  <c r="C498" i="24" a="1"/>
  <c r="C498" i="24" s="1"/>
  <c r="D498" i="24" a="1"/>
  <c r="D498" i="24" s="1"/>
  <c r="E498" i="24" a="1"/>
  <c r="E498" i="24" s="1"/>
  <c r="B498" i="24"/>
  <c r="F498" i="24"/>
  <c r="G498" i="24"/>
  <c r="A500" i="24"/>
  <c r="H498" i="24"/>
  <c r="E500" i="24" l="1" a="1"/>
  <c r="E500" i="24" s="1"/>
  <c r="C500" i="24" a="1"/>
  <c r="C500" i="24" s="1"/>
  <c r="D500" i="24" a="1"/>
  <c r="D500" i="24" s="1"/>
  <c r="H500" i="24"/>
  <c r="B500" i="24"/>
  <c r="F500" i="24"/>
  <c r="G500" i="2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<sst xmlns="http://schemas.openxmlformats.org/spreadsheetml/2006/main" count="833" uniqueCount="358">
  <si>
    <t>Start Time</t>
  </si>
  <si>
    <t>End Time</t>
  </si>
  <si>
    <t>Spreadsheet Name</t>
  </si>
  <si>
    <t>Elapsed Time</t>
  </si>
  <si>
    <t>Is Game On?</t>
  </si>
  <si>
    <t>Sheet</t>
  </si>
  <si>
    <t>Starting Position</t>
  </si>
  <si>
    <t>Answer Cell</t>
  </si>
  <si>
    <t>Clear Range</t>
  </si>
  <si>
    <t>Number of Exercises</t>
  </si>
  <si>
    <t>Protected Range</t>
  </si>
  <si>
    <t>Number of Protected Cells</t>
  </si>
  <si>
    <t>Random Values</t>
  </si>
  <si>
    <t>Lower Range</t>
  </si>
  <si>
    <t>Upper Range</t>
  </si>
  <si>
    <t>Multiplier</t>
  </si>
  <si>
    <t>Random Inputs</t>
  </si>
  <si>
    <t>Number of Random Values</t>
  </si>
  <si>
    <t>Current Result:</t>
  </si>
  <si>
    <t>Date and Time</t>
  </si>
  <si>
    <t>Best Result:</t>
  </si>
  <si>
    <t>All Correct?</t>
  </si>
  <si>
    <t>A1:G141</t>
  </si>
  <si>
    <t>Instructions:</t>
  </si>
  <si>
    <t>No</t>
  </si>
  <si>
    <t>Instructions</t>
  </si>
  <si>
    <t>A1:F30</t>
  </si>
  <si>
    <t>X Position</t>
  </si>
  <si>
    <t>Y Position</t>
  </si>
  <si>
    <t>Mouse Moves</t>
  </si>
  <si>
    <t>Data Tables?</t>
  </si>
  <si>
    <t>Use Values</t>
  </si>
  <si>
    <t>Generated Values</t>
  </si>
  <si>
    <t>Random Values: 1</t>
  </si>
  <si>
    <t>Random Values: 2</t>
  </si>
  <si>
    <t>Random Values: 3</t>
  </si>
  <si>
    <t>Random Values: 4</t>
  </si>
  <si>
    <t>Random Values: 5</t>
  </si>
  <si>
    <t>Random Values: 6</t>
  </si>
  <si>
    <t>Random Values: 7</t>
  </si>
  <si>
    <t>Random Values: 8</t>
  </si>
  <si>
    <t>Random Values: 9</t>
  </si>
  <si>
    <t>Random Values: 10</t>
  </si>
  <si>
    <t>Random Values: 11</t>
  </si>
  <si>
    <t>Random Values: 12</t>
  </si>
  <si>
    <t>Random Values: 13</t>
  </si>
  <si>
    <t>Random Values: 14</t>
  </si>
  <si>
    <t>Random Values: 15</t>
  </si>
  <si>
    <t>Random Values: 16</t>
  </si>
  <si>
    <t>Random Values: 17</t>
  </si>
  <si>
    <t>Random Values: 18</t>
  </si>
  <si>
    <t>Random Values: 19</t>
  </si>
  <si>
    <t>Random Values: 20</t>
  </si>
  <si>
    <t>Questions</t>
  </si>
  <si>
    <t>Use Answers</t>
  </si>
  <si>
    <t>Student Answers</t>
  </si>
  <si>
    <t>Answers: 1</t>
  </si>
  <si>
    <t>Answers: 2</t>
  </si>
  <si>
    <t>Answers: 3</t>
  </si>
  <si>
    <t>Answers: 4</t>
  </si>
  <si>
    <t>Answers: 5</t>
  </si>
  <si>
    <t>Answers: 6</t>
  </si>
  <si>
    <t>Answers: 7</t>
  </si>
  <si>
    <t>Answers: 8</t>
  </si>
  <si>
    <t>Answers: 9</t>
  </si>
  <si>
    <t>Answers: 10</t>
  </si>
  <si>
    <t>Answers: 11</t>
  </si>
  <si>
    <t>Answers: 12</t>
  </si>
  <si>
    <t>Answers: 13</t>
  </si>
  <si>
    <t>Answers: 14</t>
  </si>
  <si>
    <t>Answers: 15</t>
  </si>
  <si>
    <t>Answers: 16</t>
  </si>
  <si>
    <t>Answers: 17</t>
  </si>
  <si>
    <t>Answers: 18</t>
  </si>
  <si>
    <t>Answers: 19</t>
  </si>
  <si>
    <t>Answers: 20</t>
  </si>
  <si>
    <t>Random Method</t>
  </si>
  <si>
    <t>Random Scenario</t>
  </si>
  <si>
    <t>Num Random Scenarios</t>
  </si>
  <si>
    <t>Scenario Update</t>
  </si>
  <si>
    <t>Number of Answers</t>
  </si>
  <si>
    <t>Correct?</t>
  </si>
  <si>
    <t>Total Time</t>
  </si>
  <si>
    <t>Correct Answer</t>
  </si>
  <si>
    <t>Year</t>
  </si>
  <si>
    <t>Month</t>
  </si>
  <si>
    <t>F10</t>
  </si>
  <si>
    <t>If your spreadsheet does not automatically record your results:</t>
  </si>
  <si>
    <t xml:space="preserve">Use the Force Stop button to record your time. Force Stop will only work if all of your answers are correct </t>
  </si>
  <si>
    <t>and the time has not already stopped.</t>
  </si>
  <si>
    <t xml:space="preserve">Use the Record Time button to record your results. Record Time will only work if a stop time has been </t>
  </si>
  <si>
    <t>recorded and all of your answers are correct.</t>
  </si>
  <si>
    <t>Live Version?</t>
  </si>
  <si>
    <t>Version Notes</t>
  </si>
  <si>
    <t>V5 Implemented 11-30-2021 to count number of activations instead of preventing copy-paste</t>
  </si>
  <si>
    <t>V6 Implemented 12-14-2021 to refresh values before progressing and track total time in spreadsheet</t>
  </si>
  <si>
    <t>Spreadsheet Activations</t>
  </si>
  <si>
    <t>Last Time</t>
  </si>
  <si>
    <t>Total Time (seconds)</t>
  </si>
  <si>
    <t>ProblemType</t>
  </si>
  <si>
    <t>WorksheetName</t>
  </si>
  <si>
    <t>Range</t>
  </si>
  <si>
    <t>Comparison</t>
  </si>
  <si>
    <t>Grade</t>
  </si>
  <si>
    <t>CorrectFeedback</t>
  </si>
  <si>
    <t>IncorrectFeedback</t>
  </si>
  <si>
    <t>CELL</t>
  </si>
  <si>
    <t>N/A</t>
  </si>
  <si>
    <t>F8</t>
  </si>
  <si>
    <t>F9</t>
  </si>
  <si>
    <t>F11</t>
  </si>
  <si>
    <t>Note that the input parameters randomly adjust when you press the Start button and complete an exercise.</t>
  </si>
  <si>
    <t>Your Answer</t>
  </si>
  <si>
    <t>Questions:</t>
  </si>
  <si>
    <t>Parameters:</t>
  </si>
  <si>
    <t>Tab</t>
  </si>
  <si>
    <t>Cell</t>
  </si>
  <si>
    <t>Check Cell</t>
  </si>
  <si>
    <t>E12</t>
  </si>
  <si>
    <t>F12</t>
  </si>
  <si>
    <t>E13</t>
  </si>
  <si>
    <t>F13</t>
  </si>
  <si>
    <t>E14</t>
  </si>
  <si>
    <t>F14</t>
  </si>
  <si>
    <t>E15</t>
  </si>
  <si>
    <t>F15</t>
  </si>
  <si>
    <t>E16</t>
  </si>
  <si>
    <t>F16</t>
  </si>
  <si>
    <t>E17</t>
  </si>
  <si>
    <t>F17</t>
  </si>
  <si>
    <t>E18</t>
  </si>
  <si>
    <t>F18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</si>
  <si>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</si>
  <si>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</si>
  <si>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</si>
  <si>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</si>
  <si>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</si>
  <si>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</si>
  <si>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</si>
  <si>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</si>
  <si>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</si>
  <si>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</si>
  <si>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G10</t>
  </si>
  <si>
    <t>H15</t>
  </si>
  <si>
    <t>H16</t>
  </si>
  <si>
    <t>H17</t>
  </si>
  <si>
    <t>H18</t>
  </si>
  <si>
    <t>H19</t>
  </si>
  <si>
    <t>H20</t>
  </si>
  <si>
    <t>Correct Answers:</t>
  </si>
  <si>
    <t>Percentage:</t>
  </si>
  <si>
    <t>Individual Questions:</t>
  </si>
  <si>
    <t>Reference() AND MOEValue(.0001)</t>
  </si>
  <si>
    <t>Correct</t>
  </si>
  <si>
    <t>Incorrect</t>
  </si>
  <si>
    <t>You should not be referencing the answer cell</t>
  </si>
  <si>
    <t>Timed Results</t>
  </si>
  <si>
    <t>Question Results</t>
  </si>
  <si>
    <t>Case Author: David Brown</t>
  </si>
  <si>
    <t>This model can be completed either with or without timing. In either case, begin by pressing the desired start button.</t>
  </si>
  <si>
    <t xml:space="preserve">If you are starting a timed attempt, the next tab will be revealed as soon as all answers on the tab are correct. </t>
  </si>
  <si>
    <t>Repeat as many times as you would like to improve your time - only your best time will count.</t>
  </si>
  <si>
    <t>If you are starting an untimed attempt, all tabs will be revealed and you can work freely between the tabs.</t>
  </si>
  <si>
    <t>If the next tab is not revealed, click the "Open Next Tab" button to force the next tab to open.</t>
  </si>
  <si>
    <t>Do not attempt to copy and paste from another workbook. Leaving the spreadsheet will result in a 60 second penalty.</t>
  </si>
  <si>
    <t>For your timed result to be counted, it must be within 10% of your last recorded time AND the last recorded time</t>
  </si>
  <si>
    <t>must be scored 100%. This ensures that valid attempts to not involve referencing the answer cells.</t>
  </si>
  <si>
    <t>Note that your model must remain correct when new parameters are used, else you cannot move to the next tab.</t>
  </si>
  <si>
    <t>Share your best result!</t>
  </si>
  <si>
    <t>Time Elapsed</t>
  </si>
  <si>
    <t>Penalty Count</t>
  </si>
  <si>
    <t>All Results:</t>
  </si>
  <si>
    <t>https://www.linkedin.com/sharing/share-offsite/?url=https://www.fmworldcup.com/microsoft-excel-collegiate-challenge/</t>
  </si>
  <si>
    <t>https://www.fmworldcup.com/microsoft-excel-collegiate-challenge/</t>
  </si>
  <si>
    <t>Best Time Elapsed</t>
  </si>
  <si>
    <t>Best Penalty Count</t>
  </si>
  <si>
    <t>Best Total Time</t>
  </si>
  <si>
    <t>Total Time in Spreadsheet</t>
  </si>
  <si>
    <t>Reference2(False,True,F12)</t>
  </si>
  <si>
    <t>Reference2(False,True,F13)</t>
  </si>
  <si>
    <t>Reference2(False,True,F14)</t>
  </si>
  <si>
    <t>Reference2(False,True,F15)</t>
  </si>
  <si>
    <t>Reference2(False,True,F16)</t>
  </si>
  <si>
    <t>Reference2(False,True,F17)</t>
  </si>
  <si>
    <t>Reference2(False,True,F18)</t>
  </si>
  <si>
    <t>Reference2(False,True,G11)</t>
  </si>
  <si>
    <t>Reference2(False,True,G12)</t>
  </si>
  <si>
    <t>Reference2(False,True,G13)</t>
  </si>
  <si>
    <t>Reference2(False,True,G14)</t>
  </si>
  <si>
    <t>Reference2(False,True,G15)</t>
  </si>
  <si>
    <t>Reference2(False,True,H15)</t>
  </si>
  <si>
    <t>Reference2(False,True,H16)</t>
  </si>
  <si>
    <t>Reference2(False,True,H17)</t>
  </si>
  <si>
    <t>Reference2(False,True,H18)</t>
  </si>
  <si>
    <t>Reference2(False,True,H19)</t>
  </si>
  <si>
    <t>Reference2(False,True,H20)</t>
  </si>
  <si>
    <t>Do not round answers at any point in your calculations.</t>
  </si>
  <si>
    <t>MECC Project Your Budget</t>
  </si>
  <si>
    <t>Model your housing rent costs for the next 5 years.</t>
  </si>
  <si>
    <t>Initial Rent Amount</t>
  </si>
  <si>
    <t>Assume the model starts in January (month 1).</t>
  </si>
  <si>
    <t>Rent Increase Rate</t>
  </si>
  <si>
    <t>Rent increases in January each year (but not the first year).</t>
  </si>
  <si>
    <t>What is the rent amount at the start of year 2?</t>
  </si>
  <si>
    <t>What is the total rent cost over the 60 months?</t>
  </si>
  <si>
    <t>Rent Amount</t>
  </si>
  <si>
    <t>Car Cost</t>
  </si>
  <si>
    <t>Model the repayment of the loan over 5 years (60 months).</t>
  </si>
  <si>
    <t>Loan Interest Rate</t>
  </si>
  <si>
    <t>The loan interest rate is stated as an APR (annual percentage rate).</t>
  </si>
  <si>
    <t>Months</t>
  </si>
  <si>
    <t>To calculate monthly payments, divide the APR by 12.</t>
  </si>
  <si>
    <t>Monthly interest is incurred based on the beginning balance of the loan.</t>
  </si>
  <si>
    <t>Use the PMT function to calculate the monthly payments.</t>
  </si>
  <si>
    <t>What is the monthly interest rate?</t>
  </si>
  <si>
    <t>What is the interest expense in month 1?</t>
  </si>
  <si>
    <t>What is the loan's ending balance in month 1?</t>
  </si>
  <si>
    <t>What is the total amount of payments made over 5 years?</t>
  </si>
  <si>
    <t>What is the total amount of interest paid over 5 years?</t>
  </si>
  <si>
    <t>Beginning Loan Balance</t>
  </si>
  <si>
    <t>Interest Expense</t>
  </si>
  <si>
    <t>Car Payments</t>
  </si>
  <si>
    <t>Ending Balance</t>
  </si>
  <si>
    <t>Seasonality Table:</t>
  </si>
  <si>
    <t>Project your monthly spending for 5 years.</t>
  </si>
  <si>
    <t>Monthly Budget</t>
  </si>
  <si>
    <t>Percent of</t>
  </si>
  <si>
    <t xml:space="preserve">(excluding rent and car payments) </t>
  </si>
  <si>
    <t>Lookup Month</t>
  </si>
  <si>
    <t>(divide by 12 to get monthly inflation)</t>
  </si>
  <si>
    <t>Assume inflation starts in Month 1 (January).</t>
  </si>
  <si>
    <t>Adjust for seasonality in your spending</t>
  </si>
  <si>
    <t>based on the adjacent table.</t>
  </si>
  <si>
    <t>What is the monthly inflation rate?</t>
  </si>
  <si>
    <t>What is the inflation factor in month 1?</t>
  </si>
  <si>
    <t>What is the inflation factor in month 60?</t>
  </si>
  <si>
    <t>What is the monthly spending in month 1?</t>
  </si>
  <si>
    <t>What is the monthly spending in month 2?</t>
  </si>
  <si>
    <t>What is the total monthly spending for all 5 years?</t>
  </si>
  <si>
    <t>Month of Year</t>
  </si>
  <si>
    <t>Base Spending</t>
  </si>
  <si>
    <t>Inflation Factor</t>
  </si>
  <si>
    <t>Monthly Spending</t>
  </si>
  <si>
    <t>Model your total spending and cash flow over the next 5 years.</t>
  </si>
  <si>
    <t>Initial Savings</t>
  </si>
  <si>
    <t>Surplus cash is first used to pay off your credit card, and any</t>
  </si>
  <si>
    <t>Initial Credit Card Debt</t>
  </si>
  <si>
    <t>excess is saved. Deficit cash comes first from savings, and then</t>
  </si>
  <si>
    <t>Expected Market Return</t>
  </si>
  <si>
    <t>adds to your credit card balance.</t>
  </si>
  <si>
    <t>Credit card Interest Rate</t>
  </si>
  <si>
    <t>Monthly Income</t>
  </si>
  <si>
    <t>Your income doesn't change for 5 years (to be conservative).</t>
  </si>
  <si>
    <t>Beg. Balances are equal to prior months' end balances.</t>
  </si>
  <si>
    <t>Savings returns are earned on the starting balance plus or minus</t>
  </si>
  <si>
    <t>any flows that occur during the month.</t>
  </si>
  <si>
    <t>What is the total spending in month 1? (including credit card interest)</t>
  </si>
  <si>
    <t>What is the total spending in the first year?</t>
  </si>
  <si>
    <t>What is the surplus/deficit in month 1?</t>
  </si>
  <si>
    <t>What is the total surplus/deficit in the first year?</t>
  </si>
  <si>
    <t>What is the Beg. Savings Balance in month 1?</t>
  </si>
  <si>
    <t>What is the Deficit From Savings in month 7?</t>
  </si>
  <si>
    <t>What is the Beg. Savings Balance in month 12?</t>
  </si>
  <si>
    <t>What is the first month with $0 End Savings Balance?</t>
  </si>
  <si>
    <t>What is the Deficit To Credit Card in that month?</t>
  </si>
  <si>
    <t>What is the Credit Card Interest in the next month?</t>
  </si>
  <si>
    <t>What is the total Credit Card Interest?</t>
  </si>
  <si>
    <t>What is the End Savings Balance in month 60?</t>
  </si>
  <si>
    <t>What is the End Credit Card Balance in month 60?</t>
  </si>
  <si>
    <t>Car Payment</t>
  </si>
  <si>
    <t>Credit Card Interest</t>
  </si>
  <si>
    <t>Total Spending</t>
  </si>
  <si>
    <t>Income</t>
  </si>
  <si>
    <t>Surplus / Deficit</t>
  </si>
  <si>
    <t>Surplus to Credit Card</t>
  </si>
  <si>
    <t>Surplus to Savings</t>
  </si>
  <si>
    <t>Deficit From Savings</t>
  </si>
  <si>
    <t>Deficit to Credit Card</t>
  </si>
  <si>
    <t>Beg. Savings Balance</t>
  </si>
  <si>
    <t>End Savings Balance</t>
  </si>
  <si>
    <t>Beg. Credit Card Balance</t>
  </si>
  <si>
    <t>End Credit Card Balance</t>
  </si>
  <si>
    <t xml:space="preserve">Analyze how changes in your initial rent amount affects </t>
  </si>
  <si>
    <t>savings and credit card debt at the end of 5 years.</t>
  </si>
  <si>
    <t>To do so, first build a 1-way data table in cells C15:F23.</t>
  </si>
  <si>
    <t>How much do you save over 5 years with a $600 rent expense?</t>
  </si>
  <si>
    <t>How much do you save over 5 years with a $900 rent expense?</t>
  </si>
  <si>
    <t>How much do you owe after 5 years with a $1100 rent cost?</t>
  </si>
  <si>
    <t>How much do you owe after 5 years with a $1300 rent cost?</t>
  </si>
  <si>
    <t>What is the difference at the end of 5 years between $600 rent versus $1200 rent?</t>
  </si>
  <si>
    <t>Ending Savings</t>
  </si>
  <si>
    <t>Ending Credit Card</t>
  </si>
  <si>
    <t>Net Savings</t>
  </si>
  <si>
    <t>Inflation Rate</t>
  </si>
  <si>
    <t>Rent Costs</t>
  </si>
  <si>
    <t>Car Loan</t>
  </si>
  <si>
    <t>G8</t>
  </si>
  <si>
    <t>G9</t>
  </si>
  <si>
    <t>Budget</t>
  </si>
  <si>
    <t>G21</t>
  </si>
  <si>
    <t>H21</t>
  </si>
  <si>
    <t>G22</t>
  </si>
  <si>
    <t>H22</t>
  </si>
  <si>
    <t>G23</t>
  </si>
  <si>
    <t>H23</t>
  </si>
  <si>
    <t>G24</t>
  </si>
  <si>
    <t>H24</t>
  </si>
  <si>
    <t>G25</t>
  </si>
  <si>
    <t>H25</t>
  </si>
  <si>
    <t>G26</t>
  </si>
  <si>
    <t>H26</t>
  </si>
  <si>
    <t>G27</t>
  </si>
  <si>
    <t>H27</t>
  </si>
  <si>
    <t>Sensitivity Analysis</t>
  </si>
  <si>
    <t>Monthly Season- ality Factor</t>
  </si>
  <si>
    <t>F8:F9</t>
  </si>
  <si>
    <t>C13:E72</t>
  </si>
  <si>
    <t>B2:B9</t>
  </si>
  <si>
    <t>G3:G9</t>
  </si>
  <si>
    <t>F11:F15</t>
  </si>
  <si>
    <t>G3:G15</t>
  </si>
  <si>
    <t>B2:B15</t>
  </si>
  <si>
    <t>C21:I80</t>
  </si>
  <si>
    <t>B2:B18</t>
  </si>
  <si>
    <t>E12:E18</t>
  </si>
  <si>
    <t>F2:F18</t>
  </si>
  <si>
    <t>H2:I18</t>
  </si>
  <si>
    <t>G15:G27</t>
  </si>
  <si>
    <t>D30:R90</t>
  </si>
  <si>
    <t>H2:H27</t>
  </si>
  <si>
    <t>B2:B27</t>
  </si>
  <si>
    <t>F8:F12</t>
  </si>
  <si>
    <t>Yes</t>
  </si>
  <si>
    <t>D16:F23</t>
  </si>
  <si>
    <t>Reference2(False,True,G8)</t>
  </si>
  <si>
    <t>Reference2(False,True,G9)</t>
  </si>
  <si>
    <t>Reference2(False,True,H21)</t>
  </si>
  <si>
    <t>Reference2(False,True,H22)</t>
  </si>
  <si>
    <t>Reference2(False,True,H23)</t>
  </si>
  <si>
    <t>Reference2(False,True,H24)</t>
  </si>
  <si>
    <t>Reference2(False,True,H25)</t>
  </si>
  <si>
    <t>Reference2(False,True,H26)</t>
  </si>
  <si>
    <t>Reference2(False,True,H27)</t>
  </si>
  <si>
    <t>Reference2(False,True,G10)</t>
  </si>
  <si>
    <t>C19:G78</t>
  </si>
  <si>
    <t>or your score will not be counted.</t>
  </si>
  <si>
    <r>
      <t xml:space="preserve">Only reference calculations from your model in the </t>
    </r>
    <r>
      <rPr>
        <i/>
        <sz val="11"/>
        <color theme="1"/>
        <rFont val="Calibri"/>
        <family val="2"/>
        <scheme val="minor"/>
      </rPr>
      <t>Your Answer</t>
    </r>
    <r>
      <rPr>
        <sz val="11"/>
        <color theme="1"/>
        <rFont val="Calibri"/>
        <family val="2"/>
        <scheme val="minor"/>
      </rPr>
      <t xml:space="preserve"> fields. Do not reference any </t>
    </r>
    <r>
      <rPr>
        <i/>
        <sz val="11"/>
        <color theme="1"/>
        <rFont val="Calibri"/>
        <family val="2"/>
        <scheme val="minor"/>
      </rPr>
      <t>Correct Answer</t>
    </r>
    <r>
      <rPr>
        <sz val="11"/>
        <color theme="1"/>
        <rFont val="Calibri"/>
        <family val="2"/>
        <scheme val="minor"/>
      </rPr>
      <t xml:space="preserve"> values </t>
    </r>
  </si>
  <si>
    <t>For additional instructions and video walkthroughs, go to:</t>
  </si>
  <si>
    <t>Tabs 1 &amp; 2:</t>
  </si>
  <si>
    <t>Tab 3:</t>
  </si>
  <si>
    <t>Tab 4:</t>
  </si>
  <si>
    <t>Tab 5:</t>
  </si>
  <si>
    <t>https://youtu.be/SG16aImUhuo</t>
  </si>
  <si>
    <t>https://youtu.be/IKVBUa3yOOw</t>
  </si>
  <si>
    <t>https://youtu.be/LwhZCiPfKkg</t>
  </si>
  <si>
    <t>https://youtu.be/4VcjZRu_mCc</t>
  </si>
  <si>
    <t>Scenarios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</si>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</sst>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$&quot;#,##0_);[Red]\(&quot;$&quot;#,##0\)"/>
    <numFmt numFmtId="165" formatCode="&quot;$&quot;#,##0.00_);[Red]\(&quot;$&quot;#,##0.00\)"/>
    <numFmt numFmtId="166" formatCode="[$-409]m/d/yy\ h:mm\ AM/PM;@"/>
    <numFmt numFmtId="167" formatCode="0.0%"/>
    <numFmt numFmtId="168" formatCode="0.0000"/>
    <numFmt numFmtId="169" formatCode="#,##0.000"/>
    <numFmt numFmtId="170" formatCode="0.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3"/>
      <color rgb="FF242729"/>
      <name val="Consolas"/>
      <family val="3"/>
    </font>
    <font>
      <sz val="11"/>
      <color rgb="FF00007F"/>
      <name val="Courier New"/>
      <family val="3"/>
    </font>
    <font>
      <sz val="11"/>
      <color rgb="FF403F41"/>
      <name val="Courier New"/>
      <family val="3"/>
    </font>
    <font>
      <sz val="11"/>
      <color rgb="FF007F00"/>
      <name val="Courier New"/>
      <family val="3"/>
    </font>
    <font>
      <sz val="8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sz val="10"/>
      <color theme="1"/>
      <name val="Var(--ff-mono)"/>
    </font>
    <font>
      <i/>
      <sz val="11"/>
      <color theme="1"/>
      <name val="Calibri"/>
      <family val="2"/>
      <scheme val="minor"/>
    </font>
    <font>
      <sz val="12"/>
      <color rgb="FFFFFFFF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109">
    <xf numFmtId="0" fontId="0" fillId="0" borderId="0" xfId="0"/>
    <xf numFmtId="3" fontId="8" fillId="0" borderId="0" xfId="0" applyNumberFormat="1" applyFont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center"/>
      <protection locked="0"/>
    </xf>
    <xf numFmtId="164" fontId="8" fillId="0" borderId="0" xfId="0" applyNumberFormat="1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165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0" fontId="1" fillId="4" borderId="2" xfId="0" applyFont="1" applyFill="1" applyBorder="1" applyAlignment="1" applyProtection="1">
      <alignment horizontal="center"/>
      <protection locked="0"/>
    </xf>
    <xf numFmtId="22" fontId="0" fillId="0" borderId="2" xfId="0" applyNumberForma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0" fillId="4" borderId="0" xfId="0" applyFill="1" applyProtection="1">
      <protection hidden="1"/>
    </xf>
    <xf numFmtId="0" fontId="0" fillId="4" borderId="3" xfId="0" applyFill="1" applyBorder="1" applyAlignment="1" applyProtection="1">
      <alignment horizontal="center"/>
      <protection hidden="1"/>
    </xf>
    <xf numFmtId="166" fontId="0" fillId="4" borderId="0" xfId="0" applyNumberFormat="1" applyFill="1" applyAlignment="1" applyProtection="1">
      <alignment horizontal="center"/>
      <protection hidden="1"/>
    </xf>
    <xf numFmtId="3" fontId="0" fillId="4" borderId="0" xfId="0" applyNumberFormat="1" applyFill="1" applyAlignment="1" applyProtection="1">
      <alignment horizontal="center"/>
      <protection hidden="1"/>
    </xf>
    <xf numFmtId="0" fontId="0" fillId="4" borderId="0" xfId="0" applyFill="1" applyAlignment="1" applyProtection="1">
      <alignment horizontal="center"/>
      <protection hidden="1"/>
    </xf>
    <xf numFmtId="0" fontId="1" fillId="4" borderId="0" xfId="0" applyFont="1" applyFill="1" applyAlignment="1" applyProtection="1">
      <alignment horizontal="center"/>
      <protection locked="0"/>
    </xf>
    <xf numFmtId="0" fontId="0" fillId="0" borderId="0" xfId="0" applyProtection="1">
      <protection hidden="1"/>
    </xf>
    <xf numFmtId="0" fontId="1" fillId="0" borderId="0" xfId="0" applyFont="1" applyProtection="1">
      <protection locked="0"/>
    </xf>
    <xf numFmtId="165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8" fillId="0" borderId="0" xfId="0" applyNumberFormat="1" applyFon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9" fontId="0" fillId="0" borderId="0" xfId="0" applyNumberFormat="1" applyAlignment="1" applyProtection="1">
      <alignment horizontal="center"/>
      <protection locked="0"/>
    </xf>
    <xf numFmtId="9" fontId="8" fillId="0" borderId="0" xfId="0" applyNumberFormat="1" applyFont="1" applyAlignment="1" applyProtection="1">
      <alignment horizontal="center"/>
      <protection locked="0"/>
    </xf>
    <xf numFmtId="3" fontId="10" fillId="0" borderId="0" xfId="0" applyNumberFormat="1" applyFont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/>
      <protection locked="0"/>
    </xf>
    <xf numFmtId="4" fontId="0" fillId="0" borderId="0" xfId="0" applyNumberFormat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0" fontId="11" fillId="0" borderId="0" xfId="0" applyFont="1" applyProtection="1">
      <protection hidden="1"/>
    </xf>
    <xf numFmtId="0" fontId="1" fillId="0" borderId="4" xfId="0" applyFont="1" applyBorder="1" applyAlignment="1" applyProtection="1">
      <alignment horizontal="center"/>
      <protection locked="0"/>
    </xf>
    <xf numFmtId="3" fontId="2" fillId="2" borderId="0" xfId="0" applyNumberFormat="1" applyFont="1" applyFill="1" applyAlignment="1" applyProtection="1">
      <alignment horizontal="center"/>
      <protection hidden="1"/>
    </xf>
    <xf numFmtId="3" fontId="0" fillId="3" borderId="1" xfId="0" applyNumberFormat="1" applyFill="1" applyBorder="1" applyAlignment="1" applyProtection="1">
      <alignment horizontal="center"/>
      <protection locked="0"/>
    </xf>
    <xf numFmtId="22" fontId="0" fillId="0" borderId="0" xfId="0" applyNumberFormat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10" fontId="0" fillId="3" borderId="1" xfId="0" applyNumberForma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165" fontId="1" fillId="0" borderId="0" xfId="0" applyNumberFormat="1" applyFont="1" applyAlignment="1" applyProtection="1">
      <alignment horizontal="center"/>
      <protection locked="0"/>
    </xf>
    <xf numFmtId="165" fontId="0" fillId="0" borderId="8" xfId="0" applyNumberFormat="1" applyBorder="1" applyAlignment="1" applyProtection="1">
      <alignment horizontal="center"/>
      <protection locked="0"/>
    </xf>
    <xf numFmtId="165" fontId="0" fillId="0" borderId="9" xfId="0" applyNumberFormat="1" applyBorder="1" applyAlignment="1" applyProtection="1">
      <alignment horizontal="center"/>
      <protection locked="0"/>
    </xf>
    <xf numFmtId="165" fontId="0" fillId="0" borderId="10" xfId="0" applyNumberFormat="1" applyBorder="1" applyAlignment="1" applyProtection="1">
      <alignment horizontal="center"/>
      <protection locked="0"/>
    </xf>
    <xf numFmtId="165" fontId="0" fillId="0" borderId="11" xfId="0" applyNumberForma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hidden="1"/>
    </xf>
    <xf numFmtId="0" fontId="0" fillId="4" borderId="0" xfId="0" applyFill="1" applyProtection="1">
      <protection locked="0"/>
    </xf>
    <xf numFmtId="0" fontId="9" fillId="4" borderId="0" xfId="0" applyFont="1" applyFill="1" applyAlignment="1" applyProtection="1">
      <alignment horizontal="left"/>
      <protection hidden="1"/>
    </xf>
    <xf numFmtId="0" fontId="9" fillId="4" borderId="0" xfId="0" applyFont="1" applyFill="1" applyAlignment="1" applyProtection="1">
      <alignment horizontal="center"/>
      <protection hidden="1"/>
    </xf>
    <xf numFmtId="3" fontId="9" fillId="4" borderId="0" xfId="0" applyNumberFormat="1" applyFont="1" applyFill="1" applyAlignment="1" applyProtection="1">
      <alignment horizontal="center"/>
      <protection hidden="1"/>
    </xf>
    <xf numFmtId="9" fontId="9" fillId="4" borderId="0" xfId="0" applyNumberFormat="1" applyFont="1" applyFill="1" applyAlignment="1" applyProtection="1">
      <alignment horizontal="center"/>
      <protection hidden="1"/>
    </xf>
    <xf numFmtId="0" fontId="1" fillId="4" borderId="0" xfId="0" applyFont="1" applyFill="1" applyAlignment="1" applyProtection="1">
      <alignment horizontal="center"/>
      <protection hidden="1"/>
    </xf>
    <xf numFmtId="165" fontId="0" fillId="4" borderId="0" xfId="0" applyNumberFormat="1" applyFill="1" applyAlignment="1" applyProtection="1">
      <alignment horizontal="center"/>
      <protection hidden="1"/>
    </xf>
    <xf numFmtId="22" fontId="0" fillId="0" borderId="2" xfId="0" applyNumberFormat="1" applyBorder="1" applyAlignment="1" applyProtection="1">
      <alignment horizontal="left"/>
      <protection locked="0"/>
    </xf>
    <xf numFmtId="0" fontId="0" fillId="5" borderId="0" xfId="0" applyFill="1" applyProtection="1">
      <protection locked="0"/>
    </xf>
    <xf numFmtId="0" fontId="1" fillId="5" borderId="0" xfId="0" applyFont="1" applyFill="1" applyProtection="1">
      <protection locked="0"/>
    </xf>
    <xf numFmtId="0" fontId="0" fillId="4" borderId="0" xfId="0" applyFill="1" applyAlignment="1" applyProtection="1">
      <alignment horizontal="left"/>
      <protection hidden="1"/>
    </xf>
    <xf numFmtId="0" fontId="14" fillId="4" borderId="0" xfId="0" applyFont="1" applyFill="1" applyProtection="1">
      <protection hidden="1"/>
    </xf>
    <xf numFmtId="0" fontId="1" fillId="6" borderId="12" xfId="0" applyFont="1" applyFill="1" applyBorder="1" applyAlignment="1" applyProtection="1">
      <alignment horizontal="centerContinuous" vertical="center" wrapText="1"/>
      <protection hidden="1"/>
    </xf>
    <xf numFmtId="0" fontId="0" fillId="6" borderId="13" xfId="0" applyFill="1" applyBorder="1" applyAlignment="1" applyProtection="1">
      <alignment horizontal="centerContinuous"/>
      <protection hidden="1"/>
    </xf>
    <xf numFmtId="0" fontId="0" fillId="6" borderId="14" xfId="0" applyFill="1" applyBorder="1" applyAlignment="1" applyProtection="1">
      <alignment horizontal="centerContinuous"/>
      <protection hidden="1"/>
    </xf>
    <xf numFmtId="0" fontId="1" fillId="4" borderId="0" xfId="0" applyFont="1" applyFill="1" applyAlignment="1" applyProtection="1">
      <alignment horizontal="left"/>
      <protection hidden="1"/>
    </xf>
    <xf numFmtId="0" fontId="13" fillId="0" borderId="0" xfId="1" applyAlignment="1" applyProtection="1">
      <alignment horizontal="left"/>
      <protection locked="0"/>
    </xf>
    <xf numFmtId="165" fontId="2" fillId="2" borderId="0" xfId="0" applyNumberFormat="1" applyFont="1" applyFill="1" applyAlignment="1" applyProtection="1">
      <alignment horizontal="center"/>
      <protection hidden="1"/>
    </xf>
    <xf numFmtId="167" fontId="2" fillId="2" borderId="0" xfId="0" applyNumberFormat="1" applyFont="1" applyFill="1" applyAlignment="1" applyProtection="1">
      <alignment horizontal="center"/>
      <protection hidden="1"/>
    </xf>
    <xf numFmtId="164" fontId="2" fillId="2" borderId="0" xfId="0" applyNumberFormat="1" applyFont="1" applyFill="1" applyAlignment="1" applyProtection="1">
      <alignment horizontal="center"/>
      <protection hidden="1"/>
    </xf>
    <xf numFmtId="0" fontId="1" fillId="0" borderId="4" xfId="0" applyFont="1" applyBorder="1" applyAlignment="1" applyProtection="1">
      <alignment horizontal="center" wrapText="1"/>
      <protection locked="0"/>
    </xf>
    <xf numFmtId="0" fontId="1" fillId="0" borderId="0" xfId="0" applyFont="1" applyAlignment="1" applyProtection="1">
      <alignment horizontal="center" wrapText="1"/>
      <protection locked="0"/>
    </xf>
    <xf numFmtId="4" fontId="0" fillId="3" borderId="1" xfId="0" applyNumberFormat="1" applyFill="1" applyBorder="1" applyAlignment="1" applyProtection="1">
      <alignment horizontal="center"/>
      <protection locked="0"/>
    </xf>
    <xf numFmtId="169" fontId="0" fillId="3" borderId="1" xfId="0" applyNumberFormat="1" applyFill="1" applyBorder="1" applyAlignment="1" applyProtection="1">
      <alignment horizont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9" fontId="2" fillId="2" borderId="0" xfId="0" applyNumberFormat="1" applyFont="1" applyFill="1" applyAlignment="1" applyProtection="1">
      <alignment horizontal="center"/>
      <protection hidden="1"/>
    </xf>
    <xf numFmtId="0" fontId="1" fillId="0" borderId="0" xfId="0" applyFont="1" applyAlignment="1" applyProtection="1">
      <alignment horizontal="right"/>
      <protection locked="0"/>
    </xf>
    <xf numFmtId="164" fontId="1" fillId="0" borderId="0" xfId="0" applyNumberFormat="1" applyFont="1" applyAlignment="1" applyProtection="1">
      <alignment horizontal="center"/>
      <protection locked="0"/>
    </xf>
    <xf numFmtId="165" fontId="0" fillId="0" borderId="5" xfId="0" applyNumberFormat="1" applyBorder="1" applyAlignment="1" applyProtection="1">
      <alignment horizontal="center"/>
      <protection locked="0"/>
    </xf>
    <xf numFmtId="165" fontId="0" fillId="0" borderId="6" xfId="0" applyNumberFormat="1" applyBorder="1" applyAlignment="1" applyProtection="1">
      <alignment horizontal="center"/>
      <protection locked="0"/>
    </xf>
    <xf numFmtId="165" fontId="0" fillId="0" borderId="7" xfId="0" applyNumberForma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4" fontId="8" fillId="0" borderId="0" xfId="0" applyNumberFormat="1" applyFont="1" applyAlignment="1" applyProtection="1">
      <alignment horizontal="center"/>
      <protection locked="0"/>
    </xf>
    <xf numFmtId="10" fontId="0" fillId="0" borderId="0" xfId="0" applyNumberFormat="1" applyAlignment="1" applyProtection="1">
      <alignment horizontal="center"/>
      <protection hidden="1"/>
    </xf>
    <xf numFmtId="170" fontId="0" fillId="0" borderId="0" xfId="0" applyNumberFormat="1" applyAlignment="1" applyProtection="1">
      <alignment horizontal="center"/>
      <protection hidden="1"/>
    </xf>
    <xf numFmtId="0" fontId="11" fillId="0" borderId="0" xfId="0" applyFont="1" applyProtection="1">
      <protection locked="0"/>
    </xf>
    <xf numFmtId="165" fontId="2" fillId="2" borderId="0" xfId="0" applyNumberFormat="1" applyFont="1" applyFill="1" applyAlignment="1" applyProtection="1">
      <alignment horizontal="center"/>
      <protection locked="0"/>
    </xf>
    <xf numFmtId="166" fontId="0" fillId="4" borderId="0" xfId="0" applyNumberFormat="1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3" fontId="0" fillId="4" borderId="0" xfId="0" applyNumberFormat="1" applyFill="1" applyAlignment="1" applyProtection="1">
      <alignment horizont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13" fillId="0" borderId="0" xfId="1" applyAlignment="1" applyProtection="1">
      <alignment horizontal="left" vertical="center"/>
      <protection locked="0"/>
    </xf>
    <xf numFmtId="0" fontId="0" fillId="5" borderId="0" xfId="0" applyFill="1" applyProtection="1">
      <protection hidden="1"/>
    </xf>
    <xf numFmtId="0" fontId="12" fillId="5" borderId="0" xfId="0" applyFont="1" applyFill="1" applyProtection="1">
      <protection hidden="1"/>
    </xf>
    <xf numFmtId="0" fontId="13" fillId="5" borderId="0" xfId="1" applyFill="1" applyProtection="1">
      <protection hidden="1"/>
    </xf>
    <xf numFmtId="0" fontId="1" fillId="5" borderId="0" xfId="0" applyFont="1" applyFill="1" applyProtection="1">
      <protection hidden="1"/>
    </xf>
    <xf numFmtId="0" fontId="0" fillId="5" borderId="0" xfId="0" applyFill="1" applyAlignment="1" applyProtection="1">
      <alignment horizontal="right" indent="1"/>
      <protection hidden="1"/>
    </xf>
    <xf numFmtId="0" fontId="1" fillId="0" borderId="0" xfId="0" applyFont="1" applyAlignment="1" applyProtection="1">
      <alignment horizontal="center"/>
      <protection hidden="1"/>
    </xf>
    <xf numFmtId="0" fontId="0" fillId="0" borderId="17" xfId="0" applyBorder="1" applyProtection="1">
      <protection hidden="1"/>
    </xf>
    <xf numFmtId="0" fontId="1" fillId="0" borderId="18" xfId="0" applyFont="1" applyBorder="1" applyAlignment="1" applyProtection="1">
      <alignment horizontal="center"/>
      <protection hidden="1"/>
    </xf>
    <xf numFmtId="0" fontId="1" fillId="0" borderId="19" xfId="0" applyFont="1" applyBorder="1" applyAlignment="1" applyProtection="1">
      <alignment horizontal="center"/>
      <protection hidden="1"/>
    </xf>
    <xf numFmtId="0" fontId="1" fillId="0" borderId="20" xfId="0" applyFont="1" applyBorder="1" applyAlignment="1" applyProtection="1">
      <alignment horizontal="center" wrapText="1"/>
      <protection hidden="1"/>
    </xf>
    <xf numFmtId="0" fontId="0" fillId="0" borderId="21" xfId="0" applyBorder="1" applyAlignment="1" applyProtection="1">
      <alignment horizontal="center"/>
      <protection hidden="1"/>
    </xf>
    <xf numFmtId="9" fontId="0" fillId="0" borderId="22" xfId="0" applyNumberFormat="1" applyBorder="1" applyAlignment="1" applyProtection="1">
      <alignment horizontal="center"/>
      <protection hidden="1"/>
    </xf>
    <xf numFmtId="0" fontId="0" fillId="0" borderId="19" xfId="0" applyBorder="1" applyAlignment="1" applyProtection="1">
      <alignment horizontal="center"/>
      <protection hidden="1"/>
    </xf>
    <xf numFmtId="9" fontId="0" fillId="0" borderId="20" xfId="0" applyNumberFormat="1" applyBorder="1" applyAlignment="1" applyProtection="1">
      <alignment horizontal="center"/>
      <protection hidden="1"/>
    </xf>
    <xf numFmtId="0" fontId="18" fillId="0" borderId="0" xfId="0" applyFont="1"/>
    <xf numFmtId="19" fontId="0" fillId="0" borderId="0" xfId="0" applyNumberFormat="1" applyAlignment="1" applyProtection="1">
      <alignment horizontal="center"/>
      <protection locked="0"/>
    </xf>
    <xf numFmtId="164" fontId="1" fillId="0" borderId="0" xfId="0" applyNumberFormat="1" applyFont="1" applyAlignment="1" applyProtection="1">
      <alignment horizontal="center" wrapText="1"/>
      <protection locked="0"/>
    </xf>
    <xf numFmtId="0" fontId="13" fillId="6" borderId="15" xfId="1" applyFill="1" applyBorder="1" applyAlignment="1" applyProtection="1">
      <alignment horizontal="center" vertical="center"/>
      <protection hidden="1"/>
    </xf>
    <xf numFmtId="0" fontId="15" fillId="6" borderId="16" xfId="1" applyFont="1" applyFill="1" applyBorder="1" applyAlignment="1" applyProtection="1">
      <alignment horizontal="center" vertical="center"/>
      <protection hidden="1"/>
    </xf>
  </cellXfs>
  <cellStyles count="2">
    <cellStyle name="Hyperlink" xfId="1" builtinId="8"/>
    <cellStyle name="Normal" xfId="0" builtinId="0"/>
  </cellStyles>
  <dxfs count="12"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fmworldcup.com/" TargetMode="External"/><Relationship Id="rId2" Type="http://schemas.openxmlformats.org/officeDocument/2006/relationships/image" Target="../media/image1.png"/><Relationship Id="rId1" Type="http://schemas.openxmlformats.org/officeDocument/2006/relationships/hyperlink" Target="https://eller.arizona.edu/" TargetMode="Externa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285750</xdr:colOff>
      <xdr:row>31</xdr:row>
      <xdr:rowOff>0</xdr:rowOff>
    </xdr:from>
    <xdr:to>
      <xdr:col>2</xdr:col>
      <xdr:colOff>1543685</xdr:colOff>
      <xdr:row>33</xdr:row>
      <xdr:rowOff>114299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3DDB17D0-82BD-4391-9283-34F280025266}"/>
            </a:ext>
          </a:extLst>
        </xdr:cNvPr>
        <xdr:cNvSpPr/>
      </xdr:nvSpPr>
      <xdr:spPr>
        <a:xfrm>
          <a:off x="698500" y="2717800"/>
          <a:ext cx="2112645" cy="495299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Timed Attempt</a:t>
          </a:r>
        </a:p>
      </xdr:txBody>
    </xdr:sp>
    <xdr:clientData/>
  </xdr:twoCellAnchor>
  <xdr:twoCellAnchor editAs="oneCell">
    <xdr:from>
      <xdr:col>3</xdr:col>
      <xdr:colOff>217797</xdr:colOff>
      <xdr:row>30</xdr:row>
      <xdr:rowOff>186056</xdr:rowOff>
    </xdr:from>
    <xdr:to>
      <xdr:col>4</xdr:col>
      <xdr:colOff>710980</xdr:colOff>
      <xdr:row>33</xdr:row>
      <xdr:rowOff>113665</xdr:rowOff>
    </xdr:to>
    <xdr:sp macro="[0]!UnlockGame" textlink="">
      <xdr:nvSpPr>
        <xdr:cNvPr id="4" name="Bevel 7">
          <a:extLst>
            <a:ext uri="{FF2B5EF4-FFF2-40B4-BE49-F238E27FC236}">
              <a16:creationId xmlns:a16="http://schemas.microsoft.com/office/drawing/2014/main" id="{16322322-8C72-4CD7-9BEC-8FD9380B1F53}"/>
            </a:ext>
          </a:extLst>
        </xdr:cNvPr>
        <xdr:cNvSpPr/>
      </xdr:nvSpPr>
      <xdr:spPr>
        <a:xfrm>
          <a:off x="3423167" y="4708360"/>
          <a:ext cx="2432638" cy="495934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Untimed Attempt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1</xdr:col>
      <xdr:colOff>603249</xdr:colOff>
      <xdr:row>40</xdr:row>
      <xdr:rowOff>153462</xdr:rowOff>
    </xdr:from>
    <xdr:to>
      <xdr:col>2</xdr:col>
      <xdr:colOff>976629</xdr:colOff>
      <xdr:row>43</xdr:row>
      <xdr:rowOff>100969</xdr:rowOff>
    </xdr:to>
    <xdr:sp macro="[0]!forceStop" textlink="">
      <xdr:nvSpPr>
        <xdr:cNvPr id="5" name="Bevel 3">
          <a:extLst>
            <a:ext uri="{FF2B5EF4-FFF2-40B4-BE49-F238E27FC236}">
              <a16:creationId xmlns:a16="http://schemas.microsoft.com/office/drawing/2014/main" id="{7AADF5A8-0C59-41A7-954A-F5E090D74A72}"/>
            </a:ext>
          </a:extLst>
        </xdr:cNvPr>
        <xdr:cNvSpPr/>
      </xdr:nvSpPr>
      <xdr:spPr>
        <a:xfrm>
          <a:off x="1028699" y="4220637"/>
          <a:ext cx="1256030" cy="503767"/>
        </a:xfrm>
        <a:prstGeom prst="bevel">
          <a:avLst/>
        </a:prstGeom>
        <a:solidFill>
          <a:srgbClr val="FF000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Force</a:t>
          </a:r>
          <a:r>
            <a:rPr lang="en-US" sz="16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Stop</a:t>
          </a:r>
          <a:endParaRPr lang="en-US" sz="16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0</xdr:colOff>
      <xdr:row>40</xdr:row>
      <xdr:rowOff>153460</xdr:rowOff>
    </xdr:from>
    <xdr:to>
      <xdr:col>3</xdr:col>
      <xdr:colOff>1391708</xdr:colOff>
      <xdr:row>43</xdr:row>
      <xdr:rowOff>101602</xdr:rowOff>
    </xdr:to>
    <xdr:sp macro="[0]!recordResult" textlink="">
      <xdr:nvSpPr>
        <xdr:cNvPr id="6" name="Bevel 7">
          <a:extLst>
            <a:ext uri="{FF2B5EF4-FFF2-40B4-BE49-F238E27FC236}">
              <a16:creationId xmlns:a16="http://schemas.microsoft.com/office/drawing/2014/main" id="{87665B61-18C5-43F8-A393-54E10835ED6A}"/>
            </a:ext>
          </a:extLst>
        </xdr:cNvPr>
        <xdr:cNvSpPr/>
      </xdr:nvSpPr>
      <xdr:spPr>
        <a:xfrm>
          <a:off x="3124200" y="4220635"/>
          <a:ext cx="1391708" cy="504402"/>
        </a:xfrm>
        <a:prstGeom prst="bevel">
          <a:avLst/>
        </a:prstGeom>
        <a:solidFill>
          <a:srgbClr val="00B0F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Record Time</a:t>
          </a:r>
        </a:p>
      </xdr:txBody>
    </xdr:sp>
    <xdr:clientData/>
  </xdr:twoCellAnchor>
  <xdr:twoCellAnchor editAs="oneCell">
    <xdr:from>
      <xdr:col>0</xdr:col>
      <xdr:colOff>196850</xdr:colOff>
      <xdr:row>0</xdr:row>
      <xdr:rowOff>152400</xdr:rowOff>
    </xdr:from>
    <xdr:to>
      <xdr:col>3</xdr:col>
      <xdr:colOff>553692</xdr:colOff>
      <xdr:row>6</xdr:row>
      <xdr:rowOff>63044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2764223-66FD-4F6A-B6B5-F2C18AD8D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6850" y="152400"/>
          <a:ext cx="3567941" cy="1044119"/>
        </a:xfrm>
        <a:prstGeom prst="rect">
          <a:avLst/>
        </a:prstGeom>
      </xdr:spPr>
    </xdr:pic>
    <xdr:clientData/>
  </xdr:twoCellAnchor>
  <xdr:twoCellAnchor editAs="oneCell">
    <xdr:from>
      <xdr:col>3</xdr:col>
      <xdr:colOff>1007825</xdr:colOff>
      <xdr:row>1</xdr:row>
      <xdr:rowOff>12700</xdr:rowOff>
    </xdr:from>
    <xdr:to>
      <xdr:col>5</xdr:col>
      <xdr:colOff>534695</xdr:colOff>
      <xdr:row>5</xdr:row>
      <xdr:rowOff>134316</xdr:rowOff>
    </xdr:to>
    <xdr:pic>
      <xdr:nvPicPr>
        <xdr:cNvPr id="7" name="Picture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A924C06-7D52-4FB0-A4F0-8732999C3F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89150" y="203200"/>
          <a:ext cx="3439229" cy="88361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266700</xdr:colOff>
      <xdr:row>0</xdr:row>
      <xdr:rowOff>67213</xdr:rowOff>
    </xdr:from>
    <xdr:to>
      <xdr:col>7</xdr:col>
      <xdr:colOff>448310</xdr:colOff>
      <xdr:row>1</xdr:row>
      <xdr:rowOff>136526</xdr:rowOff>
    </xdr:to>
    <xdr:sp macro="[0]!openExercise2" textlink="">
      <xdr:nvSpPr>
        <xdr:cNvPr id="2" name="Bevel 3">
          <a:extLst>
            <a:ext uri="{FF2B5EF4-FFF2-40B4-BE49-F238E27FC236}">
              <a16:creationId xmlns:a16="http://schemas.microsoft.com/office/drawing/2014/main" id="{5A769F14-4E10-4867-B596-F081D6F13C6A}"/>
            </a:ext>
          </a:extLst>
        </xdr:cNvPr>
        <xdr:cNvSpPr/>
      </xdr:nvSpPr>
      <xdr:spPr>
        <a:xfrm>
          <a:off x="6238875" y="67213"/>
          <a:ext cx="1275080" cy="256003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</a:t>
          </a:r>
          <a:r>
            <a:rPr lang="en-US" sz="12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Tab</a:t>
          </a:r>
          <a:endParaRPr lang="en-US" sz="12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212090</xdr:colOff>
      <xdr:row>0</xdr:row>
      <xdr:rowOff>82406</xdr:rowOff>
    </xdr:from>
    <xdr:to>
      <xdr:col>7</xdr:col>
      <xdr:colOff>402590</xdr:colOff>
      <xdr:row>1</xdr:row>
      <xdr:rowOff>135890</xdr:rowOff>
    </xdr:to>
    <xdr:sp macro="[0]!openExercise3" textlink="">
      <xdr:nvSpPr>
        <xdr:cNvPr id="2" name="Bevel 3">
          <a:extLst>
            <a:ext uri="{FF2B5EF4-FFF2-40B4-BE49-F238E27FC236}">
              <a16:creationId xmlns:a16="http://schemas.microsoft.com/office/drawing/2014/main" id="{C494072A-921A-4D44-8485-441978741D4B}"/>
            </a:ext>
          </a:extLst>
        </xdr:cNvPr>
        <xdr:cNvSpPr/>
      </xdr:nvSpPr>
      <xdr:spPr>
        <a:xfrm>
          <a:off x="6186170" y="82406"/>
          <a:ext cx="1287780" cy="243984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</a:t>
          </a:r>
          <a:r>
            <a:rPr lang="en-US" sz="12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Tab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250238</xdr:colOff>
      <xdr:row>0</xdr:row>
      <xdr:rowOff>47820</xdr:rowOff>
    </xdr:from>
    <xdr:to>
      <xdr:col>9</xdr:col>
      <xdr:colOff>450703</xdr:colOff>
      <xdr:row>1</xdr:row>
      <xdr:rowOff>143753</xdr:rowOff>
    </xdr:to>
    <xdr:sp macro="[0]!openExercise4" textlink="">
      <xdr:nvSpPr>
        <xdr:cNvPr id="2" name="Bevel 3">
          <a:extLst>
            <a:ext uri="{FF2B5EF4-FFF2-40B4-BE49-F238E27FC236}">
              <a16:creationId xmlns:a16="http://schemas.microsoft.com/office/drawing/2014/main" id="{843EC6F6-5BE1-41B9-B87B-52CD31618357}"/>
            </a:ext>
          </a:extLst>
        </xdr:cNvPr>
        <xdr:cNvSpPr/>
      </xdr:nvSpPr>
      <xdr:spPr>
        <a:xfrm>
          <a:off x="9086263" y="47820"/>
          <a:ext cx="1297110" cy="284528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</a:t>
          </a:r>
          <a:r>
            <a:rPr lang="en-US" sz="1200" b="1" baseline="0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 Tab</a:t>
          </a:r>
          <a:endParaRPr lang="en-US" sz="1200" b="1">
            <a:solidFill>
              <a:sysClr val="windowText" lastClr="000000"/>
            </a:solidFill>
            <a:effectLst>
              <a:outerShdw blurRad="50800" dist="38100" dir="5400000" algn="t" rotWithShape="0">
                <a:schemeClr val="bg1">
                  <a:lumMod val="95000"/>
                  <a:alpha val="40000"/>
                </a:scheme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249014</xdr:colOff>
      <xdr:row>0</xdr:row>
      <xdr:rowOff>126181</xdr:rowOff>
    </xdr:from>
    <xdr:to>
      <xdr:col>10</xdr:col>
      <xdr:colOff>403518</xdr:colOff>
      <xdr:row>2</xdr:row>
      <xdr:rowOff>29970</xdr:rowOff>
    </xdr:to>
    <xdr:sp macro="[0]!openExercise5" textlink="">
      <xdr:nvSpPr>
        <xdr:cNvPr id="2" name="Bevel 3">
          <a:extLst>
            <a:ext uri="{FF2B5EF4-FFF2-40B4-BE49-F238E27FC236}">
              <a16:creationId xmlns:a16="http://schemas.microsoft.com/office/drawing/2014/main" id="{24F1C41C-401D-434F-86CA-C4E0603FD872}"/>
            </a:ext>
          </a:extLst>
        </xdr:cNvPr>
        <xdr:cNvSpPr/>
      </xdr:nvSpPr>
      <xdr:spPr>
        <a:xfrm>
          <a:off x="9507314" y="123006"/>
          <a:ext cx="1247974" cy="294949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Open Next Tab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1057275</xdr:colOff>
      <xdr:row>0</xdr:row>
      <xdr:rowOff>161925</xdr:rowOff>
    </xdr:from>
    <xdr:to>
      <xdr:col>4</xdr:col>
      <xdr:colOff>1095375</xdr:colOff>
      <xdr:row>3</xdr:row>
      <xdr:rowOff>26670</xdr:rowOff>
    </xdr:to>
    <xdr:sp macro="[0]!startGame" textlink="">
      <xdr:nvSpPr>
        <xdr:cNvPr id="2" name="Bevel 3">
          <a:extLst>
            <a:ext uri="{FF2B5EF4-FFF2-40B4-BE49-F238E27FC236}">
              <a16:creationId xmlns:a16="http://schemas.microsoft.com/office/drawing/2014/main" id="{16331E9F-712E-4F91-8E56-7F50DDA440C7}"/>
            </a:ext>
          </a:extLst>
        </xdr:cNvPr>
        <xdr:cNvSpPr/>
      </xdr:nvSpPr>
      <xdr:spPr>
        <a:xfrm>
          <a:off x="3905250" y="161925"/>
          <a:ext cx="1400175" cy="483870"/>
        </a:xfrm>
        <a:prstGeom prst="bevel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Start Again!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104775</xdr:colOff>
      <xdr:row>2</xdr:row>
      <xdr:rowOff>180975</xdr:rowOff>
    </xdr:from>
    <xdr:to>
      <xdr:col>5</xdr:col>
      <xdr:colOff>0</xdr:colOff>
      <xdr:row>5</xdr:row>
      <xdr:rowOff>8255</xdr:rowOff>
    </xdr:to>
    <xdr:sp macro="[0]!ResetAnswerScenario" textlink="">
      <xdr:nvSpPr>
        <xdr:cNvPr id="2" name="Bevel 7">
          <a:extLst>
            <a:ext uri="{FF2B5EF4-FFF2-40B4-BE49-F238E27FC236}">
              <a16:creationId xmlns:a16="http://schemas.microsoft.com/office/drawing/2014/main" id="{235F7E4C-4C21-47AE-A369-276978410848}"/>
            </a:ext>
          </a:extLst>
        </xdr:cNvPr>
        <xdr:cNvSpPr/>
      </xdr:nvSpPr>
      <xdr:spPr>
        <a:xfrm>
          <a:off x="3067050" y="609600"/>
          <a:ext cx="2362200" cy="494665"/>
        </a:xfrm>
        <a:prstGeom prst="bevel">
          <a:avLst/>
        </a:prstGeom>
        <a:solidFill>
          <a:schemeClr val="accent2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>
              <a:solidFill>
                <a:sysClr val="windowText" lastClr="000000"/>
              </a:solidFill>
              <a:effectLst>
                <a:outerShdw blurRad="50800" dist="38100" dir="5400000" algn="t" rotWithShape="0">
                  <a:schemeClr val="bg1">
                    <a:lumMod val="95000"/>
                    <a:alpha val="40000"/>
                  </a:schemeClr>
                </a:outerShdw>
              </a:effectLst>
            </a:rPr>
            <a:t>Reset Parameters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KeyboardingWarmUp_StudentVersion_GradingTab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ownloads/Hurdles%20Challenge%20(Answers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FIN%20413%20Spring%202022/Class%20Sessions/Class%2012%20-%20New/Financial%20Statement%20Exercises%203/TestTemplateV7_FinStatement3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2%20-%20Shortcuts/ShortcutChallenge_StudentVersion_GradingTab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Excel%20Lab%20Course/Fall%202021/Class%20Sessions/Class%203%20-%20Dynamic%20Models%20-%20Discounting/ShortcutWarmUp_StudentVersion_GradingTab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Dropbox/FIN%20360L/Class%20Sessions/Class%207/ExerciseTemplateV3_MatchingExercisesPart1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Keyboard%20Exercises%20UpdatedV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ZACHGE~1/LOCALS~1/Temp/Excel%20Tips%20from%20Chris%20G%20(%232)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dcb/Google%20Drive/Teaching/Financial%20Modeling/Spring%202021/Class%20Sessions/Class%201%20-%20Course%20Intro/Excel%20Shortcut%20Challenge%20(NoMouseChecking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Keyboard Warm Up 1"/>
      <sheetName val="Keyboard Warm Up 2"/>
      <sheetName val="Results"/>
      <sheetName val="Grading"/>
      <sheetName val="BackgroundCalcs"/>
      <sheetName val="Output"/>
    </sheetNames>
    <sheetDataSet>
      <sheetData sheetId="0"/>
      <sheetData sheetId="1">
        <row r="1">
          <cell r="A1" t="str">
            <v>Keyboarding Warm Up</v>
          </cell>
        </row>
        <row r="7">
          <cell r="D7">
            <v>1</v>
          </cell>
          <cell r="G7"/>
          <cell r="AC7">
            <v>4</v>
          </cell>
          <cell r="BR7">
            <v>17</v>
          </cell>
          <cell r="CQ7">
            <v>18</v>
          </cell>
        </row>
        <row r="11">
          <cell r="T11"/>
          <cell r="AB11"/>
          <cell r="AE11"/>
          <cell r="AN11"/>
        </row>
        <row r="12">
          <cell r="BD12">
            <v>11</v>
          </cell>
          <cell r="BN12">
            <v>12</v>
          </cell>
        </row>
        <row r="16">
          <cell r="G16"/>
          <cell r="M16"/>
        </row>
        <row r="17">
          <cell r="AE17"/>
        </row>
        <row r="18">
          <cell r="BN18">
            <v>13</v>
          </cell>
        </row>
        <row r="21">
          <cell r="AE21"/>
        </row>
        <row r="23">
          <cell r="D23" t="str">
            <v>˅</v>
          </cell>
          <cell r="M23"/>
        </row>
        <row r="25">
          <cell r="AE25"/>
        </row>
        <row r="29">
          <cell r="S29"/>
        </row>
        <row r="30">
          <cell r="AH30">
            <v>7</v>
          </cell>
          <cell r="AY30">
            <v>8</v>
          </cell>
          <cell r="BE30">
            <v>14</v>
          </cell>
          <cell r="BK30">
            <v>15</v>
          </cell>
        </row>
        <row r="31">
          <cell r="BR31" t="str">
            <v>˄</v>
          </cell>
          <cell r="BS31">
            <v>22</v>
          </cell>
          <cell r="CP31">
            <v>21</v>
          </cell>
        </row>
        <row r="38">
          <cell r="S38"/>
          <cell r="AB38"/>
        </row>
        <row r="53">
          <cell r="D53">
            <v>2</v>
          </cell>
          <cell r="AC53">
            <v>3</v>
          </cell>
          <cell r="AH53">
            <v>6</v>
          </cell>
          <cell r="AX53">
            <v>5</v>
          </cell>
          <cell r="AY53">
            <v>9</v>
          </cell>
          <cell r="BD53">
            <v>10</v>
          </cell>
          <cell r="BR53">
            <v>16</v>
          </cell>
          <cell r="BS53">
            <v>23</v>
          </cell>
          <cell r="CP53">
            <v>20</v>
          </cell>
          <cell r="CQ53">
            <v>19</v>
          </cell>
        </row>
      </sheetData>
      <sheetData sheetId="2"/>
      <sheetData sheetId="3"/>
      <sheetData sheetId="4"/>
      <sheetData sheetId="5">
        <row r="2">
          <cell r="S2">
            <v>0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rst"/>
      <sheetName val="Grading"/>
      <sheetName val="Second"/>
      <sheetName val="calc"/>
      <sheetName val="Results"/>
      <sheetName val="Output"/>
    </sheetNames>
    <sheetDataSet>
      <sheetData sheetId="0">
        <row r="3">
          <cell r="B3" t="str">
            <v>Start here</v>
          </cell>
          <cell r="C3" t="str">
            <v>x</v>
          </cell>
          <cell r="D3" t="str">
            <v>x</v>
          </cell>
          <cell r="E3" t="str">
            <v>x</v>
          </cell>
          <cell r="F3" t="str">
            <v>x</v>
          </cell>
          <cell r="G3" t="str">
            <v>x</v>
          </cell>
          <cell r="H3" t="str">
            <v>x</v>
          </cell>
          <cell r="I3" t="str">
            <v>x</v>
          </cell>
          <cell r="J3" t="str">
            <v>H</v>
          </cell>
        </row>
        <row r="4">
          <cell r="J4" t="str">
            <v>x</v>
          </cell>
        </row>
        <row r="5">
          <cell r="J5" t="str">
            <v>x</v>
          </cell>
        </row>
        <row r="6">
          <cell r="J6" t="str">
            <v>x</v>
          </cell>
        </row>
        <row r="7">
          <cell r="J7" t="str">
            <v>x</v>
          </cell>
        </row>
        <row r="8">
          <cell r="D8" t="str">
            <v>H</v>
          </cell>
          <cell r="E8" t="str">
            <v>x</v>
          </cell>
          <cell r="F8" t="str">
            <v>x</v>
          </cell>
          <cell r="G8" t="str">
            <v>x</v>
          </cell>
          <cell r="H8" t="str">
            <v>x</v>
          </cell>
          <cell r="I8" t="str">
            <v>x</v>
          </cell>
          <cell r="J8" t="str">
            <v>H</v>
          </cell>
        </row>
        <row r="9">
          <cell r="D9" t="str">
            <v>x</v>
          </cell>
        </row>
        <row r="10">
          <cell r="D10"/>
        </row>
        <row r="11">
          <cell r="D11" t="str">
            <v>x</v>
          </cell>
        </row>
        <row r="12">
          <cell r="D12"/>
        </row>
        <row r="13">
          <cell r="D13" t="str">
            <v>x</v>
          </cell>
        </row>
        <row r="14">
          <cell r="D14"/>
        </row>
        <row r="15">
          <cell r="D15" t="str">
            <v>x</v>
          </cell>
        </row>
        <row r="16">
          <cell r="D16"/>
        </row>
        <row r="17">
          <cell r="D17" t="str">
            <v>x</v>
          </cell>
        </row>
        <row r="18">
          <cell r="D18"/>
        </row>
        <row r="19">
          <cell r="D19" t="str">
            <v>H</v>
          </cell>
          <cell r="E19" t="str">
            <v>x</v>
          </cell>
          <cell r="F19" t="str">
            <v>x</v>
          </cell>
          <cell r="G19" t="str">
            <v>x</v>
          </cell>
          <cell r="H19"/>
          <cell r="I19"/>
          <cell r="J19"/>
          <cell r="K19" t="str">
            <v>x</v>
          </cell>
          <cell r="L19" t="str">
            <v>x</v>
          </cell>
          <cell r="M19" t="str">
            <v>x</v>
          </cell>
          <cell r="N19"/>
          <cell r="O19"/>
          <cell r="P19"/>
          <cell r="Q19" t="str">
            <v>x</v>
          </cell>
          <cell r="R19" t="str">
            <v>x</v>
          </cell>
          <cell r="S19" t="str">
            <v>x</v>
          </cell>
          <cell r="T19" t="str">
            <v>H</v>
          </cell>
        </row>
        <row r="20">
          <cell r="T20"/>
        </row>
        <row r="21">
          <cell r="T21"/>
        </row>
        <row r="22">
          <cell r="T22"/>
        </row>
        <row r="23">
          <cell r="E23" t="str">
            <v>H</v>
          </cell>
          <cell r="F23"/>
          <cell r="G23"/>
          <cell r="H23"/>
          <cell r="I23"/>
          <cell r="J23"/>
          <cell r="K23"/>
          <cell r="L23"/>
          <cell r="M23"/>
          <cell r="N23"/>
          <cell r="O23"/>
          <cell r="P23" t="str">
            <v>H</v>
          </cell>
          <cell r="T23"/>
        </row>
        <row r="24">
          <cell r="E24"/>
          <cell r="P24"/>
          <cell r="T24"/>
        </row>
        <row r="25">
          <cell r="E25"/>
          <cell r="P25"/>
          <cell r="T25"/>
        </row>
        <row r="26">
          <cell r="E26" t="str">
            <v>Select x from drop down</v>
          </cell>
          <cell r="F26" t="str">
            <v/>
          </cell>
          <cell r="G26"/>
          <cell r="H26"/>
          <cell r="I26"/>
          <cell r="J26"/>
          <cell r="K26" t="str">
            <v>H</v>
          </cell>
          <cell r="P26"/>
          <cell r="T26"/>
        </row>
        <row r="27">
          <cell r="K27"/>
          <cell r="P27"/>
          <cell r="T27"/>
        </row>
        <row r="28">
          <cell r="K28"/>
          <cell r="P28"/>
          <cell r="T28"/>
        </row>
        <row r="29">
          <cell r="K29"/>
          <cell r="P29" t="str">
            <v>H</v>
          </cell>
          <cell r="Q29"/>
          <cell r="R29"/>
          <cell r="S29"/>
          <cell r="T29" t="str">
            <v>H</v>
          </cell>
        </row>
        <row r="30">
          <cell r="K30"/>
        </row>
        <row r="31">
          <cell r="K31"/>
        </row>
        <row r="32">
          <cell r="C32" t="str">
            <v>Go to Second sheet</v>
          </cell>
          <cell r="D32"/>
          <cell r="E32"/>
          <cell r="F32"/>
          <cell r="G32"/>
          <cell r="H32"/>
          <cell r="I32"/>
          <cell r="J32"/>
          <cell r="K32" t="str">
            <v>H</v>
          </cell>
        </row>
      </sheetData>
      <sheetData sheetId="1"/>
      <sheetData sheetId="2">
        <row r="1">
          <cell r="A1" t="str">
            <v>H</v>
          </cell>
          <cell r="B1"/>
          <cell r="C1"/>
          <cell r="D1"/>
          <cell r="E1"/>
          <cell r="F1"/>
          <cell r="G1"/>
          <cell r="H1" t="str">
            <v>H</v>
          </cell>
        </row>
        <row r="2">
          <cell r="H2"/>
        </row>
        <row r="3">
          <cell r="H3"/>
        </row>
        <row r="4">
          <cell r="H4"/>
        </row>
        <row r="5">
          <cell r="H5"/>
        </row>
        <row r="6">
          <cell r="H6"/>
        </row>
        <row r="7">
          <cell r="H7"/>
        </row>
        <row r="8">
          <cell r="H8"/>
        </row>
        <row r="9">
          <cell r="H9"/>
        </row>
        <row r="10">
          <cell r="H10"/>
        </row>
        <row r="11">
          <cell r="H11"/>
        </row>
        <row r="12">
          <cell r="H12"/>
        </row>
        <row r="13">
          <cell r="H13"/>
        </row>
        <row r="14">
          <cell r="H14"/>
        </row>
        <row r="15">
          <cell r="H15"/>
        </row>
        <row r="16">
          <cell r="H16"/>
        </row>
        <row r="17">
          <cell r="H17"/>
        </row>
        <row r="18">
          <cell r="H18"/>
        </row>
        <row r="19">
          <cell r="H19"/>
        </row>
        <row r="20">
          <cell r="H20"/>
        </row>
        <row r="21">
          <cell r="H21"/>
        </row>
        <row r="22">
          <cell r="H22"/>
        </row>
        <row r="23">
          <cell r="H23"/>
        </row>
        <row r="24">
          <cell r="C24" t="str">
            <v>End</v>
          </cell>
          <cell r="H24"/>
        </row>
        <row r="25">
          <cell r="C25"/>
          <cell r="H25"/>
        </row>
        <row r="26">
          <cell r="C26"/>
          <cell r="H26" t="str">
            <v>H</v>
          </cell>
          <cell r="I26"/>
          <cell r="J26"/>
          <cell r="K26"/>
          <cell r="L26"/>
          <cell r="M26" t="str">
            <v>H</v>
          </cell>
        </row>
        <row r="27">
          <cell r="C27"/>
          <cell r="M27"/>
        </row>
        <row r="28">
          <cell r="C28"/>
          <cell r="M28"/>
        </row>
        <row r="29">
          <cell r="C29"/>
          <cell r="M29"/>
        </row>
        <row r="30">
          <cell r="C30"/>
          <cell r="M30"/>
        </row>
        <row r="31">
          <cell r="C31"/>
          <cell r="M31"/>
        </row>
        <row r="32">
          <cell r="C32"/>
          <cell r="M32"/>
        </row>
        <row r="33">
          <cell r="C33"/>
          <cell r="D33"/>
          <cell r="E33"/>
          <cell r="F33"/>
          <cell r="G33"/>
          <cell r="H33"/>
          <cell r="I33"/>
          <cell r="J33"/>
          <cell r="K33"/>
          <cell r="L33"/>
          <cell r="M33" t="str">
            <v>Go to cell C33</v>
          </cell>
        </row>
      </sheetData>
      <sheetData sheetId="3">
        <row r="3">
          <cell r="F3">
            <v>0</v>
          </cell>
          <cell r="G3"/>
          <cell r="H3"/>
        </row>
        <row r="4">
          <cell r="D4"/>
        </row>
        <row r="5">
          <cell r="D5"/>
        </row>
        <row r="6">
          <cell r="D6"/>
          <cell r="G6">
            <v>0</v>
          </cell>
        </row>
        <row r="7">
          <cell r="D7"/>
          <cell r="G7">
            <v>35.000000009313226</v>
          </cell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</sheetData>
      <sheetData sheetId="4"/>
      <sheetData sheetId="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Financial Statements 3 Q1"/>
      <sheetName val="Q2"/>
      <sheetName val="Q3"/>
      <sheetName val="Results"/>
      <sheetName val="BackgroundCalcs"/>
      <sheetName val="Grading Formulas"/>
      <sheetName val="Grading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ShortcutChallenge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147651</v>
          </cell>
        </row>
      </sheetData>
      <sheetData sheetId="5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ShortcutChallenge"/>
      <sheetName val="Results"/>
      <sheetName val="Grading"/>
      <sheetName val="BackgroundCalcs"/>
      <sheetName val="Output"/>
    </sheetNames>
    <sheetDataSet>
      <sheetData sheetId="0"/>
      <sheetData sheetId="1"/>
      <sheetData sheetId="2"/>
      <sheetData sheetId="3"/>
      <sheetData sheetId="4">
        <row r="5">
          <cell r="D5" t="str">
            <v>Shortcut Warm Up</v>
          </cell>
        </row>
        <row r="8">
          <cell r="D8" t="str">
            <v>12341234</v>
          </cell>
        </row>
        <row r="11">
          <cell r="D11" t="str">
            <v>asdf</v>
          </cell>
        </row>
        <row r="14">
          <cell r="D14">
            <v>1</v>
          </cell>
        </row>
        <row r="17">
          <cell r="F17">
            <v>14</v>
          </cell>
          <cell r="G17" t="e">
            <v>#N/A</v>
          </cell>
        </row>
        <row r="20">
          <cell r="F20">
            <v>38008</v>
          </cell>
        </row>
      </sheetData>
      <sheetData sheetId="5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Bond Data"/>
      <sheetName val="Exercise 1"/>
      <sheetName val="Exercise 2"/>
      <sheetName val="Exercise 3"/>
      <sheetName val="Exercise 4"/>
      <sheetName val="Exercise 5"/>
      <sheetName val="Results"/>
      <sheetName val="BackgroundCalcs"/>
      <sheetName val="Outpu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">
          <cell r="B2" t="str">
            <v>Matching Exercises Part 1</v>
          </cell>
        </row>
        <row r="5">
          <cell r="B5" t="str">
            <v>Numbers</v>
          </cell>
        </row>
        <row r="8">
          <cell r="B8">
            <v>10</v>
          </cell>
        </row>
        <row r="17">
          <cell r="B17">
            <v>5</v>
          </cell>
        </row>
      </sheetData>
      <sheetData sheetId="9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Keyboard Exercise 1"/>
      <sheetName val="Keyboard Exercise 2"/>
      <sheetName val="Keyboard Exercise 3"/>
      <sheetName val="Keyboard Exercise 4"/>
      <sheetName val="calc"/>
      <sheetName val="Results"/>
    </sheetNames>
    <sheetDataSet>
      <sheetData sheetId="0"/>
      <sheetData sheetId="1"/>
      <sheetData sheetId="2"/>
      <sheetData sheetId="3" refreshError="1"/>
      <sheetData sheetId="4">
        <row r="3">
          <cell r="G3">
            <v>44127.436469907407</v>
          </cell>
        </row>
        <row r="4">
          <cell r="D4" t="b">
            <v>1</v>
          </cell>
        </row>
        <row r="5">
          <cell r="D5" t="b">
            <v>1</v>
          </cell>
        </row>
        <row r="6">
          <cell r="D6" t="b">
            <v>1</v>
          </cell>
          <cell r="G6">
            <v>-44127.436469907407</v>
          </cell>
        </row>
        <row r="7">
          <cell r="D7" t="b">
            <v>1</v>
          </cell>
        </row>
        <row r="8">
          <cell r="D8" t="b">
            <v>1</v>
          </cell>
        </row>
        <row r="9">
          <cell r="D9" t="b">
            <v>1</v>
          </cell>
        </row>
        <row r="10">
          <cell r="D10" t="b">
            <v>1</v>
          </cell>
        </row>
        <row r="11">
          <cell r="D11" t="b">
            <v>1</v>
          </cell>
        </row>
        <row r="12">
          <cell r="D12" t="b">
            <v>1</v>
          </cell>
        </row>
        <row r="13">
          <cell r="D13" t="b">
            <v>1</v>
          </cell>
        </row>
        <row r="14">
          <cell r="D14" t="b">
            <v>1</v>
          </cell>
        </row>
        <row r="15">
          <cell r="D15" t="b">
            <v>1</v>
          </cell>
        </row>
        <row r="16">
          <cell r="D16" t="b">
            <v>1</v>
          </cell>
        </row>
        <row r="17">
          <cell r="D17" t="b">
            <v>1</v>
          </cell>
        </row>
        <row r="18">
          <cell r="D18" t="b">
            <v>1</v>
          </cell>
        </row>
        <row r="19">
          <cell r="D19" t="b">
            <v>1</v>
          </cell>
        </row>
        <row r="20">
          <cell r="D20" t="b">
            <v>1</v>
          </cell>
        </row>
        <row r="21">
          <cell r="D21" t="b">
            <v>1</v>
          </cell>
        </row>
      </sheetData>
      <sheetData sheetId="5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2"/>
      <sheetName val="Did you know"/>
      <sheetName val="Fixing Annoyances Full Menus"/>
      <sheetName val="Fixing Annoyances PT Formulas"/>
      <sheetName val="Custom Numeric Formatting"/>
      <sheetName val="Conditional Formatting Tricks"/>
      <sheetName val="Dynamic Ranges"/>
      <sheetName val="Dynamic Ranges and Charts"/>
      <sheetName val="Charts with Custom Symbols"/>
      <sheetName val="Creating Simple UIs"/>
    </sheetNames>
    <sheetDataSet>
      <sheetData sheetId="0"/>
      <sheetData sheetId="1"/>
      <sheetData sheetId="2"/>
      <sheetData sheetId="3"/>
      <sheetData sheetId="4"/>
      <sheetData sheetId="5"/>
      <sheetData sheetId="6">
        <row r="5">
          <cell r="B5" t="str">
            <v>Name</v>
          </cell>
        </row>
      </sheetData>
      <sheetData sheetId="7">
        <row r="5">
          <cell r="B5" t="str">
            <v>Name</v>
          </cell>
        </row>
        <row r="30">
          <cell r="D30">
            <v>14</v>
          </cell>
        </row>
      </sheetData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Challenge"/>
      <sheetName val="Results"/>
      <sheetName val="calc"/>
      <sheetName val="log"/>
    </sheetNames>
    <sheetDataSet>
      <sheetData sheetId="0" refreshError="1"/>
      <sheetData sheetId="1" refreshError="1"/>
      <sheetData sheetId="2">
        <row r="11">
          <cell r="B11">
            <v>-251732499.72570854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IKVBUa3yOOw" TargetMode="External"/><Relationship Id="rId7" Type="http://schemas.openxmlformats.org/officeDocument/2006/relationships/drawing" Target="../drawings/drawing1.xml"/><Relationship Id="rId2" Type="http://schemas.openxmlformats.org/officeDocument/2006/relationships/hyperlink" Target="https://youtu.be/SG16aImUhuo" TargetMode="External"/><Relationship Id="rId1" Type="http://schemas.openxmlformats.org/officeDocument/2006/relationships/hyperlink" Target="https://www.linkedin.com/in/david-brown-5a44751/" TargetMode="External"/><Relationship Id="rId6" Type="http://schemas.openxmlformats.org/officeDocument/2006/relationships/printerSettings" Target="../printerSettings/printerSettings1.bin"/><Relationship Id="rId5" Type="http://schemas.openxmlformats.org/officeDocument/2006/relationships/hyperlink" Target="https://youtu.be/4VcjZRu_mCc" TargetMode="External"/><Relationship Id="rId4" Type="http://schemas.openxmlformats.org/officeDocument/2006/relationships/hyperlink" Target="https://youtu.be/LwhZCiPfKkg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www.linkedin.com/sharing/share-offsite/?url=https://www.fmworldcup.com/microsoft-excel-collegiate-challeng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66A4F-8D2D-4B6B-A761-2F9C86D09908}">
  <sheetPr codeName="Sheet1"/>
  <dimension ref="A1:XX1000"/>
  <sheetViews>
    <sheetView topLeftCell="A13" zoomScale="115" zoomScaleNormal="115" workbookViewId="0">
      <selection activeCell="C30" sqref="C30"/>
    </sheetView>
  </sheetViews>
  <sheetFormatPr defaultColWidth="0" defaultRowHeight="14.5" zeroHeight="1"/>
  <cols>
    <col min="1" max="1" width="6.08984375" style="4" customWidth="1"/>
    <col min="2" max="2" width="12.7265625" style="4" customWidth="1"/>
    <col min="3" max="5" width="29.26953125" style="4" customWidth="1"/>
    <col min="6" max="6" width="8.7265625" style="4" customWidth="1"/>
    <col min="7" max="16384" width="8.7265625" style="4" hidden="1"/>
  </cols>
  <sheetData>
    <row r="1" spans="1:6">
      <c r="A1" s="90"/>
      <c r="B1" s="90"/>
      <c r="C1" s="90"/>
      <c r="D1" s="90"/>
      <c r="E1" s="90"/>
      <c r="F1" s="90"/>
    </row>
    <row r="2" spans="1:6">
      <c r="A2" s="90"/>
      <c r="B2" s="90"/>
      <c r="C2" s="90"/>
      <c r="D2" s="90"/>
      <c r="E2" s="90"/>
      <c r="F2" s="90"/>
    </row>
    <row r="3" spans="1:6">
      <c r="A3" s="90"/>
      <c r="B3" s="90"/>
      <c r="C3" s="90"/>
      <c r="D3" s="90"/>
      <c r="E3" s="90"/>
      <c r="F3" s="90"/>
    </row>
    <row r="4" spans="1:6">
      <c r="A4" s="90"/>
      <c r="B4" s="90"/>
      <c r="C4" s="90"/>
      <c r="D4" s="90"/>
      <c r="E4" s="90"/>
      <c r="F4" s="90"/>
    </row>
    <row r="5" spans="1:6">
      <c r="A5" s="90"/>
      <c r="B5" s="90"/>
      <c r="C5" s="90"/>
      <c r="D5" s="90"/>
      <c r="E5" s="90"/>
      <c r="F5" s="90"/>
    </row>
    <row r="6" spans="1:6">
      <c r="A6" s="90"/>
      <c r="B6" s="90"/>
      <c r="C6" s="90"/>
      <c r="D6" s="90"/>
      <c r="E6" s="90"/>
      <c r="F6" s="90"/>
    </row>
    <row r="7" spans="1:6">
      <c r="A7" s="90"/>
      <c r="B7" s="90"/>
      <c r="C7" s="90"/>
      <c r="D7" s="90"/>
      <c r="E7" s="90"/>
      <c r="F7" s="90"/>
    </row>
    <row r="8" spans="1:6" ht="26">
      <c r="A8" s="90"/>
      <c r="B8" s="91" t="str">
        <f>FileName</f>
        <v>MECC Project Your Budget</v>
      </c>
      <c r="C8" s="90"/>
      <c r="D8" s="90"/>
      <c r="E8" s="90"/>
      <c r="F8" s="90"/>
    </row>
    <row r="9" spans="1:6">
      <c r="A9" s="90"/>
      <c r="B9" s="92" t="s">
        <v>158</v>
      </c>
      <c r="C9" s="90"/>
      <c r="D9" s="90"/>
      <c r="E9" s="90"/>
      <c r="F9" s="90"/>
    </row>
    <row r="10" spans="1:6">
      <c r="A10" s="90"/>
      <c r="B10" s="90"/>
      <c r="C10" s="90"/>
      <c r="D10" s="90"/>
      <c r="E10" s="90"/>
      <c r="F10" s="90"/>
    </row>
    <row r="11" spans="1:6">
      <c r="A11" s="90"/>
      <c r="B11" s="93" t="s">
        <v>23</v>
      </c>
      <c r="C11" s="90"/>
      <c r="D11" s="90"/>
      <c r="E11" s="90"/>
      <c r="F11" s="90"/>
    </row>
    <row r="12" spans="1:6">
      <c r="A12" s="93">
        <v>1</v>
      </c>
      <c r="B12" s="90" t="s">
        <v>159</v>
      </c>
      <c r="C12" s="90"/>
      <c r="D12" s="90"/>
      <c r="E12" s="90"/>
      <c r="F12" s="90"/>
    </row>
    <row r="13" spans="1:6">
      <c r="A13" s="93">
        <v>2</v>
      </c>
      <c r="B13" s="90" t="s">
        <v>160</v>
      </c>
      <c r="C13" s="90"/>
      <c r="D13" s="90"/>
      <c r="E13" s="90"/>
      <c r="F13" s="90"/>
    </row>
    <row r="14" spans="1:6">
      <c r="A14" s="93">
        <v>3</v>
      </c>
      <c r="B14" s="90" t="s">
        <v>167</v>
      </c>
      <c r="C14" s="90"/>
      <c r="D14" s="90"/>
      <c r="E14" s="90"/>
      <c r="F14" s="90"/>
    </row>
    <row r="15" spans="1:6">
      <c r="A15" s="93">
        <v>4</v>
      </c>
      <c r="B15" s="90" t="s">
        <v>163</v>
      </c>
      <c r="C15" s="90"/>
      <c r="D15" s="90"/>
      <c r="E15" s="90"/>
      <c r="F15" s="90"/>
    </row>
    <row r="16" spans="1:6">
      <c r="A16" s="93">
        <v>5</v>
      </c>
      <c r="B16" s="90" t="str">
        <f>"When you complete all "&amp;NumberExercises&amp;" tabs correctly, your total time will be recorded."</f>
        <v>When you complete all 5 tabs correctly, your total time will be recorded.</v>
      </c>
      <c r="C16" s="90"/>
      <c r="D16" s="90"/>
      <c r="E16" s="90"/>
      <c r="F16" s="90"/>
    </row>
    <row r="17" spans="1:6">
      <c r="A17" s="93">
        <v>6</v>
      </c>
      <c r="B17" s="90" t="s">
        <v>161</v>
      </c>
      <c r="C17" s="90"/>
      <c r="D17" s="90"/>
      <c r="E17" s="90"/>
      <c r="F17" s="90"/>
    </row>
    <row r="18" spans="1:6">
      <c r="A18" s="93">
        <v>7</v>
      </c>
      <c r="B18" s="90" t="s">
        <v>162</v>
      </c>
      <c r="C18" s="90"/>
      <c r="D18" s="90"/>
      <c r="E18" s="90"/>
      <c r="F18" s="90"/>
    </row>
    <row r="19" spans="1:6">
      <c r="A19" s="93">
        <v>8</v>
      </c>
      <c r="B19" s="90" t="s">
        <v>111</v>
      </c>
      <c r="C19" s="90"/>
      <c r="D19" s="90"/>
      <c r="E19" s="90"/>
      <c r="F19" s="90"/>
    </row>
    <row r="20" spans="1:6">
      <c r="A20" s="93">
        <v>9</v>
      </c>
      <c r="B20" s="90" t="s">
        <v>196</v>
      </c>
      <c r="C20" s="90"/>
      <c r="D20" s="90"/>
      <c r="E20" s="90"/>
      <c r="F20" s="90"/>
    </row>
    <row r="21" spans="1:6">
      <c r="A21" s="93">
        <v>10</v>
      </c>
      <c r="B21" s="90" t="s">
        <v>346</v>
      </c>
      <c r="C21" s="90"/>
      <c r="D21" s="90"/>
      <c r="E21" s="90"/>
      <c r="F21" s="90"/>
    </row>
    <row r="22" spans="1:6">
      <c r="A22" s="93"/>
      <c r="B22" s="90" t="s">
        <v>345</v>
      </c>
      <c r="C22" s="90"/>
      <c r="D22" s="90"/>
      <c r="E22" s="90"/>
      <c r="F22" s="90"/>
    </row>
    <row r="23" spans="1:6">
      <c r="A23" s="93">
        <v>11</v>
      </c>
      <c r="B23" s="90" t="s">
        <v>164</v>
      </c>
      <c r="C23" s="90"/>
      <c r="D23" s="90"/>
      <c r="E23" s="90"/>
      <c r="F23" s="90"/>
    </row>
    <row r="24" spans="1:6">
      <c r="A24" s="93">
        <v>12</v>
      </c>
      <c r="B24" s="90" t="s">
        <v>165</v>
      </c>
      <c r="C24" s="90"/>
      <c r="D24" s="90"/>
      <c r="E24" s="90"/>
      <c r="F24" s="90"/>
    </row>
    <row r="25" spans="1:6">
      <c r="A25" s="90"/>
      <c r="B25" s="90" t="s">
        <v>166</v>
      </c>
      <c r="C25" s="90"/>
      <c r="D25" s="90"/>
      <c r="E25" s="90"/>
      <c r="F25" s="90"/>
    </row>
    <row r="26" spans="1:6">
      <c r="A26" s="93">
        <v>13</v>
      </c>
      <c r="B26" s="90" t="s">
        <v>347</v>
      </c>
      <c r="C26" s="90"/>
      <c r="D26" s="90"/>
      <c r="E26" s="90"/>
      <c r="F26" s="90"/>
    </row>
    <row r="27" spans="1:6">
      <c r="A27" s="93"/>
      <c r="B27" s="94" t="s">
        <v>348</v>
      </c>
      <c r="C27" s="92" t="s">
        <v>352</v>
      </c>
      <c r="D27" s="90"/>
      <c r="E27" s="90"/>
      <c r="F27" s="90"/>
    </row>
    <row r="28" spans="1:6">
      <c r="A28" s="93"/>
      <c r="B28" s="94" t="s">
        <v>349</v>
      </c>
      <c r="C28" s="92" t="s">
        <v>353</v>
      </c>
      <c r="D28" s="90"/>
      <c r="E28" s="90"/>
      <c r="F28" s="90"/>
    </row>
    <row r="29" spans="1:6">
      <c r="A29" s="93"/>
      <c r="B29" s="94" t="s">
        <v>350</v>
      </c>
      <c r="C29" s="92" t="s">
        <v>354</v>
      </c>
      <c r="D29" s="90"/>
      <c r="E29" s="90"/>
      <c r="F29" s="90"/>
    </row>
    <row r="30" spans="1:6">
      <c r="A30" s="93"/>
      <c r="B30" s="94" t="s">
        <v>351</v>
      </c>
      <c r="C30" s="92" t="s">
        <v>355</v>
      </c>
      <c r="D30" s="90"/>
      <c r="E30" s="90"/>
      <c r="F30" s="90"/>
    </row>
    <row r="31" spans="1:6">
      <c r="A31" s="56"/>
      <c r="B31" s="56"/>
      <c r="C31" s="56"/>
      <c r="D31" s="56"/>
      <c r="E31" s="56"/>
      <c r="F31" s="56"/>
    </row>
    <row r="32" spans="1:6">
      <c r="A32" s="56"/>
      <c r="B32" s="56"/>
      <c r="C32" s="56"/>
      <c r="D32" s="56"/>
      <c r="E32" s="56"/>
      <c r="F32" s="56"/>
    </row>
    <row r="33" spans="1:6">
      <c r="A33" s="56"/>
      <c r="B33" s="56"/>
      <c r="C33" s="56"/>
      <c r="D33" s="56"/>
      <c r="E33" s="56"/>
      <c r="F33" s="56"/>
    </row>
    <row r="34" spans="1:6">
      <c r="A34" s="56"/>
      <c r="B34" s="56"/>
      <c r="C34" s="56"/>
      <c r="D34" s="56"/>
      <c r="E34" s="56"/>
      <c r="F34" s="56"/>
    </row>
    <row r="35" spans="1:6">
      <c r="A35" s="56"/>
      <c r="B35" s="56"/>
      <c r="C35" s="56"/>
      <c r="D35" s="56"/>
      <c r="E35" s="56"/>
      <c r="F35" s="56"/>
    </row>
    <row r="36" spans="1:6">
      <c r="A36" s="56"/>
      <c r="B36" s="57" t="s">
        <v>87</v>
      </c>
      <c r="C36" s="56"/>
      <c r="D36" s="56"/>
      <c r="E36" s="56"/>
      <c r="F36" s="56"/>
    </row>
    <row r="37" spans="1:6">
      <c r="A37" s="57">
        <v>1</v>
      </c>
      <c r="B37" s="56" t="s">
        <v>88</v>
      </c>
      <c r="C37" s="56"/>
      <c r="D37" s="56"/>
      <c r="E37" s="56"/>
      <c r="F37" s="56"/>
    </row>
    <row r="38" spans="1:6">
      <c r="A38" s="57"/>
      <c r="B38" s="56" t="s">
        <v>89</v>
      </c>
      <c r="C38" s="56"/>
      <c r="D38" s="56"/>
      <c r="E38" s="56"/>
      <c r="F38" s="56"/>
    </row>
    <row r="39" spans="1:6">
      <c r="A39" s="57">
        <v>2</v>
      </c>
      <c r="B39" s="56" t="s">
        <v>90</v>
      </c>
      <c r="C39" s="56"/>
      <c r="D39" s="56"/>
      <c r="E39" s="56"/>
      <c r="F39" s="56"/>
    </row>
    <row r="40" spans="1:6">
      <c r="A40" s="57"/>
      <c r="B40" s="56" t="s">
        <v>91</v>
      </c>
      <c r="C40" s="56"/>
      <c r="D40" s="56"/>
      <c r="E40" s="56"/>
      <c r="F40" s="56"/>
    </row>
    <row r="41" spans="1:6">
      <c r="A41" s="56"/>
      <c r="B41" s="56"/>
      <c r="C41" s="56"/>
      <c r="D41" s="56"/>
      <c r="E41" s="56"/>
      <c r="F41" s="56"/>
    </row>
    <row r="42" spans="1:6">
      <c r="A42" s="56"/>
      <c r="B42" s="56"/>
      <c r="C42" s="56"/>
      <c r="D42" s="56"/>
      <c r="E42" s="56"/>
      <c r="F42" s="56"/>
    </row>
    <row r="43" spans="1:6">
      <c r="A43" s="56"/>
      <c r="B43" s="56"/>
      <c r="C43" s="56"/>
      <c r="D43" s="56"/>
      <c r="E43" s="56"/>
      <c r="F43" s="56"/>
    </row>
    <row r="44" spans="1:6">
      <c r="A44" s="56"/>
      <c r="B44" s="56"/>
      <c r="C44" s="56"/>
      <c r="D44" s="56"/>
      <c r="E44" s="56"/>
      <c r="F44" s="56"/>
    </row>
    <row r="45" spans="1:6">
      <c r="A45" s="56"/>
      <c r="B45" s="56"/>
      <c r="C45" s="56"/>
      <c r="D45" s="56"/>
      <c r="E45" s="56"/>
      <c r="F45" s="56"/>
    </row>
    <row r="46" spans="1:6" hidden="1">
      <c r="A46" s="48"/>
      <c r="B46" s="48"/>
      <c r="C46" s="48"/>
      <c r="D46" s="48"/>
      <c r="E46" s="48"/>
      <c r="F46" s="48"/>
    </row>
    <row r="47" spans="1:6" hidden="1">
      <c r="A47" s="48"/>
      <c r="B47" s="48"/>
      <c r="C47" s="48"/>
      <c r="D47" s="48"/>
      <c r="E47" s="48"/>
      <c r="F47" s="48"/>
    </row>
    <row r="1000" spans="648:648" ht="15.5">
      <c r="XX1000" s="104">
        <v>56981</v>
      </c>
    </row>
  </sheetData>
  <sheetProtection algorithmName="SHA-512" hashValue="830p0Ips90VkVD9cliw4NvmW7oX3xrM+H+oub68GU8m/wJgrvfWbNu9xPscyjb+y4+inNlVS0klPVsxX99MiqQ==" saltValue="KLUgce7OgynNLUR97Uyf1A==" spinCount="100000" sheet="1" objects="1" scenarios="1"/>
  <hyperlinks>
    <hyperlink ref="B9" r:id="rId1" xr:uid="{5589B0AB-6BB2-44A2-8CB9-BF7A3F821B13}"/>
    <hyperlink ref="C27" r:id="rId2" xr:uid="{8001D03E-D64C-43F4-B031-40893D3E3C5C}"/>
    <hyperlink ref="C28" r:id="rId3" xr:uid="{5B5D0BDD-3F99-439E-AD4A-F7BBE16B0CE6}"/>
    <hyperlink ref="C29" r:id="rId4" xr:uid="{E5CD9300-CCBF-4DF4-AD47-A816EDE123F1}"/>
    <hyperlink ref="C30" r:id="rId5" xr:uid="{18193E25-E9FD-4BB7-94B6-A679CDA29B96}"/>
  </hyperlinks>
  <pageMargins left="0.7" right="0.7" top="0.75" bottom="0.75" header="0.3" footer="0.3"/>
  <pageSetup orientation="portrait" r:id="rId6"/>
  <drawing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D5652-8B29-49E3-936B-56EE929D9D71}">
  <sheetPr codeName="Sheet5">
    <tabColor rgb="FF0070C0"/>
  </sheetPr>
  <dimension ref="A1:XX1000"/>
  <sheetViews>
    <sheetView topLeftCell="A2" zoomScale="115" zoomScaleNormal="115" workbookViewId="0">
      <selection activeCell="D20" sqref="D20"/>
    </sheetView>
  </sheetViews>
  <sheetFormatPr defaultColWidth="0" defaultRowHeight="0" customHeight="1" zeroHeight="1"/>
  <cols>
    <col min="1" max="1" width="8.7265625" style="4" customWidth="1"/>
    <col min="2" max="2" width="14" style="4" customWidth="1"/>
    <col min="3" max="7" width="15.7265625" style="4" customWidth="1"/>
    <col min="8" max="8" width="8.7265625" style="4" customWidth="1"/>
    <col min="9" max="12" width="0" style="4" hidden="1" customWidth="1"/>
    <col min="13" max="16384" width="8.7265625" style="4" hidden="1"/>
  </cols>
  <sheetData>
    <row r="1" spans="1:7" ht="14.5"/>
    <row r="2" spans="1:7" ht="15.5">
      <c r="B2" s="33" t="s">
        <v>23</v>
      </c>
      <c r="F2" s="83" t="s">
        <v>114</v>
      </c>
    </row>
    <row r="3" spans="1:7" ht="14.5">
      <c r="B3" s="20" t="s">
        <v>198</v>
      </c>
      <c r="F3" s="41" t="s">
        <v>199</v>
      </c>
      <c r="G3" s="65">
        <f>'Sensitivity Analysis'!G3</f>
        <v>1200</v>
      </c>
    </row>
    <row r="4" spans="1:7" ht="14.5">
      <c r="B4" s="20" t="s">
        <v>200</v>
      </c>
      <c r="F4" s="41" t="s">
        <v>201</v>
      </c>
      <c r="G4" s="66">
        <f>BackgroundCalcs!Q3</f>
        <v>0.01</v>
      </c>
    </row>
    <row r="5" spans="1:7" ht="14.5">
      <c r="B5" s="20" t="s">
        <v>202</v>
      </c>
      <c r="G5" s="20"/>
    </row>
    <row r="6" spans="1:7" ht="14.5">
      <c r="B6" s="20"/>
      <c r="G6" s="20"/>
    </row>
    <row r="7" spans="1:7" ht="16" thickBot="1">
      <c r="B7" s="33" t="s">
        <v>113</v>
      </c>
      <c r="F7" s="38" t="s">
        <v>112</v>
      </c>
      <c r="G7" s="95" t="s">
        <v>83</v>
      </c>
    </row>
    <row r="8" spans="1:7" ht="15" thickBot="1">
      <c r="A8" s="4">
        <v>1</v>
      </c>
      <c r="B8" s="20" t="s">
        <v>203</v>
      </c>
      <c r="F8" s="5">
        <f>E25</f>
        <v>1212</v>
      </c>
      <c r="G8" s="22">
        <f>BackgroundCalcs!AY2</f>
        <v>1212</v>
      </c>
    </row>
    <row r="9" spans="1:7" ht="15" thickBot="1">
      <c r="A9" s="4">
        <v>2</v>
      </c>
      <c r="B9" s="20" t="s">
        <v>204</v>
      </c>
      <c r="F9" s="5">
        <f>SUM(E13:E72)</f>
        <v>73454.472144000014</v>
      </c>
      <c r="G9" s="22">
        <f>BackgroundCalcs!AY3</f>
        <v>73454.472144000014</v>
      </c>
    </row>
    <row r="10" spans="1:7" ht="14.5">
      <c r="G10" s="7"/>
    </row>
    <row r="11" spans="1:7" ht="14.5"/>
    <row r="12" spans="1:7" ht="14.5">
      <c r="C12" s="34" t="s">
        <v>85</v>
      </c>
      <c r="D12" s="34" t="s">
        <v>84</v>
      </c>
      <c r="E12" s="34" t="s">
        <v>205</v>
      </c>
      <c r="F12" s="7"/>
      <c r="G12" s="38"/>
    </row>
    <row r="13" spans="1:7" ht="14.5">
      <c r="C13" s="6" cm="1">
        <f t="array" ref="C13:C72">_xlfn.SEQUENCE(60)</f>
        <v>1</v>
      </c>
      <c r="D13" s="6">
        <f>ROUNDUP(C13/12,0)</f>
        <v>1</v>
      </c>
      <c r="E13" s="7">
        <f>G3</f>
        <v>1200</v>
      </c>
      <c r="F13" s="7"/>
      <c r="G13" s="7"/>
    </row>
    <row r="14" spans="1:7" ht="14.5">
      <c r="C14" s="6">
        <v>2</v>
      </c>
      <c r="D14" s="6">
        <f t="shared" ref="D14:D72" si="0">ROUNDUP(C14/12,0)</f>
        <v>1</v>
      </c>
      <c r="E14" s="7">
        <f>IF(D14&lt;&gt;D13,E13*(1+$G$4),E13)</f>
        <v>1200</v>
      </c>
      <c r="F14" s="7"/>
      <c r="G14" s="7"/>
    </row>
    <row r="15" spans="1:7" ht="14.5">
      <c r="C15" s="6">
        <v>3</v>
      </c>
      <c r="D15" s="6">
        <f t="shared" si="0"/>
        <v>1</v>
      </c>
      <c r="E15" s="7">
        <f t="shared" ref="E15:E72" si="1">IF(D15&lt;&gt;D14,E14*(1+$G$4),E14)</f>
        <v>1200</v>
      </c>
      <c r="F15" s="7"/>
      <c r="G15" s="7"/>
    </row>
    <row r="16" spans="1:7" ht="14.5">
      <c r="C16" s="6">
        <v>4</v>
      </c>
      <c r="D16" s="6">
        <f t="shared" si="0"/>
        <v>1</v>
      </c>
      <c r="E16" s="7">
        <f t="shared" si="1"/>
        <v>1200</v>
      </c>
      <c r="F16" s="7"/>
      <c r="G16" s="7"/>
    </row>
    <row r="17" spans="3:7" ht="14.5">
      <c r="C17" s="6">
        <v>5</v>
      </c>
      <c r="D17" s="6">
        <f t="shared" si="0"/>
        <v>1</v>
      </c>
      <c r="E17" s="7">
        <f t="shared" si="1"/>
        <v>1200</v>
      </c>
      <c r="F17" s="7"/>
      <c r="G17" s="7"/>
    </row>
    <row r="18" spans="3:7" ht="14.5">
      <c r="C18" s="6">
        <v>6</v>
      </c>
      <c r="D18" s="6">
        <f t="shared" si="0"/>
        <v>1</v>
      </c>
      <c r="E18" s="7">
        <f t="shared" si="1"/>
        <v>1200</v>
      </c>
      <c r="F18" s="7"/>
      <c r="G18" s="7"/>
    </row>
    <row r="19" spans="3:7" ht="14.5">
      <c r="C19" s="6">
        <v>7</v>
      </c>
      <c r="D19" s="6">
        <f t="shared" si="0"/>
        <v>1</v>
      </c>
      <c r="E19" s="7">
        <f t="shared" si="1"/>
        <v>1200</v>
      </c>
      <c r="F19" s="7"/>
      <c r="G19" s="7"/>
    </row>
    <row r="20" spans="3:7" ht="14.5">
      <c r="C20" s="6">
        <v>8</v>
      </c>
      <c r="D20" s="6">
        <f t="shared" si="0"/>
        <v>1</v>
      </c>
      <c r="E20" s="7">
        <f t="shared" si="1"/>
        <v>1200</v>
      </c>
      <c r="F20" s="7"/>
      <c r="G20" s="7"/>
    </row>
    <row r="21" spans="3:7" ht="14.5">
      <c r="C21" s="6">
        <v>9</v>
      </c>
      <c r="D21" s="6">
        <f t="shared" si="0"/>
        <v>1</v>
      </c>
      <c r="E21" s="7">
        <f t="shared" si="1"/>
        <v>1200</v>
      </c>
      <c r="F21" s="7"/>
      <c r="G21" s="7"/>
    </row>
    <row r="22" spans="3:7" ht="14.5">
      <c r="C22" s="6">
        <v>10</v>
      </c>
      <c r="D22" s="6">
        <f t="shared" si="0"/>
        <v>1</v>
      </c>
      <c r="E22" s="7">
        <f t="shared" si="1"/>
        <v>1200</v>
      </c>
      <c r="F22" s="7"/>
      <c r="G22" s="7"/>
    </row>
    <row r="23" spans="3:7" ht="14.5">
      <c r="C23" s="6">
        <v>11</v>
      </c>
      <c r="D23" s="6">
        <f t="shared" si="0"/>
        <v>1</v>
      </c>
      <c r="E23" s="7">
        <f t="shared" si="1"/>
        <v>1200</v>
      </c>
      <c r="F23" s="7"/>
      <c r="G23" s="7"/>
    </row>
    <row r="24" spans="3:7" ht="14.5">
      <c r="C24" s="6">
        <v>12</v>
      </c>
      <c r="D24" s="6">
        <f t="shared" si="0"/>
        <v>1</v>
      </c>
      <c r="E24" s="7">
        <f t="shared" si="1"/>
        <v>1200</v>
      </c>
      <c r="F24" s="7"/>
      <c r="G24" s="7"/>
    </row>
    <row r="25" spans="3:7" ht="14.5">
      <c r="C25" s="6">
        <v>13</v>
      </c>
      <c r="D25" s="6">
        <f t="shared" si="0"/>
        <v>2</v>
      </c>
      <c r="E25" s="7">
        <f t="shared" si="1"/>
        <v>1212</v>
      </c>
      <c r="F25" s="7"/>
      <c r="G25" s="7"/>
    </row>
    <row r="26" spans="3:7" ht="14.5">
      <c r="C26" s="6">
        <v>14</v>
      </c>
      <c r="D26" s="6">
        <f t="shared" si="0"/>
        <v>2</v>
      </c>
      <c r="E26" s="7">
        <f t="shared" si="1"/>
        <v>1212</v>
      </c>
      <c r="F26" s="7"/>
      <c r="G26" s="7"/>
    </row>
    <row r="27" spans="3:7" ht="14.5">
      <c r="C27" s="6">
        <v>15</v>
      </c>
      <c r="D27" s="6">
        <f t="shared" si="0"/>
        <v>2</v>
      </c>
      <c r="E27" s="7">
        <f t="shared" si="1"/>
        <v>1212</v>
      </c>
      <c r="F27" s="7"/>
      <c r="G27" s="7"/>
    </row>
    <row r="28" spans="3:7" ht="14.5">
      <c r="C28" s="6">
        <v>16</v>
      </c>
      <c r="D28" s="6">
        <f t="shared" si="0"/>
        <v>2</v>
      </c>
      <c r="E28" s="7">
        <f t="shared" si="1"/>
        <v>1212</v>
      </c>
      <c r="F28" s="7"/>
      <c r="G28" s="7"/>
    </row>
    <row r="29" spans="3:7" ht="14.5">
      <c r="C29" s="6">
        <v>17</v>
      </c>
      <c r="D29" s="6">
        <f t="shared" si="0"/>
        <v>2</v>
      </c>
      <c r="E29" s="7">
        <f t="shared" si="1"/>
        <v>1212</v>
      </c>
      <c r="F29" s="7"/>
      <c r="G29" s="7"/>
    </row>
    <row r="30" spans="3:7" ht="14.5">
      <c r="C30" s="6">
        <v>18</v>
      </c>
      <c r="D30" s="6">
        <f t="shared" si="0"/>
        <v>2</v>
      </c>
      <c r="E30" s="7">
        <f t="shared" si="1"/>
        <v>1212</v>
      </c>
      <c r="F30" s="7"/>
      <c r="G30" s="7"/>
    </row>
    <row r="31" spans="3:7" ht="14.5">
      <c r="C31" s="6">
        <v>19</v>
      </c>
      <c r="D31" s="6">
        <f t="shared" si="0"/>
        <v>2</v>
      </c>
      <c r="E31" s="7">
        <f t="shared" si="1"/>
        <v>1212</v>
      </c>
      <c r="F31" s="7"/>
      <c r="G31" s="7"/>
    </row>
    <row r="32" spans="3:7" ht="14.5">
      <c r="C32" s="6">
        <v>20</v>
      </c>
      <c r="D32" s="6">
        <f t="shared" si="0"/>
        <v>2</v>
      </c>
      <c r="E32" s="7">
        <f t="shared" si="1"/>
        <v>1212</v>
      </c>
      <c r="F32" s="7"/>
      <c r="G32" s="7"/>
    </row>
    <row r="33" spans="3:7" ht="14.5">
      <c r="C33" s="6">
        <v>21</v>
      </c>
      <c r="D33" s="6">
        <f t="shared" si="0"/>
        <v>2</v>
      </c>
      <c r="E33" s="7">
        <f t="shared" si="1"/>
        <v>1212</v>
      </c>
      <c r="F33" s="7"/>
      <c r="G33" s="7"/>
    </row>
    <row r="34" spans="3:7" ht="14.5">
      <c r="C34" s="6">
        <v>22</v>
      </c>
      <c r="D34" s="6">
        <f t="shared" si="0"/>
        <v>2</v>
      </c>
      <c r="E34" s="7">
        <f t="shared" si="1"/>
        <v>1212</v>
      </c>
      <c r="F34" s="7"/>
      <c r="G34" s="7"/>
    </row>
    <row r="35" spans="3:7" ht="14.5">
      <c r="C35" s="6">
        <v>23</v>
      </c>
      <c r="D35" s="6">
        <f t="shared" si="0"/>
        <v>2</v>
      </c>
      <c r="E35" s="7">
        <f t="shared" si="1"/>
        <v>1212</v>
      </c>
      <c r="F35" s="7"/>
      <c r="G35" s="7"/>
    </row>
    <row r="36" spans="3:7" ht="14.5">
      <c r="C36" s="6">
        <v>24</v>
      </c>
      <c r="D36" s="6">
        <f t="shared" si="0"/>
        <v>2</v>
      </c>
      <c r="E36" s="7">
        <f t="shared" si="1"/>
        <v>1212</v>
      </c>
      <c r="F36" s="7"/>
      <c r="G36" s="7"/>
    </row>
    <row r="37" spans="3:7" ht="14.5">
      <c r="C37" s="6">
        <v>25</v>
      </c>
      <c r="D37" s="6">
        <f t="shared" si="0"/>
        <v>3</v>
      </c>
      <c r="E37" s="7">
        <f t="shared" si="1"/>
        <v>1224.1200000000001</v>
      </c>
      <c r="F37" s="7"/>
      <c r="G37" s="7"/>
    </row>
    <row r="38" spans="3:7" ht="14.5">
      <c r="C38" s="6">
        <v>26</v>
      </c>
      <c r="D38" s="6">
        <f t="shared" si="0"/>
        <v>3</v>
      </c>
      <c r="E38" s="7">
        <f t="shared" si="1"/>
        <v>1224.1200000000001</v>
      </c>
      <c r="F38" s="7"/>
      <c r="G38" s="7"/>
    </row>
    <row r="39" spans="3:7" ht="14.5">
      <c r="C39" s="6">
        <v>27</v>
      </c>
      <c r="D39" s="6">
        <f t="shared" si="0"/>
        <v>3</v>
      </c>
      <c r="E39" s="7">
        <f t="shared" si="1"/>
        <v>1224.1200000000001</v>
      </c>
      <c r="F39" s="7"/>
      <c r="G39" s="7"/>
    </row>
    <row r="40" spans="3:7" ht="14.5">
      <c r="C40" s="6">
        <v>28</v>
      </c>
      <c r="D40" s="6">
        <f t="shared" si="0"/>
        <v>3</v>
      </c>
      <c r="E40" s="7">
        <f t="shared" si="1"/>
        <v>1224.1200000000001</v>
      </c>
      <c r="F40" s="7"/>
      <c r="G40" s="7"/>
    </row>
    <row r="41" spans="3:7" ht="14.5">
      <c r="C41" s="6">
        <v>29</v>
      </c>
      <c r="D41" s="6">
        <f t="shared" si="0"/>
        <v>3</v>
      </c>
      <c r="E41" s="7">
        <f t="shared" si="1"/>
        <v>1224.1200000000001</v>
      </c>
      <c r="F41" s="7"/>
      <c r="G41" s="7"/>
    </row>
    <row r="42" spans="3:7" ht="14.5">
      <c r="C42" s="6">
        <v>30</v>
      </c>
      <c r="D42" s="6">
        <f t="shared" si="0"/>
        <v>3</v>
      </c>
      <c r="E42" s="7">
        <f t="shared" si="1"/>
        <v>1224.1200000000001</v>
      </c>
      <c r="F42" s="7"/>
      <c r="G42" s="7"/>
    </row>
    <row r="43" spans="3:7" ht="14.5">
      <c r="C43" s="6">
        <v>31</v>
      </c>
      <c r="D43" s="6">
        <f t="shared" si="0"/>
        <v>3</v>
      </c>
      <c r="E43" s="7">
        <f t="shared" si="1"/>
        <v>1224.1200000000001</v>
      </c>
      <c r="F43" s="7"/>
      <c r="G43" s="7"/>
    </row>
    <row r="44" spans="3:7" ht="14.5">
      <c r="C44" s="6">
        <v>32</v>
      </c>
      <c r="D44" s="6">
        <f t="shared" si="0"/>
        <v>3</v>
      </c>
      <c r="E44" s="7">
        <f t="shared" si="1"/>
        <v>1224.1200000000001</v>
      </c>
      <c r="F44" s="7"/>
      <c r="G44" s="7"/>
    </row>
    <row r="45" spans="3:7" ht="14.5">
      <c r="C45" s="6">
        <v>33</v>
      </c>
      <c r="D45" s="6">
        <f t="shared" si="0"/>
        <v>3</v>
      </c>
      <c r="E45" s="7">
        <f t="shared" si="1"/>
        <v>1224.1200000000001</v>
      </c>
      <c r="F45" s="7"/>
      <c r="G45" s="7"/>
    </row>
    <row r="46" spans="3:7" ht="14.5">
      <c r="C46" s="6">
        <v>34</v>
      </c>
      <c r="D46" s="6">
        <f t="shared" si="0"/>
        <v>3</v>
      </c>
      <c r="E46" s="7">
        <f t="shared" si="1"/>
        <v>1224.1200000000001</v>
      </c>
      <c r="F46" s="7"/>
      <c r="G46" s="7"/>
    </row>
    <row r="47" spans="3:7" ht="14.5">
      <c r="C47" s="6">
        <v>35</v>
      </c>
      <c r="D47" s="6">
        <f t="shared" si="0"/>
        <v>3</v>
      </c>
      <c r="E47" s="7">
        <f t="shared" si="1"/>
        <v>1224.1200000000001</v>
      </c>
      <c r="F47" s="7"/>
      <c r="G47" s="7"/>
    </row>
    <row r="48" spans="3:7" ht="14.5">
      <c r="C48" s="6">
        <v>36</v>
      </c>
      <c r="D48" s="6">
        <f t="shared" si="0"/>
        <v>3</v>
      </c>
      <c r="E48" s="7">
        <f t="shared" si="1"/>
        <v>1224.1200000000001</v>
      </c>
      <c r="F48" s="7"/>
      <c r="G48" s="7"/>
    </row>
    <row r="49" spans="3:7" ht="14.5">
      <c r="C49" s="6">
        <v>37</v>
      </c>
      <c r="D49" s="6">
        <f t="shared" si="0"/>
        <v>4</v>
      </c>
      <c r="E49" s="7">
        <f t="shared" si="1"/>
        <v>1236.3612000000001</v>
      </c>
      <c r="F49" s="7"/>
      <c r="G49" s="7"/>
    </row>
    <row r="50" spans="3:7" ht="14.5">
      <c r="C50" s="6">
        <v>38</v>
      </c>
      <c r="D50" s="6">
        <f t="shared" si="0"/>
        <v>4</v>
      </c>
      <c r="E50" s="7">
        <f t="shared" si="1"/>
        <v>1236.3612000000001</v>
      </c>
      <c r="F50" s="7"/>
      <c r="G50" s="7"/>
    </row>
    <row r="51" spans="3:7" ht="14.5">
      <c r="C51" s="6">
        <v>39</v>
      </c>
      <c r="D51" s="6">
        <f t="shared" si="0"/>
        <v>4</v>
      </c>
      <c r="E51" s="7">
        <f t="shared" si="1"/>
        <v>1236.3612000000001</v>
      </c>
      <c r="F51" s="7"/>
      <c r="G51" s="7"/>
    </row>
    <row r="52" spans="3:7" ht="14.5">
      <c r="C52" s="6">
        <v>40</v>
      </c>
      <c r="D52" s="6">
        <f t="shared" si="0"/>
        <v>4</v>
      </c>
      <c r="E52" s="7">
        <f t="shared" si="1"/>
        <v>1236.3612000000001</v>
      </c>
      <c r="F52" s="7"/>
      <c r="G52" s="7"/>
    </row>
    <row r="53" spans="3:7" ht="14.5">
      <c r="C53" s="6">
        <v>41</v>
      </c>
      <c r="D53" s="6">
        <f t="shared" si="0"/>
        <v>4</v>
      </c>
      <c r="E53" s="7">
        <f t="shared" si="1"/>
        <v>1236.3612000000001</v>
      </c>
      <c r="F53" s="7"/>
      <c r="G53" s="7"/>
    </row>
    <row r="54" spans="3:7" ht="14.5">
      <c r="C54" s="6">
        <v>42</v>
      </c>
      <c r="D54" s="6">
        <f t="shared" si="0"/>
        <v>4</v>
      </c>
      <c r="E54" s="7">
        <f t="shared" si="1"/>
        <v>1236.3612000000001</v>
      </c>
      <c r="F54" s="7"/>
      <c r="G54" s="7"/>
    </row>
    <row r="55" spans="3:7" ht="14.5">
      <c r="C55" s="6">
        <v>43</v>
      </c>
      <c r="D55" s="6">
        <f t="shared" si="0"/>
        <v>4</v>
      </c>
      <c r="E55" s="7">
        <f t="shared" si="1"/>
        <v>1236.3612000000001</v>
      </c>
      <c r="F55" s="7"/>
      <c r="G55" s="7"/>
    </row>
    <row r="56" spans="3:7" ht="14.5">
      <c r="C56" s="6">
        <v>44</v>
      </c>
      <c r="D56" s="6">
        <f t="shared" si="0"/>
        <v>4</v>
      </c>
      <c r="E56" s="7">
        <f t="shared" si="1"/>
        <v>1236.3612000000001</v>
      </c>
      <c r="F56" s="7"/>
      <c r="G56" s="7"/>
    </row>
    <row r="57" spans="3:7" ht="14.5">
      <c r="C57" s="6">
        <v>45</v>
      </c>
      <c r="D57" s="6">
        <f t="shared" si="0"/>
        <v>4</v>
      </c>
      <c r="E57" s="7">
        <f t="shared" si="1"/>
        <v>1236.3612000000001</v>
      </c>
      <c r="F57" s="7"/>
      <c r="G57" s="7"/>
    </row>
    <row r="58" spans="3:7" ht="14.5">
      <c r="C58" s="6">
        <v>46</v>
      </c>
      <c r="D58" s="6">
        <f t="shared" si="0"/>
        <v>4</v>
      </c>
      <c r="E58" s="7">
        <f t="shared" si="1"/>
        <v>1236.3612000000001</v>
      </c>
      <c r="F58" s="7"/>
      <c r="G58" s="7"/>
    </row>
    <row r="59" spans="3:7" ht="14.5">
      <c r="C59" s="6">
        <v>47</v>
      </c>
      <c r="D59" s="6">
        <f t="shared" si="0"/>
        <v>4</v>
      </c>
      <c r="E59" s="7">
        <f t="shared" si="1"/>
        <v>1236.3612000000001</v>
      </c>
      <c r="F59" s="7"/>
      <c r="G59" s="7"/>
    </row>
    <row r="60" spans="3:7" ht="14.5">
      <c r="C60" s="6">
        <v>48</v>
      </c>
      <c r="D60" s="6">
        <f t="shared" si="0"/>
        <v>4</v>
      </c>
      <c r="E60" s="7">
        <f t="shared" si="1"/>
        <v>1236.3612000000001</v>
      </c>
      <c r="F60" s="7"/>
      <c r="G60" s="7"/>
    </row>
    <row r="61" spans="3:7" ht="14.5">
      <c r="C61" s="6">
        <v>49</v>
      </c>
      <c r="D61" s="6">
        <f t="shared" si="0"/>
        <v>5</v>
      </c>
      <c r="E61" s="7">
        <f t="shared" si="1"/>
        <v>1248.7248120000002</v>
      </c>
      <c r="F61" s="7"/>
      <c r="G61" s="7"/>
    </row>
    <row r="62" spans="3:7" ht="14.5">
      <c r="C62" s="6">
        <v>50</v>
      </c>
      <c r="D62" s="6">
        <f t="shared" si="0"/>
        <v>5</v>
      </c>
      <c r="E62" s="7">
        <f t="shared" si="1"/>
        <v>1248.7248120000002</v>
      </c>
      <c r="F62" s="7"/>
      <c r="G62" s="7"/>
    </row>
    <row r="63" spans="3:7" ht="14.5">
      <c r="C63" s="6">
        <v>51</v>
      </c>
      <c r="D63" s="6">
        <f t="shared" si="0"/>
        <v>5</v>
      </c>
      <c r="E63" s="7">
        <f t="shared" si="1"/>
        <v>1248.7248120000002</v>
      </c>
      <c r="F63" s="7"/>
      <c r="G63" s="7"/>
    </row>
    <row r="64" spans="3:7" ht="14.5">
      <c r="C64" s="6">
        <v>52</v>
      </c>
      <c r="D64" s="6">
        <f t="shared" si="0"/>
        <v>5</v>
      </c>
      <c r="E64" s="7">
        <f t="shared" si="1"/>
        <v>1248.7248120000002</v>
      </c>
      <c r="F64" s="7"/>
      <c r="G64" s="7"/>
    </row>
    <row r="65" spans="3:7" ht="14.5">
      <c r="C65" s="6">
        <v>53</v>
      </c>
      <c r="D65" s="6">
        <f t="shared" si="0"/>
        <v>5</v>
      </c>
      <c r="E65" s="7">
        <f t="shared" si="1"/>
        <v>1248.7248120000002</v>
      </c>
      <c r="F65" s="7"/>
      <c r="G65" s="7"/>
    </row>
    <row r="66" spans="3:7" ht="14.5">
      <c r="C66" s="6">
        <v>54</v>
      </c>
      <c r="D66" s="6">
        <f t="shared" si="0"/>
        <v>5</v>
      </c>
      <c r="E66" s="7">
        <f t="shared" si="1"/>
        <v>1248.7248120000002</v>
      </c>
      <c r="F66" s="7"/>
      <c r="G66" s="7"/>
    </row>
    <row r="67" spans="3:7" ht="14.5">
      <c r="C67" s="6">
        <v>55</v>
      </c>
      <c r="D67" s="6">
        <f t="shared" si="0"/>
        <v>5</v>
      </c>
      <c r="E67" s="7">
        <f t="shared" si="1"/>
        <v>1248.7248120000002</v>
      </c>
      <c r="F67" s="7"/>
      <c r="G67" s="7"/>
    </row>
    <row r="68" spans="3:7" ht="14.5">
      <c r="C68" s="6">
        <v>56</v>
      </c>
      <c r="D68" s="6">
        <f t="shared" si="0"/>
        <v>5</v>
      </c>
      <c r="E68" s="7">
        <f t="shared" si="1"/>
        <v>1248.7248120000002</v>
      </c>
      <c r="F68" s="7"/>
      <c r="G68" s="7"/>
    </row>
    <row r="69" spans="3:7" ht="14.5">
      <c r="C69" s="6">
        <v>57</v>
      </c>
      <c r="D69" s="6">
        <f t="shared" si="0"/>
        <v>5</v>
      </c>
      <c r="E69" s="7">
        <f t="shared" si="1"/>
        <v>1248.7248120000002</v>
      </c>
      <c r="F69" s="7"/>
      <c r="G69" s="7"/>
    </row>
    <row r="70" spans="3:7" ht="14.5">
      <c r="C70" s="6">
        <v>58</v>
      </c>
      <c r="D70" s="6">
        <f t="shared" si="0"/>
        <v>5</v>
      </c>
      <c r="E70" s="7">
        <f t="shared" si="1"/>
        <v>1248.7248120000002</v>
      </c>
      <c r="F70" s="7"/>
      <c r="G70" s="7"/>
    </row>
    <row r="71" spans="3:7" ht="14.5">
      <c r="C71" s="6">
        <v>59</v>
      </c>
      <c r="D71" s="6">
        <f t="shared" si="0"/>
        <v>5</v>
      </c>
      <c r="E71" s="7">
        <f t="shared" si="1"/>
        <v>1248.7248120000002</v>
      </c>
      <c r="F71" s="7"/>
      <c r="G71" s="7"/>
    </row>
    <row r="72" spans="3:7" ht="14.5">
      <c r="C72" s="6">
        <v>60</v>
      </c>
      <c r="D72" s="6">
        <f t="shared" si="0"/>
        <v>5</v>
      </c>
      <c r="E72" s="7">
        <f t="shared" si="1"/>
        <v>1248.7248120000002</v>
      </c>
      <c r="F72" s="7"/>
      <c r="G72" s="7"/>
    </row>
    <row r="73" spans="3:7" ht="14.5">
      <c r="C73" s="6"/>
      <c r="D73" s="6"/>
      <c r="E73" s="7"/>
      <c r="F73" s="6"/>
      <c r="G73" s="6"/>
    </row>
    <row r="74" spans="3:7" ht="14.5" hidden="1">
      <c r="C74" s="6"/>
      <c r="D74" s="6"/>
      <c r="E74" s="6"/>
      <c r="F74" s="6"/>
      <c r="G74" s="6"/>
    </row>
    <row r="75" spans="3:7" ht="14.9" hidden="1" customHeight="1">
      <c r="C75" s="6"/>
      <c r="D75" s="6"/>
      <c r="E75" s="6"/>
      <c r="F75" s="6"/>
      <c r="G75" s="6"/>
    </row>
    <row r="1000" spans="648:648" ht="15.5">
      <c r="XX1000" s="104">
        <v>56981</v>
      </c>
    </row>
  </sheetData>
  <sheetProtection algorithmName="SHA-512" hashValue="snoNTG/JQJBvLSmiNPAa8nHskJjQZ3TP4pgg/ADzoO+vD6Nhx28yVNh4qtx66iXQniz8OZTo5ixMx2OGEw/88g==" saltValue="0u7tulLKolURcVt2qh5SSQ==" spinCount="100000" sheet="1" objects="1" scenarios="1" formatCells="0"/>
  <conditionalFormatting sqref="G10">
    <cfRule type="expression" dxfId="11" priority="2">
      <formula>IFERROR(AND(CheckAnswer(#REF!,G10),CheckAnswer(G9,G10),CheckAnswer(#REF!,G10)),FALSE)</formula>
    </cfRule>
  </conditionalFormatting>
  <conditionalFormatting sqref="G8:G9">
    <cfRule type="expression" dxfId="10" priority="1">
      <formula>IFERROR(CheckAnswer(F8,G8),FALSE)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53C33-E86C-4820-AC81-792A4168177A}">
  <sheetPr codeName="Sheet13">
    <tabColor rgb="FF0070C0"/>
  </sheetPr>
  <dimension ref="A1:XX1000"/>
  <sheetViews>
    <sheetView topLeftCell="A8" zoomScale="115" zoomScaleNormal="115" workbookViewId="0">
      <selection activeCell="F16" sqref="F16"/>
    </sheetView>
  </sheetViews>
  <sheetFormatPr defaultColWidth="0" defaultRowHeight="0" customHeight="1" zeroHeight="1"/>
  <cols>
    <col min="1" max="1" width="8.7265625" style="4" customWidth="1"/>
    <col min="2" max="2" width="14" style="4" customWidth="1"/>
    <col min="3" max="7" width="15.7265625" style="4" customWidth="1"/>
    <col min="8" max="8" width="8.7265625" style="4" customWidth="1"/>
    <col min="9" max="12" width="0" style="4" hidden="1" customWidth="1"/>
    <col min="13" max="16384" width="8.7265625" style="4" hidden="1"/>
  </cols>
  <sheetData>
    <row r="1" spans="1:7" ht="14.5"/>
    <row r="2" spans="1:7" ht="15.5">
      <c r="B2" s="33" t="s">
        <v>23</v>
      </c>
      <c r="F2" s="83" t="s">
        <v>114</v>
      </c>
    </row>
    <row r="3" spans="1:7" ht="14.5">
      <c r="B3" s="20" t="str">
        <f>"Assume you are buying a car for $"&amp;G3&amp;"."</f>
        <v>Assume you are buying a car for $21000.</v>
      </c>
      <c r="F3" s="41" t="s">
        <v>206</v>
      </c>
      <c r="G3" s="67">
        <f>BackgroundCalcs!Q4</f>
        <v>21000</v>
      </c>
    </row>
    <row r="4" spans="1:7" ht="14.5">
      <c r="B4" s="20" t="s">
        <v>207</v>
      </c>
      <c r="F4" s="41" t="s">
        <v>208</v>
      </c>
      <c r="G4" s="66">
        <f>BackgroundCalcs!Q5</f>
        <v>7.0000000000000007E-2</v>
      </c>
    </row>
    <row r="5" spans="1:7" ht="14.5">
      <c r="B5" s="20" t="s">
        <v>209</v>
      </c>
      <c r="F5" s="41"/>
      <c r="G5" s="20"/>
    </row>
    <row r="6" spans="1:7" ht="14.5">
      <c r="B6" s="20" t="s">
        <v>211</v>
      </c>
      <c r="G6" s="20"/>
    </row>
    <row r="7" spans="1:7" ht="14.5">
      <c r="B7" s="20" t="s">
        <v>212</v>
      </c>
      <c r="F7" s="21"/>
      <c r="G7" s="47"/>
    </row>
    <row r="8" spans="1:7" ht="14.5">
      <c r="B8" s="20" t="s">
        <v>213</v>
      </c>
      <c r="F8" s="21"/>
      <c r="G8" s="47"/>
    </row>
    <row r="9" spans="1:7" ht="14.5">
      <c r="B9" s="20"/>
      <c r="F9" s="21"/>
      <c r="G9" s="47"/>
    </row>
    <row r="10" spans="1:7" ht="16" thickBot="1">
      <c r="B10" s="33" t="s">
        <v>113</v>
      </c>
      <c r="F10" s="38" t="s">
        <v>112</v>
      </c>
      <c r="G10" s="95" t="s">
        <v>83</v>
      </c>
    </row>
    <row r="11" spans="1:7" ht="15" thickBot="1">
      <c r="A11" s="4">
        <v>3</v>
      </c>
      <c r="B11" s="20" t="s">
        <v>214</v>
      </c>
      <c r="F11" s="40">
        <f>G4/12</f>
        <v>5.8333333333333336E-3</v>
      </c>
      <c r="G11" s="81">
        <f>BackgroundCalcs!AY4</f>
        <v>5.8333333333333336E-3</v>
      </c>
    </row>
    <row r="12" spans="1:7" ht="15" thickBot="1">
      <c r="A12" s="4">
        <v>4</v>
      </c>
      <c r="B12" s="20" t="s">
        <v>215</v>
      </c>
      <c r="E12" s="21"/>
      <c r="F12" s="5">
        <f>E19</f>
        <v>122.5</v>
      </c>
      <c r="G12" s="22">
        <f>BackgroundCalcs!AY5</f>
        <v>122.50000000000001</v>
      </c>
    </row>
    <row r="13" spans="1:7" ht="15" thickBot="1">
      <c r="A13" s="4">
        <v>5</v>
      </c>
      <c r="B13" s="20" t="s">
        <v>216</v>
      </c>
      <c r="E13" s="21"/>
      <c r="F13" s="5">
        <f>G19</f>
        <v>20706.674830652661</v>
      </c>
      <c r="G13" s="22">
        <f>BackgroundCalcs!AY6</f>
        <v>20706.674830652661</v>
      </c>
    </row>
    <row r="14" spans="1:7" ht="15" thickBot="1">
      <c r="A14" s="4">
        <v>6</v>
      </c>
      <c r="B14" s="20" t="s">
        <v>217</v>
      </c>
      <c r="E14" s="21"/>
      <c r="F14" s="5">
        <f>SUM(F19:F78)</f>
        <v>24949.510160840382</v>
      </c>
      <c r="G14" s="22">
        <f>BackgroundCalcs!AY7</f>
        <v>24949.510160840382</v>
      </c>
    </row>
    <row r="15" spans="1:7" ht="15" thickBot="1">
      <c r="A15" s="4">
        <v>7</v>
      </c>
      <c r="B15" s="20" t="s">
        <v>218</v>
      </c>
      <c r="E15" s="21"/>
      <c r="F15" s="5">
        <f>SUM(E19:E78)</f>
        <v>3949.5101608404239</v>
      </c>
      <c r="G15" s="22">
        <f>BackgroundCalcs!AY8</f>
        <v>3949.5101608404239</v>
      </c>
    </row>
    <row r="16" spans="1:7" ht="14.5"/>
    <row r="17" spans="3:7" ht="14.5"/>
    <row r="18" spans="3:7" ht="29">
      <c r="C18" s="34" t="s">
        <v>85</v>
      </c>
      <c r="D18" s="68" t="s">
        <v>219</v>
      </c>
      <c r="E18" s="68" t="s">
        <v>220</v>
      </c>
      <c r="F18" s="68" t="s">
        <v>221</v>
      </c>
      <c r="G18" s="68" t="s">
        <v>222</v>
      </c>
    </row>
    <row r="19" spans="3:7" ht="14.5">
      <c r="C19" s="6" cm="1">
        <f t="array" ref="C19:C78">_xlfn.SEQUENCE(60)</f>
        <v>1</v>
      </c>
      <c r="D19" s="7">
        <f>G3</f>
        <v>21000</v>
      </c>
      <c r="E19" s="7">
        <f>D19*$F$11</f>
        <v>122.5</v>
      </c>
      <c r="F19" s="7">
        <f>PMT($F$11,60,-$D$19)</f>
        <v>415.82516934734025</v>
      </c>
      <c r="G19" s="7">
        <f>D19+E19-F19</f>
        <v>20706.674830652661</v>
      </c>
    </row>
    <row r="20" spans="3:7" ht="14.5">
      <c r="C20" s="6">
        <v>2</v>
      </c>
      <c r="D20" s="7">
        <f>G19</f>
        <v>20706.674830652661</v>
      </c>
      <c r="E20" s="7">
        <f>D20*$F$11</f>
        <v>120.78893651214052</v>
      </c>
      <c r="F20" s="7">
        <f>PMT($F$11,60,-$D$19)</f>
        <v>415.82516934734025</v>
      </c>
      <c r="G20" s="7">
        <f>D20+E20-F20</f>
        <v>20411.638597817462</v>
      </c>
    </row>
    <row r="21" spans="3:7" ht="14.5">
      <c r="C21" s="6">
        <v>3</v>
      </c>
      <c r="D21" s="7">
        <f t="shared" ref="D21:D78" si="0">G20</f>
        <v>20411.638597817462</v>
      </c>
      <c r="E21" s="7">
        <f t="shared" ref="E21:E78" si="1">D21*$F$11</f>
        <v>119.06789182060187</v>
      </c>
      <c r="F21" s="7">
        <f t="shared" ref="F21:F78" si="2">PMT($F$11,60,-$D$19)</f>
        <v>415.82516934734025</v>
      </c>
      <c r="G21" s="7">
        <f t="shared" ref="G21:G78" si="3">D21+E21-F21</f>
        <v>20114.881320290726</v>
      </c>
    </row>
    <row r="22" spans="3:7" ht="14.5">
      <c r="C22" s="6">
        <v>4</v>
      </c>
      <c r="D22" s="7">
        <f t="shared" si="0"/>
        <v>20114.881320290726</v>
      </c>
      <c r="E22" s="7">
        <f t="shared" si="1"/>
        <v>117.3368077016959</v>
      </c>
      <c r="F22" s="7">
        <f t="shared" si="2"/>
        <v>415.82516934734025</v>
      </c>
      <c r="G22" s="7">
        <f t="shared" si="3"/>
        <v>19816.392958645083</v>
      </c>
    </row>
    <row r="23" spans="3:7" ht="14.5">
      <c r="C23" s="6">
        <v>5</v>
      </c>
      <c r="D23" s="7">
        <f t="shared" si="0"/>
        <v>19816.392958645083</v>
      </c>
      <c r="E23" s="7">
        <f t="shared" si="1"/>
        <v>115.59562559209633</v>
      </c>
      <c r="F23" s="7">
        <f t="shared" si="2"/>
        <v>415.82516934734025</v>
      </c>
      <c r="G23" s="7">
        <f t="shared" si="3"/>
        <v>19516.163414889841</v>
      </c>
    </row>
    <row r="24" spans="3:7" ht="14.5">
      <c r="C24" s="6">
        <v>6</v>
      </c>
      <c r="D24" s="7">
        <f t="shared" si="0"/>
        <v>19516.163414889841</v>
      </c>
      <c r="E24" s="7">
        <f t="shared" si="1"/>
        <v>113.84428658685741</v>
      </c>
      <c r="F24" s="7">
        <f t="shared" si="2"/>
        <v>415.82516934734025</v>
      </c>
      <c r="G24" s="7">
        <f t="shared" si="3"/>
        <v>19214.182532129358</v>
      </c>
    </row>
    <row r="25" spans="3:7" ht="14.5">
      <c r="C25" s="6">
        <v>7</v>
      </c>
      <c r="D25" s="7">
        <f t="shared" si="0"/>
        <v>19214.182532129358</v>
      </c>
      <c r="E25" s="7">
        <f t="shared" si="1"/>
        <v>112.08273143742126</v>
      </c>
      <c r="F25" s="7">
        <f t="shared" si="2"/>
        <v>415.82516934734025</v>
      </c>
      <c r="G25" s="7">
        <f t="shared" si="3"/>
        <v>18910.440094219441</v>
      </c>
    </row>
    <row r="26" spans="3:7" ht="14.5">
      <c r="C26" s="6">
        <v>8</v>
      </c>
      <c r="D26" s="7">
        <f t="shared" si="0"/>
        <v>18910.440094219441</v>
      </c>
      <c r="E26" s="7">
        <f t="shared" si="1"/>
        <v>110.31090054961341</v>
      </c>
      <c r="F26" s="7">
        <f t="shared" si="2"/>
        <v>415.82516934734025</v>
      </c>
      <c r="G26" s="7">
        <f t="shared" si="3"/>
        <v>18604.925825421713</v>
      </c>
    </row>
    <row r="27" spans="3:7" ht="14.5">
      <c r="C27" s="6">
        <v>9</v>
      </c>
      <c r="D27" s="7">
        <f t="shared" si="0"/>
        <v>18604.925825421713</v>
      </c>
      <c r="E27" s="7">
        <f t="shared" si="1"/>
        <v>108.52873398162666</v>
      </c>
      <c r="F27" s="7">
        <f t="shared" si="2"/>
        <v>415.82516934734025</v>
      </c>
      <c r="G27" s="7">
        <f t="shared" si="3"/>
        <v>18297.629390056001</v>
      </c>
    </row>
    <row r="28" spans="3:7" ht="14.5">
      <c r="C28" s="6">
        <v>10</v>
      </c>
      <c r="D28" s="7">
        <f t="shared" si="0"/>
        <v>18297.629390056001</v>
      </c>
      <c r="E28" s="7">
        <f t="shared" si="1"/>
        <v>106.73617144199335</v>
      </c>
      <c r="F28" s="7">
        <f t="shared" si="2"/>
        <v>415.82516934734025</v>
      </c>
      <c r="G28" s="7">
        <f t="shared" si="3"/>
        <v>17988.540392150655</v>
      </c>
    </row>
    <row r="29" spans="3:7" ht="14.5">
      <c r="C29" s="6">
        <v>11</v>
      </c>
      <c r="D29" s="7">
        <f t="shared" si="0"/>
        <v>17988.540392150655</v>
      </c>
      <c r="E29" s="7">
        <f t="shared" si="1"/>
        <v>104.9331522875455</v>
      </c>
      <c r="F29" s="7">
        <f t="shared" si="2"/>
        <v>415.82516934734025</v>
      </c>
      <c r="G29" s="7">
        <f t="shared" si="3"/>
        <v>17677.648375090863</v>
      </c>
    </row>
    <row r="30" spans="3:7" ht="14.5">
      <c r="C30" s="6">
        <v>12</v>
      </c>
      <c r="D30" s="7">
        <f t="shared" si="0"/>
        <v>17677.648375090863</v>
      </c>
      <c r="E30" s="7">
        <f t="shared" si="1"/>
        <v>103.11961552136337</v>
      </c>
      <c r="F30" s="7">
        <f t="shared" si="2"/>
        <v>415.82516934734025</v>
      </c>
      <c r="G30" s="7">
        <f t="shared" si="3"/>
        <v>17364.942821264885</v>
      </c>
    </row>
    <row r="31" spans="3:7" ht="14.5">
      <c r="C31" s="6">
        <v>13</v>
      </c>
      <c r="D31" s="7">
        <f t="shared" si="0"/>
        <v>17364.942821264885</v>
      </c>
      <c r="E31" s="7">
        <f t="shared" si="1"/>
        <v>101.29549979071183</v>
      </c>
      <c r="F31" s="7">
        <f t="shared" si="2"/>
        <v>415.82516934734025</v>
      </c>
      <c r="G31" s="7">
        <f t="shared" si="3"/>
        <v>17050.413151708257</v>
      </c>
    </row>
    <row r="32" spans="3:7" ht="14.5">
      <c r="C32" s="6">
        <v>14</v>
      </c>
      <c r="D32" s="7">
        <f t="shared" si="0"/>
        <v>17050.413151708257</v>
      </c>
      <c r="E32" s="7">
        <f t="shared" si="1"/>
        <v>99.460743384964843</v>
      </c>
      <c r="F32" s="7">
        <f t="shared" si="2"/>
        <v>415.82516934734025</v>
      </c>
      <c r="G32" s="7">
        <f t="shared" si="3"/>
        <v>16734.048725745881</v>
      </c>
    </row>
    <row r="33" spans="3:7" ht="14.5">
      <c r="C33" s="6">
        <v>15</v>
      </c>
      <c r="D33" s="7">
        <f t="shared" si="0"/>
        <v>16734.048725745881</v>
      </c>
      <c r="E33" s="7">
        <f t="shared" si="1"/>
        <v>97.615284233517642</v>
      </c>
      <c r="F33" s="7">
        <f t="shared" si="2"/>
        <v>415.82516934734025</v>
      </c>
      <c r="G33" s="7">
        <f t="shared" si="3"/>
        <v>16415.838840632059</v>
      </c>
    </row>
    <row r="34" spans="3:7" ht="14.5">
      <c r="C34" s="6">
        <v>16</v>
      </c>
      <c r="D34" s="7">
        <f t="shared" si="0"/>
        <v>16415.838840632059</v>
      </c>
      <c r="E34" s="7">
        <f t="shared" si="1"/>
        <v>95.759059903687017</v>
      </c>
      <c r="F34" s="7">
        <f t="shared" si="2"/>
        <v>415.82516934734025</v>
      </c>
      <c r="G34" s="7">
        <f t="shared" si="3"/>
        <v>16095.772731188408</v>
      </c>
    </row>
    <row r="35" spans="3:7" ht="14.5">
      <c r="C35" s="6">
        <v>17</v>
      </c>
      <c r="D35" s="7">
        <f t="shared" si="0"/>
        <v>16095.772731188408</v>
      </c>
      <c r="E35" s="7">
        <f t="shared" si="1"/>
        <v>93.892007598599051</v>
      </c>
      <c r="F35" s="7">
        <f t="shared" si="2"/>
        <v>415.82516934734025</v>
      </c>
      <c r="G35" s="7">
        <f t="shared" si="3"/>
        <v>15773.839569439668</v>
      </c>
    </row>
    <row r="36" spans="3:7" ht="14.5">
      <c r="C36" s="6">
        <v>18</v>
      </c>
      <c r="D36" s="7">
        <f t="shared" si="0"/>
        <v>15773.839569439668</v>
      </c>
      <c r="E36" s="7">
        <f t="shared" si="1"/>
        <v>92.01406415506473</v>
      </c>
      <c r="F36" s="7">
        <f t="shared" si="2"/>
        <v>415.82516934734025</v>
      </c>
      <c r="G36" s="7">
        <f t="shared" si="3"/>
        <v>15450.028464247393</v>
      </c>
    </row>
    <row r="37" spans="3:7" ht="14.5">
      <c r="C37" s="6">
        <v>19</v>
      </c>
      <c r="D37" s="7">
        <f t="shared" si="0"/>
        <v>15450.028464247393</v>
      </c>
      <c r="E37" s="7">
        <f t="shared" si="1"/>
        <v>90.125166041443123</v>
      </c>
      <c r="F37" s="7">
        <f t="shared" si="2"/>
        <v>415.82516934734025</v>
      </c>
      <c r="G37" s="7">
        <f t="shared" si="3"/>
        <v>15124.328460941497</v>
      </c>
    </row>
    <row r="38" spans="3:7" ht="14.5">
      <c r="C38" s="6">
        <v>20</v>
      </c>
      <c r="D38" s="7">
        <f t="shared" si="0"/>
        <v>15124.328460941497</v>
      </c>
      <c r="E38" s="7">
        <f t="shared" si="1"/>
        <v>88.225249355492068</v>
      </c>
      <c r="F38" s="7">
        <f t="shared" si="2"/>
        <v>415.82516934734025</v>
      </c>
      <c r="G38" s="7">
        <f t="shared" si="3"/>
        <v>14796.728540949649</v>
      </c>
    </row>
    <row r="39" spans="3:7" ht="14.5">
      <c r="C39" s="6">
        <v>21</v>
      </c>
      <c r="D39" s="7">
        <f t="shared" si="0"/>
        <v>14796.728540949649</v>
      </c>
      <c r="E39" s="7">
        <f t="shared" si="1"/>
        <v>86.314249822206293</v>
      </c>
      <c r="F39" s="7">
        <f t="shared" si="2"/>
        <v>415.82516934734025</v>
      </c>
      <c r="G39" s="7">
        <f t="shared" si="3"/>
        <v>14467.217621424516</v>
      </c>
    </row>
    <row r="40" spans="3:7" ht="14.5">
      <c r="C40" s="6">
        <v>22</v>
      </c>
      <c r="D40" s="7">
        <f t="shared" si="0"/>
        <v>14467.217621424516</v>
      </c>
      <c r="E40" s="7">
        <f t="shared" si="1"/>
        <v>84.392102791643012</v>
      </c>
      <c r="F40" s="7">
        <f t="shared" si="2"/>
        <v>415.82516934734025</v>
      </c>
      <c r="G40" s="7">
        <f t="shared" si="3"/>
        <v>14135.784554868818</v>
      </c>
    </row>
    <row r="41" spans="3:7" ht="14.5">
      <c r="C41" s="6">
        <v>23</v>
      </c>
      <c r="D41" s="7">
        <f t="shared" si="0"/>
        <v>14135.784554868818</v>
      </c>
      <c r="E41" s="7">
        <f t="shared" si="1"/>
        <v>82.458743236734776</v>
      </c>
      <c r="F41" s="7">
        <f t="shared" si="2"/>
        <v>415.82516934734025</v>
      </c>
      <c r="G41" s="7">
        <f t="shared" si="3"/>
        <v>13802.418128758214</v>
      </c>
    </row>
    <row r="42" spans="3:7" ht="14.5">
      <c r="C42" s="6">
        <v>24</v>
      </c>
      <c r="D42" s="7">
        <f t="shared" si="0"/>
        <v>13802.418128758214</v>
      </c>
      <c r="E42" s="7">
        <f t="shared" si="1"/>
        <v>80.514105751089588</v>
      </c>
      <c r="F42" s="7">
        <f t="shared" si="2"/>
        <v>415.82516934734025</v>
      </c>
      <c r="G42" s="7">
        <f t="shared" si="3"/>
        <v>13467.107065161965</v>
      </c>
    </row>
    <row r="43" spans="3:7" ht="14.5">
      <c r="C43" s="6">
        <v>25</v>
      </c>
      <c r="D43" s="7">
        <f t="shared" si="0"/>
        <v>13467.107065161965</v>
      </c>
      <c r="E43" s="7">
        <f t="shared" si="1"/>
        <v>78.558124546778132</v>
      </c>
      <c r="F43" s="7">
        <f t="shared" si="2"/>
        <v>415.82516934734025</v>
      </c>
      <c r="G43" s="7">
        <f t="shared" si="3"/>
        <v>13129.840020361404</v>
      </c>
    </row>
    <row r="44" spans="3:7" ht="14.5">
      <c r="C44" s="6">
        <v>26</v>
      </c>
      <c r="D44" s="7">
        <f t="shared" si="0"/>
        <v>13129.840020361404</v>
      </c>
      <c r="E44" s="7">
        <f t="shared" si="1"/>
        <v>76.590733452108196</v>
      </c>
      <c r="F44" s="7">
        <f t="shared" si="2"/>
        <v>415.82516934734025</v>
      </c>
      <c r="G44" s="7">
        <f t="shared" si="3"/>
        <v>12790.605584466173</v>
      </c>
    </row>
    <row r="45" spans="3:7" ht="14.5">
      <c r="C45" s="6">
        <v>27</v>
      </c>
      <c r="D45" s="7">
        <f t="shared" si="0"/>
        <v>12790.605584466173</v>
      </c>
      <c r="E45" s="7">
        <f t="shared" si="1"/>
        <v>74.611865909386012</v>
      </c>
      <c r="F45" s="7">
        <f t="shared" si="2"/>
        <v>415.82516934734025</v>
      </c>
      <c r="G45" s="7">
        <f t="shared" si="3"/>
        <v>12449.39228102822</v>
      </c>
    </row>
    <row r="46" spans="3:7" ht="14.5">
      <c r="C46" s="6">
        <v>28</v>
      </c>
      <c r="D46" s="7">
        <f t="shared" si="0"/>
        <v>12449.39228102822</v>
      </c>
      <c r="E46" s="7">
        <f t="shared" si="1"/>
        <v>72.621454972664623</v>
      </c>
      <c r="F46" s="7">
        <f t="shared" si="2"/>
        <v>415.82516934734025</v>
      </c>
      <c r="G46" s="7">
        <f t="shared" si="3"/>
        <v>12106.188566653545</v>
      </c>
    </row>
    <row r="47" spans="3:7" ht="14.5">
      <c r="C47" s="6">
        <v>29</v>
      </c>
      <c r="D47" s="7">
        <f t="shared" si="0"/>
        <v>12106.188566653545</v>
      </c>
      <c r="E47" s="7">
        <f t="shared" si="1"/>
        <v>70.619433305479021</v>
      </c>
      <c r="F47" s="7">
        <f t="shared" si="2"/>
        <v>415.82516934734025</v>
      </c>
      <c r="G47" s="7">
        <f t="shared" si="3"/>
        <v>11760.982830611685</v>
      </c>
    </row>
    <row r="48" spans="3:7" ht="14.5">
      <c r="C48" s="6">
        <v>30</v>
      </c>
      <c r="D48" s="7">
        <f t="shared" si="0"/>
        <v>11760.982830611685</v>
      </c>
      <c r="E48" s="7">
        <f t="shared" si="1"/>
        <v>68.605733178568173</v>
      </c>
      <c r="F48" s="7">
        <f t="shared" si="2"/>
        <v>415.82516934734025</v>
      </c>
      <c r="G48" s="7">
        <f t="shared" si="3"/>
        <v>11413.763394442914</v>
      </c>
    </row>
    <row r="49" spans="3:7" ht="14.5">
      <c r="C49" s="6">
        <v>31</v>
      </c>
      <c r="D49" s="7">
        <f t="shared" si="0"/>
        <v>11413.763394442914</v>
      </c>
      <c r="E49" s="7">
        <f t="shared" si="1"/>
        <v>66.580286467583676</v>
      </c>
      <c r="F49" s="7">
        <f t="shared" si="2"/>
        <v>415.82516934734025</v>
      </c>
      <c r="G49" s="7">
        <f t="shared" si="3"/>
        <v>11064.518511563159</v>
      </c>
    </row>
    <row r="50" spans="3:7" ht="14.5">
      <c r="C50" s="6">
        <v>32</v>
      </c>
      <c r="D50" s="7">
        <f t="shared" si="0"/>
        <v>11064.518511563159</v>
      </c>
      <c r="E50" s="7">
        <f t="shared" si="1"/>
        <v>64.5430246507851</v>
      </c>
      <c r="F50" s="7">
        <f t="shared" si="2"/>
        <v>415.82516934734025</v>
      </c>
      <c r="G50" s="7">
        <f t="shared" si="3"/>
        <v>10713.236366866606</v>
      </c>
    </row>
    <row r="51" spans="3:7" ht="14.5">
      <c r="C51" s="6">
        <v>33</v>
      </c>
      <c r="D51" s="7">
        <f t="shared" si="0"/>
        <v>10713.236366866606</v>
      </c>
      <c r="E51" s="7">
        <f t="shared" si="1"/>
        <v>62.493878806721867</v>
      </c>
      <c r="F51" s="7">
        <f t="shared" si="2"/>
        <v>415.82516934734025</v>
      </c>
      <c r="G51" s="7">
        <f t="shared" si="3"/>
        <v>10359.905076325987</v>
      </c>
    </row>
    <row r="52" spans="3:7" ht="14.5">
      <c r="C52" s="6">
        <v>34</v>
      </c>
      <c r="D52" s="7">
        <f t="shared" si="0"/>
        <v>10359.905076325987</v>
      </c>
      <c r="E52" s="7">
        <f t="shared" si="1"/>
        <v>60.432779611901594</v>
      </c>
      <c r="F52" s="7">
        <f t="shared" si="2"/>
        <v>415.82516934734025</v>
      </c>
      <c r="G52" s="7">
        <f t="shared" si="3"/>
        <v>10004.512686590549</v>
      </c>
    </row>
    <row r="53" spans="3:7" ht="14.5">
      <c r="C53" s="6">
        <v>35</v>
      </c>
      <c r="D53" s="7">
        <f t="shared" si="0"/>
        <v>10004.512686590549</v>
      </c>
      <c r="E53" s="7">
        <f t="shared" si="1"/>
        <v>58.359657338444876</v>
      </c>
      <c r="F53" s="7">
        <f t="shared" si="2"/>
        <v>415.82516934734025</v>
      </c>
      <c r="G53" s="7">
        <f t="shared" si="3"/>
        <v>9647.0471745816558</v>
      </c>
    </row>
    <row r="54" spans="3:7" ht="14.5">
      <c r="C54" s="6">
        <v>36</v>
      </c>
      <c r="D54" s="7">
        <f t="shared" si="0"/>
        <v>9647.0471745816558</v>
      </c>
      <c r="E54" s="7">
        <f t="shared" si="1"/>
        <v>56.27444185172633</v>
      </c>
      <c r="F54" s="7">
        <f t="shared" si="2"/>
        <v>415.82516934734025</v>
      </c>
      <c r="G54" s="7">
        <f t="shared" si="3"/>
        <v>9287.4964470860432</v>
      </c>
    </row>
    <row r="55" spans="3:7" ht="14.5">
      <c r="C55" s="6">
        <v>37</v>
      </c>
      <c r="D55" s="7">
        <f t="shared" si="0"/>
        <v>9287.4964470860432</v>
      </c>
      <c r="E55" s="7">
        <f t="shared" si="1"/>
        <v>54.177062608001918</v>
      </c>
      <c r="F55" s="7">
        <f t="shared" si="2"/>
        <v>415.82516934734025</v>
      </c>
      <c r="G55" s="7">
        <f t="shared" si="3"/>
        <v>8925.8483403467053</v>
      </c>
    </row>
    <row r="56" spans="3:7" ht="14.5">
      <c r="C56" s="6">
        <v>38</v>
      </c>
      <c r="D56" s="7">
        <f t="shared" si="0"/>
        <v>8925.8483403467053</v>
      </c>
      <c r="E56" s="7">
        <f t="shared" si="1"/>
        <v>52.067448652022449</v>
      </c>
      <c r="F56" s="7">
        <f t="shared" si="2"/>
        <v>415.82516934734025</v>
      </c>
      <c r="G56" s="7">
        <f t="shared" si="3"/>
        <v>8562.0906196513879</v>
      </c>
    </row>
    <row r="57" spans="3:7" ht="14.5">
      <c r="C57" s="6">
        <v>39</v>
      </c>
      <c r="D57" s="7">
        <f t="shared" si="0"/>
        <v>8562.0906196513879</v>
      </c>
      <c r="E57" s="7">
        <f t="shared" si="1"/>
        <v>49.945528614633098</v>
      </c>
      <c r="F57" s="7">
        <f t="shared" si="2"/>
        <v>415.82516934734025</v>
      </c>
      <c r="G57" s="7">
        <f t="shared" si="3"/>
        <v>8196.2109789186816</v>
      </c>
    </row>
    <row r="58" spans="3:7" ht="14.5">
      <c r="C58" s="6">
        <v>40</v>
      </c>
      <c r="D58" s="7">
        <f t="shared" si="0"/>
        <v>8196.2109789186816</v>
      </c>
      <c r="E58" s="7">
        <f t="shared" si="1"/>
        <v>47.811230710358977</v>
      </c>
      <c r="F58" s="7">
        <f t="shared" si="2"/>
        <v>415.82516934734025</v>
      </c>
      <c r="G58" s="7">
        <f t="shared" si="3"/>
        <v>7828.1970402816996</v>
      </c>
    </row>
    <row r="59" spans="3:7" ht="14.5">
      <c r="C59" s="6">
        <v>41</v>
      </c>
      <c r="D59" s="7">
        <f t="shared" si="0"/>
        <v>7828.1970402816996</v>
      </c>
      <c r="E59" s="7">
        <f t="shared" si="1"/>
        <v>45.664482734976581</v>
      </c>
      <c r="F59" s="7">
        <f t="shared" si="2"/>
        <v>415.82516934734025</v>
      </c>
      <c r="G59" s="7">
        <f t="shared" si="3"/>
        <v>7458.0363536693358</v>
      </c>
    </row>
    <row r="60" spans="3:7" ht="14.5">
      <c r="C60" s="6">
        <v>42</v>
      </c>
      <c r="D60" s="7">
        <f t="shared" si="0"/>
        <v>7458.0363536693358</v>
      </c>
      <c r="E60" s="7">
        <f t="shared" si="1"/>
        <v>43.505212063071127</v>
      </c>
      <c r="F60" s="7">
        <f t="shared" si="2"/>
        <v>415.82516934734025</v>
      </c>
      <c r="G60" s="7">
        <f t="shared" si="3"/>
        <v>7085.7163963850662</v>
      </c>
    </row>
    <row r="61" spans="3:7" ht="14.5">
      <c r="C61" s="6">
        <v>43</v>
      </c>
      <c r="D61" s="7">
        <f t="shared" si="0"/>
        <v>7085.7163963850662</v>
      </c>
      <c r="E61" s="7">
        <f t="shared" si="1"/>
        <v>41.333345645579556</v>
      </c>
      <c r="F61" s="7">
        <f t="shared" si="2"/>
        <v>415.82516934734025</v>
      </c>
      <c r="G61" s="7">
        <f t="shared" si="3"/>
        <v>6711.2245726833053</v>
      </c>
    </row>
    <row r="62" spans="3:7" ht="14.5">
      <c r="C62" s="6">
        <v>44</v>
      </c>
      <c r="D62" s="7">
        <f t="shared" si="0"/>
        <v>6711.2245726833053</v>
      </c>
      <c r="E62" s="7">
        <f t="shared" si="1"/>
        <v>39.148810007319284</v>
      </c>
      <c r="F62" s="7">
        <f t="shared" si="2"/>
        <v>415.82516934734025</v>
      </c>
      <c r="G62" s="7">
        <f t="shared" si="3"/>
        <v>6334.5482133432843</v>
      </c>
    </row>
    <row r="63" spans="3:7" ht="14.5">
      <c r="C63" s="6">
        <v>45</v>
      </c>
      <c r="D63" s="7">
        <f t="shared" si="0"/>
        <v>6334.5482133432843</v>
      </c>
      <c r="E63" s="7">
        <f t="shared" si="1"/>
        <v>36.95153124450249</v>
      </c>
      <c r="F63" s="7">
        <f t="shared" si="2"/>
        <v>415.82516934734025</v>
      </c>
      <c r="G63" s="7">
        <f t="shared" si="3"/>
        <v>5955.6745752404468</v>
      </c>
    </row>
    <row r="64" spans="3:7" ht="14.5">
      <c r="C64" s="6">
        <v>46</v>
      </c>
      <c r="D64" s="7">
        <f t="shared" si="0"/>
        <v>5955.6745752404468</v>
      </c>
      <c r="E64" s="7">
        <f t="shared" si="1"/>
        <v>34.74143502223594</v>
      </c>
      <c r="F64" s="7">
        <f t="shared" si="2"/>
        <v>415.82516934734025</v>
      </c>
      <c r="G64" s="7">
        <f t="shared" si="3"/>
        <v>5574.5908409153426</v>
      </c>
    </row>
    <row r="65" spans="3:7" ht="14.5">
      <c r="C65" s="6">
        <v>47</v>
      </c>
      <c r="D65" s="7">
        <f t="shared" si="0"/>
        <v>5574.5908409153426</v>
      </c>
      <c r="E65" s="7">
        <f t="shared" si="1"/>
        <v>32.51844657200617</v>
      </c>
      <c r="F65" s="7">
        <f t="shared" si="2"/>
        <v>415.82516934734025</v>
      </c>
      <c r="G65" s="7">
        <f t="shared" si="3"/>
        <v>5191.2841181400081</v>
      </c>
    </row>
    <row r="66" spans="3:7" ht="14.5">
      <c r="C66" s="6">
        <v>48</v>
      </c>
      <c r="D66" s="7">
        <f t="shared" si="0"/>
        <v>5191.2841181400081</v>
      </c>
      <c r="E66" s="7">
        <f t="shared" si="1"/>
        <v>30.282490689150048</v>
      </c>
      <c r="F66" s="7">
        <f t="shared" si="2"/>
        <v>415.82516934734025</v>
      </c>
      <c r="G66" s="7">
        <f t="shared" si="3"/>
        <v>4805.7414394818179</v>
      </c>
    </row>
    <row r="67" spans="3:7" ht="14.5">
      <c r="C67" s="6">
        <v>49</v>
      </c>
      <c r="D67" s="7">
        <f t="shared" si="0"/>
        <v>4805.7414394818179</v>
      </c>
      <c r="E67" s="7">
        <f t="shared" si="1"/>
        <v>28.033491730310605</v>
      </c>
      <c r="F67" s="7">
        <f t="shared" si="2"/>
        <v>415.82516934734025</v>
      </c>
      <c r="G67" s="7">
        <f t="shared" si="3"/>
        <v>4417.9497618647883</v>
      </c>
    </row>
    <row r="68" spans="3:7" ht="14.5">
      <c r="C68" s="6">
        <v>50</v>
      </c>
      <c r="D68" s="7">
        <f t="shared" si="0"/>
        <v>4417.9497618647883</v>
      </c>
      <c r="E68" s="7">
        <f t="shared" si="1"/>
        <v>25.771373610877934</v>
      </c>
      <c r="F68" s="7">
        <f t="shared" si="2"/>
        <v>415.82516934734025</v>
      </c>
      <c r="G68" s="7">
        <f t="shared" si="3"/>
        <v>4027.8959661283261</v>
      </c>
    </row>
    <row r="69" spans="3:7" ht="14.5">
      <c r="C69" s="6">
        <v>51</v>
      </c>
      <c r="D69" s="7">
        <f t="shared" si="0"/>
        <v>4027.8959661283261</v>
      </c>
      <c r="E69" s="7">
        <f t="shared" si="1"/>
        <v>23.496059802415235</v>
      </c>
      <c r="F69" s="7">
        <f t="shared" si="2"/>
        <v>415.82516934734025</v>
      </c>
      <c r="G69" s="7">
        <f t="shared" si="3"/>
        <v>3635.5668565834012</v>
      </c>
    </row>
    <row r="70" spans="3:7" ht="14.5">
      <c r="C70" s="6">
        <v>52</v>
      </c>
      <c r="D70" s="7">
        <f t="shared" si="0"/>
        <v>3635.5668565834012</v>
      </c>
      <c r="E70" s="7">
        <f t="shared" si="1"/>
        <v>21.207473330069842</v>
      </c>
      <c r="F70" s="7">
        <f t="shared" si="2"/>
        <v>415.82516934734025</v>
      </c>
      <c r="G70" s="7">
        <f t="shared" si="3"/>
        <v>3240.9491605661306</v>
      </c>
    </row>
    <row r="71" spans="3:7" ht="14.5">
      <c r="C71" s="6">
        <v>53</v>
      </c>
      <c r="D71" s="7">
        <f t="shared" si="0"/>
        <v>3240.9491605661306</v>
      </c>
      <c r="E71" s="7">
        <f t="shared" si="1"/>
        <v>18.905536769969096</v>
      </c>
      <c r="F71" s="7">
        <f t="shared" si="2"/>
        <v>415.82516934734025</v>
      </c>
      <c r="G71" s="7">
        <f t="shared" si="3"/>
        <v>2844.0295279887591</v>
      </c>
    </row>
    <row r="72" spans="3:7" ht="14.5">
      <c r="C72" s="6">
        <v>54</v>
      </c>
      <c r="D72" s="7">
        <f t="shared" si="0"/>
        <v>2844.0295279887591</v>
      </c>
      <c r="E72" s="7">
        <f t="shared" si="1"/>
        <v>16.590172246601096</v>
      </c>
      <c r="F72" s="7">
        <f t="shared" si="2"/>
        <v>415.82516934734025</v>
      </c>
      <c r="G72" s="7">
        <f t="shared" si="3"/>
        <v>2444.7945308880198</v>
      </c>
    </row>
    <row r="73" spans="3:7" ht="14.5">
      <c r="C73" s="6">
        <v>55</v>
      </c>
      <c r="D73" s="7">
        <f t="shared" si="0"/>
        <v>2444.7945308880198</v>
      </c>
      <c r="E73" s="7">
        <f t="shared" si="1"/>
        <v>14.261301430180117</v>
      </c>
      <c r="F73" s="7">
        <f t="shared" si="2"/>
        <v>415.82516934734025</v>
      </c>
      <c r="G73" s="7">
        <f t="shared" si="3"/>
        <v>2043.2306629708596</v>
      </c>
    </row>
    <row r="74" spans="3:7" ht="14.5">
      <c r="C74" s="6">
        <v>56</v>
      </c>
      <c r="D74" s="7">
        <f t="shared" si="0"/>
        <v>2043.2306629708596</v>
      </c>
      <c r="E74" s="7">
        <f t="shared" si="1"/>
        <v>11.918845533996681</v>
      </c>
      <c r="F74" s="7">
        <f t="shared" si="2"/>
        <v>415.82516934734025</v>
      </c>
      <c r="G74" s="7">
        <f t="shared" si="3"/>
        <v>1639.3243391575161</v>
      </c>
    </row>
    <row r="75" spans="3:7" ht="14.5">
      <c r="C75" s="6">
        <v>57</v>
      </c>
      <c r="D75" s="7">
        <f t="shared" si="0"/>
        <v>1639.3243391575161</v>
      </c>
      <c r="E75" s="7">
        <f t="shared" si="1"/>
        <v>9.5627253117521782</v>
      </c>
      <c r="F75" s="7">
        <f t="shared" si="2"/>
        <v>415.82516934734025</v>
      </c>
      <c r="G75" s="7">
        <f t="shared" si="3"/>
        <v>1233.061895121928</v>
      </c>
    </row>
    <row r="76" spans="3:7" ht="14.5">
      <c r="C76" s="6">
        <v>58</v>
      </c>
      <c r="D76" s="7">
        <f t="shared" si="0"/>
        <v>1233.061895121928</v>
      </c>
      <c r="E76" s="7">
        <f t="shared" si="1"/>
        <v>7.1928610548779135</v>
      </c>
      <c r="F76" s="7">
        <f t="shared" si="2"/>
        <v>415.82516934734025</v>
      </c>
      <c r="G76" s="7">
        <f t="shared" si="3"/>
        <v>824.42958682946573</v>
      </c>
    </row>
    <row r="77" spans="3:7" ht="14.5">
      <c r="C77" s="6">
        <v>59</v>
      </c>
      <c r="D77" s="7">
        <f t="shared" si="0"/>
        <v>824.42958682946573</v>
      </c>
      <c r="E77" s="7">
        <f t="shared" si="1"/>
        <v>4.8091725898385507</v>
      </c>
      <c r="F77" s="7">
        <f t="shared" si="2"/>
        <v>415.82516934734025</v>
      </c>
      <c r="G77" s="7">
        <f t="shared" si="3"/>
        <v>413.41359007196405</v>
      </c>
    </row>
    <row r="78" spans="3:7" ht="14.5">
      <c r="C78" s="6">
        <v>60</v>
      </c>
      <c r="D78" s="7">
        <f t="shared" si="0"/>
        <v>413.41359007196405</v>
      </c>
      <c r="E78" s="7">
        <f t="shared" si="1"/>
        <v>2.4115792754197902</v>
      </c>
      <c r="F78" s="7">
        <f t="shared" si="2"/>
        <v>415.82516934734025</v>
      </c>
      <c r="G78" s="7">
        <f t="shared" si="3"/>
        <v>4.3598902266239747E-11</v>
      </c>
    </row>
    <row r="79" spans="3:7" ht="14.5"/>
    <row r="80" spans="3:7" ht="14.9" hidden="1" customHeight="1">
      <c r="C80" s="6"/>
      <c r="D80" s="6"/>
      <c r="E80" s="6"/>
      <c r="F80" s="6"/>
      <c r="G80" s="6"/>
    </row>
    <row r="1000" spans="648:648" ht="15.5">
      <c r="XX1000" s="104">
        <v>56981</v>
      </c>
    </row>
  </sheetData>
  <sheetProtection algorithmName="SHA-512" hashValue="p68j39cod4WhayGW7G3cnBlcWLpKMWmvAAC9lKhgo0oGomrBb9IHc8XCNqsv2webFB7jMMVbP2YwoTjuCyekbg==" saltValue="2Q0mOdbbZl+Kx8Dx4xmzKQ==" spinCount="100000" sheet="1" objects="1" scenarios="1" formatCells="0"/>
  <conditionalFormatting sqref="G11:G15">
    <cfRule type="expression" dxfId="9" priority="1">
      <formula>IFERROR(CheckAnswer(F11,G11),FALSE)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5A884-D809-4AEB-9433-143B48CEF1B3}">
  <sheetPr codeName="Sheet6">
    <tabColor rgb="FF0070C0"/>
  </sheetPr>
  <dimension ref="A1:XX1000"/>
  <sheetViews>
    <sheetView topLeftCell="B15" zoomScale="115" zoomScaleNormal="115" workbookViewId="0">
      <selection activeCell="E14" sqref="E14"/>
    </sheetView>
  </sheetViews>
  <sheetFormatPr defaultColWidth="0" defaultRowHeight="0" customHeight="1" zeroHeight="1"/>
  <cols>
    <col min="1" max="1" width="8.7265625" style="4" customWidth="1"/>
    <col min="2" max="2" width="23.7265625" style="4" customWidth="1"/>
    <col min="3" max="9" width="15.7265625" style="4" customWidth="1"/>
    <col min="10" max="10" width="8.7265625" style="4" customWidth="1"/>
    <col min="11" max="15" width="0" style="4" hidden="1" customWidth="1"/>
    <col min="16" max="16384" width="8.7265625" style="4" hidden="1"/>
  </cols>
  <sheetData>
    <row r="1" spans="1:9" ht="14.5"/>
    <row r="2" spans="1:9" ht="15.5">
      <c r="B2" s="33" t="s">
        <v>23</v>
      </c>
      <c r="E2" s="83" t="s">
        <v>114</v>
      </c>
      <c r="F2" s="20"/>
      <c r="H2" s="33" t="s">
        <v>223</v>
      </c>
      <c r="I2" s="20"/>
    </row>
    <row r="3" spans="1:9" ht="14.5">
      <c r="B3" s="20" t="s">
        <v>224</v>
      </c>
      <c r="E3" s="41" t="s">
        <v>225</v>
      </c>
      <c r="F3" s="67">
        <f>BackgroundCalcs!Q7</f>
        <v>1300</v>
      </c>
      <c r="H3" s="96"/>
      <c r="I3" s="97" t="s">
        <v>226</v>
      </c>
    </row>
    <row r="4" spans="1:9" ht="14.5">
      <c r="B4" s="20" t="s">
        <v>227</v>
      </c>
      <c r="E4" s="41" t="s">
        <v>293</v>
      </c>
      <c r="F4" s="66">
        <f>BackgroundCalcs!Q8</f>
        <v>0.04</v>
      </c>
      <c r="H4" s="98" t="s">
        <v>85</v>
      </c>
      <c r="I4" s="99" t="s">
        <v>225</v>
      </c>
    </row>
    <row r="5" spans="1:9" ht="14.5">
      <c r="B5" s="20" t="str">
        <f>"Assume yearly inflation rate of "&amp;TEXT(F4,"#.#%")&amp;"."</f>
        <v>Assume yearly inflation rate of 4.%.</v>
      </c>
      <c r="E5" s="41" t="s">
        <v>228</v>
      </c>
      <c r="F5" s="35">
        <f>BackgroundCalcs!Q9</f>
        <v>34</v>
      </c>
      <c r="H5" s="100">
        <v>1</v>
      </c>
      <c r="I5" s="101">
        <v>0.82</v>
      </c>
    </row>
    <row r="6" spans="1:9" ht="14.5">
      <c r="B6" s="20" t="s">
        <v>229</v>
      </c>
      <c r="F6" s="20"/>
      <c r="H6" s="100">
        <v>2</v>
      </c>
      <c r="I6" s="101">
        <v>0.94</v>
      </c>
    </row>
    <row r="7" spans="1:9" ht="14.5">
      <c r="B7" s="20" t="s">
        <v>230</v>
      </c>
      <c r="F7" s="20"/>
      <c r="H7" s="100">
        <v>3</v>
      </c>
      <c r="I7" s="101">
        <v>1.02</v>
      </c>
    </row>
    <row r="8" spans="1:9" ht="14.5">
      <c r="B8" s="20" t="s">
        <v>231</v>
      </c>
      <c r="F8" s="20"/>
      <c r="H8" s="100">
        <v>4</v>
      </c>
      <c r="I8" s="101">
        <v>0.95</v>
      </c>
    </row>
    <row r="9" spans="1:9" ht="14.5">
      <c r="B9" s="20" t="s">
        <v>232</v>
      </c>
      <c r="F9" s="20"/>
      <c r="H9" s="100">
        <v>5</v>
      </c>
      <c r="I9" s="101">
        <v>1.01</v>
      </c>
    </row>
    <row r="10" spans="1:9" ht="14.5">
      <c r="B10" s="20"/>
      <c r="F10" s="20"/>
      <c r="H10" s="100">
        <v>6</v>
      </c>
      <c r="I10" s="101">
        <v>1.1299999999999999</v>
      </c>
    </row>
    <row r="11" spans="1:9" ht="16" thickBot="1">
      <c r="B11" s="33" t="s">
        <v>113</v>
      </c>
      <c r="E11" s="38" t="s">
        <v>112</v>
      </c>
      <c r="F11" s="95" t="s">
        <v>83</v>
      </c>
      <c r="H11" s="100">
        <v>7</v>
      </c>
      <c r="I11" s="101">
        <v>1.1200000000000001</v>
      </c>
    </row>
    <row r="12" spans="1:9" ht="15" thickBot="1">
      <c r="A12" s="4">
        <v>8</v>
      </c>
      <c r="B12" s="20" t="str">
        <f>"What is the monthly seasonality factor in month "&amp;F5&amp;"?"</f>
        <v>What is the monthly seasonality factor in month 34?</v>
      </c>
      <c r="E12" s="70" cm="1">
        <f t="array" ref="E12">_xlfn.XLOOKUP($F$5,_xlfn.ANCHORARRAY(C21),$G$21:$G$80)</f>
        <v>0.87</v>
      </c>
      <c r="F12" s="47">
        <f>BackgroundCalcs!AY9</f>
        <v>0.87</v>
      </c>
      <c r="H12" s="100">
        <v>8</v>
      </c>
      <c r="I12" s="101">
        <v>1.05</v>
      </c>
    </row>
    <row r="13" spans="1:9" ht="15" thickBot="1">
      <c r="A13" s="4">
        <v>9</v>
      </c>
      <c r="B13" s="20" t="s">
        <v>233</v>
      </c>
      <c r="E13" s="40">
        <f>F4/12</f>
        <v>3.3333333333333335E-3</v>
      </c>
      <c r="F13" s="81">
        <f>BackgroundCalcs!AY10</f>
        <v>3.3333333333333335E-3</v>
      </c>
      <c r="H13" s="100">
        <v>9</v>
      </c>
      <c r="I13" s="101">
        <v>0.82000000000000006</v>
      </c>
    </row>
    <row r="14" spans="1:9" ht="15" thickBot="1">
      <c r="A14" s="4">
        <v>10</v>
      </c>
      <c r="B14" s="20" t="s">
        <v>234</v>
      </c>
      <c r="E14" s="71">
        <f>H21</f>
        <v>1.0033333333333334</v>
      </c>
      <c r="F14" s="82">
        <f>BackgroundCalcs!AY11</f>
        <v>1.0033333333333334</v>
      </c>
      <c r="H14" s="100">
        <v>10</v>
      </c>
      <c r="I14" s="101">
        <v>0.87</v>
      </c>
    </row>
    <row r="15" spans="1:9" ht="15" thickBot="1">
      <c r="A15" s="4">
        <v>11</v>
      </c>
      <c r="B15" s="20" t="s">
        <v>235</v>
      </c>
      <c r="E15" s="71">
        <f>H80</f>
        <v>1.2209965939421226</v>
      </c>
      <c r="F15" s="82">
        <f>BackgroundCalcs!AY12</f>
        <v>1.2209965939421226</v>
      </c>
      <c r="H15" s="100">
        <v>11</v>
      </c>
      <c r="I15" s="101">
        <v>0.97</v>
      </c>
    </row>
    <row r="16" spans="1:9" ht="15" thickBot="1">
      <c r="A16" s="4">
        <v>12</v>
      </c>
      <c r="B16" s="20" t="s">
        <v>236</v>
      </c>
      <c r="E16" s="71">
        <f>I21</f>
        <v>1069.5533333333335</v>
      </c>
      <c r="F16" s="22">
        <f>BackgroundCalcs!AY13</f>
        <v>1069.5533333333335</v>
      </c>
      <c r="H16" s="102">
        <v>12</v>
      </c>
      <c r="I16" s="103">
        <v>1.3</v>
      </c>
    </row>
    <row r="17" spans="1:9" ht="15" thickBot="1">
      <c r="A17" s="4">
        <v>13</v>
      </c>
      <c r="B17" s="20" t="s">
        <v>237</v>
      </c>
      <c r="E17" s="71">
        <f>I22</f>
        <v>1230.1602444444447</v>
      </c>
      <c r="F17" s="22">
        <f>BackgroundCalcs!AY14</f>
        <v>1230.1602444444447</v>
      </c>
      <c r="H17" s="20"/>
      <c r="I17" s="20"/>
    </row>
    <row r="18" spans="1:9" ht="15" thickBot="1">
      <c r="A18" s="4">
        <v>14</v>
      </c>
      <c r="B18" s="20" t="s">
        <v>238</v>
      </c>
      <c r="E18" s="71">
        <f>SUM(I21:I80)</f>
        <v>86523.418931765569</v>
      </c>
      <c r="F18" s="22">
        <f>BackgroundCalcs!AY15</f>
        <v>86523.418931765569</v>
      </c>
      <c r="H18" s="20"/>
      <c r="I18" s="20"/>
    </row>
    <row r="19" spans="1:9" ht="14.5"/>
    <row r="20" spans="1:9" ht="29">
      <c r="C20" s="68" t="s">
        <v>85</v>
      </c>
      <c r="D20" s="68" t="s">
        <v>84</v>
      </c>
      <c r="E20" s="68" t="s">
        <v>239</v>
      </c>
      <c r="F20" s="68" t="s">
        <v>240</v>
      </c>
      <c r="G20" s="68" t="s">
        <v>314</v>
      </c>
      <c r="H20" s="68" t="s">
        <v>241</v>
      </c>
      <c r="I20" s="68" t="s">
        <v>242</v>
      </c>
    </row>
    <row r="21" spans="1:9" ht="14.5">
      <c r="C21" s="6" cm="1">
        <f t="array" ref="C21:C80">_xlfn.SEQUENCE(60)</f>
        <v>1</v>
      </c>
      <c r="D21" s="6">
        <f>ROUNDUP(C21/12,0)</f>
        <v>1</v>
      </c>
      <c r="E21" s="6">
        <f>C21-(D21-1)*12</f>
        <v>1</v>
      </c>
      <c r="F21" s="23">
        <f>$F$3</f>
        <v>1300</v>
      </c>
      <c r="G21" s="27">
        <f>VLOOKUP(E21,$H$5:$I$16,2,0)</f>
        <v>0.82</v>
      </c>
      <c r="H21" s="72">
        <f>(1+$E$13)^C21</f>
        <v>1.0033333333333334</v>
      </c>
      <c r="I21" s="7">
        <f>F21*G21*H21</f>
        <v>1069.5533333333335</v>
      </c>
    </row>
    <row r="22" spans="1:9" ht="14.5">
      <c r="C22" s="6">
        <v>2</v>
      </c>
      <c r="D22" s="6">
        <f t="shared" ref="D22:D80" si="0">ROUNDUP(C22/12,0)</f>
        <v>1</v>
      </c>
      <c r="E22" s="6">
        <f t="shared" ref="E22:E80" si="1">C22-(D22-1)*12</f>
        <v>2</v>
      </c>
      <c r="F22" s="23">
        <f t="shared" ref="F22:F80" si="2">$F$3</f>
        <v>1300</v>
      </c>
      <c r="G22" s="27">
        <f t="shared" ref="G22:G80" si="3">VLOOKUP(E22,$H$5:$I$16,2,0)</f>
        <v>0.94</v>
      </c>
      <c r="H22" s="72">
        <f t="shared" ref="H22:H80" si="4">(1+$E$13)^C22</f>
        <v>1.006677777777778</v>
      </c>
      <c r="I22" s="7">
        <f t="shared" ref="I22:I80" si="5">F22*G22*H22</f>
        <v>1230.1602444444447</v>
      </c>
    </row>
    <row r="23" spans="1:9" ht="14.5">
      <c r="C23" s="6">
        <v>3</v>
      </c>
      <c r="D23" s="6">
        <f t="shared" si="0"/>
        <v>1</v>
      </c>
      <c r="E23" s="6">
        <f t="shared" si="1"/>
        <v>3</v>
      </c>
      <c r="F23" s="23">
        <f t="shared" si="2"/>
        <v>1300</v>
      </c>
      <c r="G23" s="27">
        <f t="shared" si="3"/>
        <v>1.02</v>
      </c>
      <c r="H23" s="72">
        <f t="shared" si="4"/>
        <v>1.0100333703703708</v>
      </c>
      <c r="I23" s="7">
        <f t="shared" si="5"/>
        <v>1339.3042491111116</v>
      </c>
    </row>
    <row r="24" spans="1:9" ht="14.5">
      <c r="C24" s="6">
        <v>4</v>
      </c>
      <c r="D24" s="6">
        <f t="shared" si="0"/>
        <v>1</v>
      </c>
      <c r="E24" s="6">
        <f t="shared" si="1"/>
        <v>4</v>
      </c>
      <c r="F24" s="23">
        <f t="shared" si="2"/>
        <v>1300</v>
      </c>
      <c r="G24" s="27">
        <f t="shared" si="3"/>
        <v>0.95</v>
      </c>
      <c r="H24" s="72">
        <f t="shared" si="4"/>
        <v>1.0134001482716053</v>
      </c>
      <c r="I24" s="7">
        <f t="shared" si="5"/>
        <v>1251.5491831154325</v>
      </c>
    </row>
    <row r="25" spans="1:9" ht="14.5">
      <c r="C25" s="6">
        <v>5</v>
      </c>
      <c r="D25" s="6">
        <f t="shared" si="0"/>
        <v>1</v>
      </c>
      <c r="E25" s="6">
        <f t="shared" si="1"/>
        <v>5</v>
      </c>
      <c r="F25" s="23">
        <f t="shared" si="2"/>
        <v>1300</v>
      </c>
      <c r="G25" s="27">
        <f t="shared" si="3"/>
        <v>1.01</v>
      </c>
      <c r="H25" s="72">
        <f t="shared" si="4"/>
        <v>1.016778148765844</v>
      </c>
      <c r="I25" s="7">
        <f t="shared" si="5"/>
        <v>1335.0297093295533</v>
      </c>
    </row>
    <row r="26" spans="1:9" ht="14.5">
      <c r="C26" s="6">
        <v>6</v>
      </c>
      <c r="D26" s="6">
        <f t="shared" si="0"/>
        <v>1</v>
      </c>
      <c r="E26" s="6">
        <f t="shared" si="1"/>
        <v>6</v>
      </c>
      <c r="F26" s="23">
        <f t="shared" si="2"/>
        <v>1300</v>
      </c>
      <c r="G26" s="27">
        <f t="shared" si="3"/>
        <v>1.1299999999999999</v>
      </c>
      <c r="H26" s="72">
        <f t="shared" si="4"/>
        <v>1.0201674092617303</v>
      </c>
      <c r="I26" s="7">
        <f t="shared" si="5"/>
        <v>1498.6259242054816</v>
      </c>
    </row>
    <row r="27" spans="1:9" ht="14.5">
      <c r="C27" s="6">
        <v>7</v>
      </c>
      <c r="D27" s="6">
        <f t="shared" si="0"/>
        <v>1</v>
      </c>
      <c r="E27" s="6">
        <f t="shared" si="1"/>
        <v>7</v>
      </c>
      <c r="F27" s="23">
        <f t="shared" si="2"/>
        <v>1300</v>
      </c>
      <c r="G27" s="27">
        <f t="shared" si="3"/>
        <v>1.1200000000000001</v>
      </c>
      <c r="H27" s="72">
        <f t="shared" si="4"/>
        <v>1.023567967292603</v>
      </c>
      <c r="I27" s="7">
        <f t="shared" si="5"/>
        <v>1490.3149603780303</v>
      </c>
    </row>
    <row r="28" spans="1:9" ht="14.5">
      <c r="C28" s="6">
        <v>8</v>
      </c>
      <c r="D28" s="6">
        <f t="shared" si="0"/>
        <v>1</v>
      </c>
      <c r="E28" s="6">
        <f t="shared" si="1"/>
        <v>8</v>
      </c>
      <c r="F28" s="23">
        <f t="shared" si="2"/>
        <v>1300</v>
      </c>
      <c r="G28" s="27">
        <f t="shared" si="3"/>
        <v>1.05</v>
      </c>
      <c r="H28" s="72">
        <f t="shared" si="4"/>
        <v>1.0269798605169116</v>
      </c>
      <c r="I28" s="7">
        <f t="shared" si="5"/>
        <v>1401.8275096055843</v>
      </c>
    </row>
    <row r="29" spans="1:9" ht="14.5">
      <c r="C29" s="6">
        <v>9</v>
      </c>
      <c r="D29" s="6">
        <f t="shared" si="0"/>
        <v>1</v>
      </c>
      <c r="E29" s="6">
        <f t="shared" si="1"/>
        <v>9</v>
      </c>
      <c r="F29" s="23">
        <f t="shared" si="2"/>
        <v>1300</v>
      </c>
      <c r="G29" s="27">
        <f t="shared" si="3"/>
        <v>0.82000000000000006</v>
      </c>
      <c r="H29" s="72">
        <f t="shared" si="4"/>
        <v>1.0304031267186347</v>
      </c>
      <c r="I29" s="7">
        <f t="shared" si="5"/>
        <v>1098.4097330820646</v>
      </c>
    </row>
    <row r="30" spans="1:9" ht="14.5">
      <c r="C30" s="6">
        <v>10</v>
      </c>
      <c r="D30" s="6">
        <f t="shared" si="0"/>
        <v>1</v>
      </c>
      <c r="E30" s="6">
        <f t="shared" si="1"/>
        <v>10</v>
      </c>
      <c r="F30" s="23">
        <f t="shared" si="2"/>
        <v>1300</v>
      </c>
      <c r="G30" s="27">
        <f t="shared" si="3"/>
        <v>0.87</v>
      </c>
      <c r="H30" s="72">
        <f t="shared" si="4"/>
        <v>1.033837803807697</v>
      </c>
      <c r="I30" s="7">
        <f t="shared" si="5"/>
        <v>1169.2705561065052</v>
      </c>
    </row>
    <row r="31" spans="1:9" ht="14.5">
      <c r="C31" s="6">
        <v>11</v>
      </c>
      <c r="D31" s="6">
        <f t="shared" si="0"/>
        <v>1</v>
      </c>
      <c r="E31" s="6">
        <f t="shared" si="1"/>
        <v>11</v>
      </c>
      <c r="F31" s="23">
        <f t="shared" si="2"/>
        <v>1300</v>
      </c>
      <c r="G31" s="27">
        <f t="shared" si="3"/>
        <v>0.97</v>
      </c>
      <c r="H31" s="72">
        <f t="shared" si="4"/>
        <v>1.0372839298203895</v>
      </c>
      <c r="I31" s="7">
        <f t="shared" si="5"/>
        <v>1308.0150355035112</v>
      </c>
    </row>
    <row r="32" spans="1:9" ht="14.5">
      <c r="C32" s="6">
        <v>12</v>
      </c>
      <c r="D32" s="6">
        <f t="shared" si="0"/>
        <v>1</v>
      </c>
      <c r="E32" s="6">
        <f t="shared" si="1"/>
        <v>12</v>
      </c>
      <c r="F32" s="23">
        <f t="shared" si="2"/>
        <v>1300</v>
      </c>
      <c r="G32" s="27">
        <f t="shared" si="3"/>
        <v>1.3</v>
      </c>
      <c r="H32" s="72">
        <f t="shared" si="4"/>
        <v>1.0407415429197908</v>
      </c>
      <c r="I32" s="7">
        <f t="shared" si="5"/>
        <v>1758.8532075344465</v>
      </c>
    </row>
    <row r="33" spans="3:9" ht="14.5">
      <c r="C33" s="6">
        <v>13</v>
      </c>
      <c r="D33" s="6">
        <f t="shared" si="0"/>
        <v>2</v>
      </c>
      <c r="E33" s="6">
        <f t="shared" si="1"/>
        <v>1</v>
      </c>
      <c r="F33" s="23">
        <f t="shared" si="2"/>
        <v>1300</v>
      </c>
      <c r="G33" s="27">
        <f t="shared" si="3"/>
        <v>0.82</v>
      </c>
      <c r="H33" s="72">
        <f t="shared" si="4"/>
        <v>1.04421068139619</v>
      </c>
      <c r="I33" s="7">
        <f t="shared" si="5"/>
        <v>1113.1285863683386</v>
      </c>
    </row>
    <row r="34" spans="3:9" ht="14.5">
      <c r="C34" s="6">
        <v>14</v>
      </c>
      <c r="D34" s="6">
        <f t="shared" si="0"/>
        <v>2</v>
      </c>
      <c r="E34" s="6">
        <f t="shared" si="1"/>
        <v>2</v>
      </c>
      <c r="F34" s="23">
        <f t="shared" si="2"/>
        <v>1300</v>
      </c>
      <c r="G34" s="27">
        <f t="shared" si="3"/>
        <v>0.94</v>
      </c>
      <c r="H34" s="72">
        <f t="shared" si="4"/>
        <v>1.0476913836675108</v>
      </c>
      <c r="I34" s="7">
        <f t="shared" si="5"/>
        <v>1280.2788708416981</v>
      </c>
    </row>
    <row r="35" spans="3:9" ht="14.5">
      <c r="C35" s="6">
        <v>15</v>
      </c>
      <c r="D35" s="6">
        <f t="shared" si="0"/>
        <v>2</v>
      </c>
      <c r="E35" s="6">
        <f t="shared" si="1"/>
        <v>3</v>
      </c>
      <c r="F35" s="23">
        <f t="shared" si="2"/>
        <v>1300</v>
      </c>
      <c r="G35" s="27">
        <f t="shared" si="3"/>
        <v>1.02</v>
      </c>
      <c r="H35" s="72">
        <f t="shared" si="4"/>
        <v>1.0511836882797361</v>
      </c>
      <c r="I35" s="7">
        <f t="shared" si="5"/>
        <v>1393.8695706589301</v>
      </c>
    </row>
    <row r="36" spans="3:9" ht="14.5">
      <c r="C36" s="6">
        <v>16</v>
      </c>
      <c r="D36" s="6">
        <f t="shared" si="0"/>
        <v>2</v>
      </c>
      <c r="E36" s="6">
        <f t="shared" si="1"/>
        <v>4</v>
      </c>
      <c r="F36" s="23">
        <f t="shared" si="2"/>
        <v>1300</v>
      </c>
      <c r="G36" s="27">
        <f t="shared" si="3"/>
        <v>0.95</v>
      </c>
      <c r="H36" s="72">
        <f t="shared" si="4"/>
        <v>1.0546876339073352</v>
      </c>
      <c r="I36" s="7">
        <f t="shared" si="5"/>
        <v>1302.5392278755589</v>
      </c>
    </row>
    <row r="37" spans="3:9" ht="14.5">
      <c r="C37" s="6">
        <v>17</v>
      </c>
      <c r="D37" s="6">
        <f t="shared" si="0"/>
        <v>2</v>
      </c>
      <c r="E37" s="6">
        <f t="shared" si="1"/>
        <v>5</v>
      </c>
      <c r="F37" s="23">
        <f t="shared" si="2"/>
        <v>1300</v>
      </c>
      <c r="G37" s="27">
        <f t="shared" si="3"/>
        <v>1.01</v>
      </c>
      <c r="H37" s="72">
        <f t="shared" si="4"/>
        <v>1.0582032593536932</v>
      </c>
      <c r="I37" s="7">
        <f t="shared" si="5"/>
        <v>1389.4208795313991</v>
      </c>
    </row>
    <row r="38" spans="3:9" ht="14.5">
      <c r="C38" s="6">
        <v>18</v>
      </c>
      <c r="D38" s="6">
        <f t="shared" si="0"/>
        <v>2</v>
      </c>
      <c r="E38" s="6">
        <f t="shared" si="1"/>
        <v>6</v>
      </c>
      <c r="F38" s="23">
        <f t="shared" si="2"/>
        <v>1300</v>
      </c>
      <c r="G38" s="27">
        <f t="shared" si="3"/>
        <v>1.1299999999999999</v>
      </c>
      <c r="H38" s="72">
        <f t="shared" si="4"/>
        <v>1.0617306035515388</v>
      </c>
      <c r="I38" s="7">
        <f t="shared" si="5"/>
        <v>1559.6822566172102</v>
      </c>
    </row>
    <row r="39" spans="3:9" ht="14.5">
      <c r="C39" s="6">
        <v>19</v>
      </c>
      <c r="D39" s="6">
        <f t="shared" si="0"/>
        <v>2</v>
      </c>
      <c r="E39" s="6">
        <f t="shared" si="1"/>
        <v>7</v>
      </c>
      <c r="F39" s="23">
        <f t="shared" si="2"/>
        <v>1300</v>
      </c>
      <c r="G39" s="27">
        <f t="shared" si="3"/>
        <v>1.1200000000000001</v>
      </c>
      <c r="H39" s="72">
        <f t="shared" si="4"/>
        <v>1.0652697055633775</v>
      </c>
      <c r="I39" s="7">
        <f t="shared" si="5"/>
        <v>1551.032691300278</v>
      </c>
    </row>
    <row r="40" spans="3:9" ht="14.5">
      <c r="C40" s="6">
        <v>20</v>
      </c>
      <c r="D40" s="6">
        <f t="shared" si="0"/>
        <v>2</v>
      </c>
      <c r="E40" s="6">
        <f t="shared" si="1"/>
        <v>8</v>
      </c>
      <c r="F40" s="23">
        <f t="shared" si="2"/>
        <v>1300</v>
      </c>
      <c r="G40" s="27">
        <f t="shared" si="3"/>
        <v>1.05</v>
      </c>
      <c r="H40" s="72">
        <f t="shared" si="4"/>
        <v>1.0688206045819222</v>
      </c>
      <c r="I40" s="7">
        <f t="shared" si="5"/>
        <v>1458.9401252543237</v>
      </c>
    </row>
    <row r="41" spans="3:9" ht="14.5">
      <c r="C41" s="6">
        <v>21</v>
      </c>
      <c r="D41" s="6">
        <f t="shared" si="0"/>
        <v>2</v>
      </c>
      <c r="E41" s="6">
        <f t="shared" si="1"/>
        <v>9</v>
      </c>
      <c r="F41" s="23">
        <f t="shared" si="2"/>
        <v>1300</v>
      </c>
      <c r="G41" s="27">
        <f t="shared" si="3"/>
        <v>0.82000000000000006</v>
      </c>
      <c r="H41" s="72">
        <f t="shared" si="4"/>
        <v>1.0723833399305285</v>
      </c>
      <c r="I41" s="7">
        <f t="shared" si="5"/>
        <v>1143.1606403659434</v>
      </c>
    </row>
    <row r="42" spans="3:9" ht="14.5">
      <c r="C42" s="6">
        <v>22</v>
      </c>
      <c r="D42" s="6">
        <f t="shared" si="0"/>
        <v>2</v>
      </c>
      <c r="E42" s="6">
        <f t="shared" si="1"/>
        <v>10</v>
      </c>
      <c r="F42" s="23">
        <f t="shared" si="2"/>
        <v>1300</v>
      </c>
      <c r="G42" s="27">
        <f t="shared" si="3"/>
        <v>0.87</v>
      </c>
      <c r="H42" s="72">
        <f t="shared" si="4"/>
        <v>1.0759579510636306</v>
      </c>
      <c r="I42" s="7">
        <f t="shared" si="5"/>
        <v>1216.9084426529662</v>
      </c>
    </row>
    <row r="43" spans="3:9" ht="14.5">
      <c r="C43" s="6">
        <v>23</v>
      </c>
      <c r="D43" s="6">
        <f t="shared" si="0"/>
        <v>2</v>
      </c>
      <c r="E43" s="6">
        <f t="shared" si="1"/>
        <v>11</v>
      </c>
      <c r="F43" s="23">
        <f t="shared" si="2"/>
        <v>1300</v>
      </c>
      <c r="G43" s="27">
        <f t="shared" si="3"/>
        <v>0.97</v>
      </c>
      <c r="H43" s="72">
        <f t="shared" si="4"/>
        <v>1.0795444775671761</v>
      </c>
      <c r="I43" s="7">
        <f t="shared" si="5"/>
        <v>1361.3055862122089</v>
      </c>
    </row>
    <row r="44" spans="3:9" ht="14.5">
      <c r="C44" s="6">
        <v>24</v>
      </c>
      <c r="D44" s="6">
        <f t="shared" si="0"/>
        <v>2</v>
      </c>
      <c r="E44" s="6">
        <f t="shared" si="1"/>
        <v>12</v>
      </c>
      <c r="F44" s="23">
        <f t="shared" si="2"/>
        <v>1300</v>
      </c>
      <c r="G44" s="27">
        <f t="shared" si="3"/>
        <v>1.3</v>
      </c>
      <c r="H44" s="72">
        <f t="shared" si="4"/>
        <v>1.0831429591590667</v>
      </c>
      <c r="I44" s="7">
        <f t="shared" si="5"/>
        <v>1830.5116009788226</v>
      </c>
    </row>
    <row r="45" spans="3:9" ht="14.5">
      <c r="C45" s="6">
        <v>25</v>
      </c>
      <c r="D45" s="6">
        <f t="shared" si="0"/>
        <v>3</v>
      </c>
      <c r="E45" s="6">
        <f t="shared" si="1"/>
        <v>1</v>
      </c>
      <c r="F45" s="23">
        <f t="shared" si="2"/>
        <v>1300</v>
      </c>
      <c r="G45" s="27">
        <f t="shared" si="3"/>
        <v>0.82</v>
      </c>
      <c r="H45" s="72">
        <f t="shared" si="4"/>
        <v>1.0867534356895969</v>
      </c>
      <c r="I45" s="7">
        <f t="shared" si="5"/>
        <v>1158.4791624451104</v>
      </c>
    </row>
    <row r="46" spans="3:9" ht="14.5">
      <c r="C46" s="6">
        <v>26</v>
      </c>
      <c r="D46" s="6">
        <f t="shared" si="0"/>
        <v>3</v>
      </c>
      <c r="E46" s="6">
        <f t="shared" si="1"/>
        <v>2</v>
      </c>
      <c r="F46" s="23">
        <f t="shared" si="2"/>
        <v>1300</v>
      </c>
      <c r="G46" s="27">
        <f t="shared" si="3"/>
        <v>0.94</v>
      </c>
      <c r="H46" s="72">
        <f t="shared" si="4"/>
        <v>1.0903759471418957</v>
      </c>
      <c r="I46" s="7">
        <f t="shared" si="5"/>
        <v>1332.4394074073964</v>
      </c>
    </row>
    <row r="47" spans="3:9" ht="14.5">
      <c r="C47" s="6">
        <v>27</v>
      </c>
      <c r="D47" s="6">
        <f t="shared" si="0"/>
        <v>3</v>
      </c>
      <c r="E47" s="6">
        <f t="shared" si="1"/>
        <v>3</v>
      </c>
      <c r="F47" s="23">
        <f t="shared" si="2"/>
        <v>1300</v>
      </c>
      <c r="G47" s="27">
        <f t="shared" si="3"/>
        <v>1.02</v>
      </c>
      <c r="H47" s="72">
        <f t="shared" si="4"/>
        <v>1.0940105336323689</v>
      </c>
      <c r="I47" s="7">
        <f t="shared" si="5"/>
        <v>1450.6579675965211</v>
      </c>
    </row>
    <row r="48" spans="3:9" ht="14.5">
      <c r="C48" s="6">
        <v>28</v>
      </c>
      <c r="D48" s="6">
        <f t="shared" si="0"/>
        <v>3</v>
      </c>
      <c r="E48" s="6">
        <f t="shared" si="1"/>
        <v>4</v>
      </c>
      <c r="F48" s="23">
        <f t="shared" si="2"/>
        <v>1300</v>
      </c>
      <c r="G48" s="27">
        <f t="shared" si="3"/>
        <v>0.95</v>
      </c>
      <c r="H48" s="72">
        <f t="shared" si="4"/>
        <v>1.0976572354111436</v>
      </c>
      <c r="I48" s="7">
        <f t="shared" si="5"/>
        <v>1355.6066857327623</v>
      </c>
    </row>
    <row r="49" spans="3:10" ht="14.5">
      <c r="C49" s="6">
        <v>29</v>
      </c>
      <c r="D49" s="6">
        <f t="shared" si="0"/>
        <v>3</v>
      </c>
      <c r="E49" s="6">
        <f t="shared" si="1"/>
        <v>5</v>
      </c>
      <c r="F49" s="23">
        <f t="shared" si="2"/>
        <v>1300</v>
      </c>
      <c r="G49" s="27">
        <f t="shared" si="3"/>
        <v>1.01</v>
      </c>
      <c r="H49" s="72">
        <f t="shared" si="4"/>
        <v>1.1013160928625139</v>
      </c>
      <c r="I49" s="7">
        <f t="shared" si="5"/>
        <v>1446.0280299284807</v>
      </c>
    </row>
    <row r="50" spans="3:10" ht="14.5">
      <c r="C50" s="6">
        <v>30</v>
      </c>
      <c r="D50" s="6">
        <f t="shared" si="0"/>
        <v>3</v>
      </c>
      <c r="E50" s="6">
        <f t="shared" si="1"/>
        <v>6</v>
      </c>
      <c r="F50" s="23">
        <f t="shared" si="2"/>
        <v>1300</v>
      </c>
      <c r="G50" s="27">
        <f t="shared" si="3"/>
        <v>1.1299999999999999</v>
      </c>
      <c r="H50" s="72">
        <f t="shared" si="4"/>
        <v>1.1049871465053891</v>
      </c>
      <c r="I50" s="7">
        <f t="shared" si="5"/>
        <v>1623.2261182164164</v>
      </c>
    </row>
    <row r="51" spans="3:10" ht="14.5">
      <c r="C51" s="6">
        <v>31</v>
      </c>
      <c r="D51" s="6">
        <f t="shared" si="0"/>
        <v>3</v>
      </c>
      <c r="E51" s="6">
        <f t="shared" si="1"/>
        <v>7</v>
      </c>
      <c r="F51" s="23">
        <f t="shared" si="2"/>
        <v>1300</v>
      </c>
      <c r="G51" s="27">
        <f t="shared" si="3"/>
        <v>1.1200000000000001</v>
      </c>
      <c r="H51" s="72">
        <f t="shared" si="4"/>
        <v>1.1086704369937406</v>
      </c>
      <c r="I51" s="7">
        <f t="shared" si="5"/>
        <v>1614.2241562628865</v>
      </c>
    </row>
    <row r="52" spans="3:10" ht="14.5">
      <c r="C52" s="6">
        <v>32</v>
      </c>
      <c r="D52" s="6">
        <f t="shared" si="0"/>
        <v>3</v>
      </c>
      <c r="E52" s="6">
        <f t="shared" si="1"/>
        <v>8</v>
      </c>
      <c r="F52" s="23">
        <f t="shared" si="2"/>
        <v>1300</v>
      </c>
      <c r="G52" s="27">
        <f t="shared" si="3"/>
        <v>1.05</v>
      </c>
      <c r="H52" s="72">
        <f t="shared" si="4"/>
        <v>1.1123660051170532</v>
      </c>
      <c r="I52" s="7">
        <f t="shared" si="5"/>
        <v>1518.3795969847777</v>
      </c>
    </row>
    <row r="53" spans="3:10" ht="14.5">
      <c r="C53" s="6">
        <v>33</v>
      </c>
      <c r="D53" s="6">
        <f t="shared" si="0"/>
        <v>3</v>
      </c>
      <c r="E53" s="6">
        <f t="shared" si="1"/>
        <v>9</v>
      </c>
      <c r="F53" s="23">
        <f t="shared" si="2"/>
        <v>1300</v>
      </c>
      <c r="G53" s="27">
        <f t="shared" si="3"/>
        <v>0.82000000000000006</v>
      </c>
      <c r="H53" s="72">
        <f t="shared" si="4"/>
        <v>1.1160738918007769</v>
      </c>
      <c r="I53" s="7">
        <f t="shared" si="5"/>
        <v>1189.7347686596281</v>
      </c>
    </row>
    <row r="54" spans="3:10" ht="14.5">
      <c r="C54" s="6">
        <v>34</v>
      </c>
      <c r="D54" s="6">
        <f t="shared" si="0"/>
        <v>3</v>
      </c>
      <c r="E54" s="6">
        <f t="shared" si="1"/>
        <v>10</v>
      </c>
      <c r="F54" s="23">
        <f t="shared" si="2"/>
        <v>1300</v>
      </c>
      <c r="G54" s="27">
        <f t="shared" si="3"/>
        <v>0.87</v>
      </c>
      <c r="H54" s="72">
        <f t="shared" si="4"/>
        <v>1.1197941381067795</v>
      </c>
      <c r="I54" s="7">
        <f t="shared" si="5"/>
        <v>1266.4871701987677</v>
      </c>
    </row>
    <row r="55" spans="3:10" ht="14.5">
      <c r="C55" s="6">
        <v>35</v>
      </c>
      <c r="D55" s="6">
        <f t="shared" si="0"/>
        <v>3</v>
      </c>
      <c r="E55" s="6">
        <f t="shared" si="1"/>
        <v>11</v>
      </c>
      <c r="F55" s="23">
        <f t="shared" si="2"/>
        <v>1300</v>
      </c>
      <c r="G55" s="27">
        <f t="shared" si="3"/>
        <v>0.97</v>
      </c>
      <c r="H55" s="72">
        <f t="shared" si="4"/>
        <v>1.1235267852338024</v>
      </c>
      <c r="I55" s="7">
        <f t="shared" si="5"/>
        <v>1416.7672761798249</v>
      </c>
    </row>
    <row r="56" spans="3:10" ht="14.5">
      <c r="C56" s="6">
        <v>36</v>
      </c>
      <c r="D56" s="6">
        <f t="shared" si="0"/>
        <v>3</v>
      </c>
      <c r="E56" s="6">
        <f t="shared" si="1"/>
        <v>12</v>
      </c>
      <c r="F56" s="23">
        <f t="shared" si="2"/>
        <v>1300</v>
      </c>
      <c r="G56" s="27">
        <f t="shared" si="3"/>
        <v>1.3</v>
      </c>
      <c r="H56" s="72">
        <f t="shared" si="4"/>
        <v>1.1272718745179149</v>
      </c>
      <c r="I56" s="7">
        <f t="shared" si="5"/>
        <v>1905.0894679352762</v>
      </c>
    </row>
    <row r="57" spans="3:10" ht="14.5">
      <c r="C57" s="6">
        <v>37</v>
      </c>
      <c r="D57" s="6">
        <f t="shared" si="0"/>
        <v>4</v>
      </c>
      <c r="E57" s="6">
        <f t="shared" si="1"/>
        <v>1</v>
      </c>
      <c r="F57" s="23">
        <f t="shared" si="2"/>
        <v>1300</v>
      </c>
      <c r="G57" s="27">
        <f t="shared" si="3"/>
        <v>0.82</v>
      </c>
      <c r="H57" s="72">
        <f t="shared" si="4"/>
        <v>1.1310294474329747</v>
      </c>
      <c r="I57" s="7">
        <f t="shared" si="5"/>
        <v>1205.677390963551</v>
      </c>
    </row>
    <row r="58" spans="3:10" ht="14.5">
      <c r="C58" s="6">
        <v>38</v>
      </c>
      <c r="D58" s="6">
        <f t="shared" si="0"/>
        <v>4</v>
      </c>
      <c r="E58" s="6">
        <f t="shared" si="1"/>
        <v>2</v>
      </c>
      <c r="F58" s="23">
        <f t="shared" si="2"/>
        <v>1300</v>
      </c>
      <c r="G58" s="27">
        <f t="shared" si="3"/>
        <v>0.94</v>
      </c>
      <c r="H58" s="72">
        <f t="shared" si="4"/>
        <v>1.1347995455910849</v>
      </c>
      <c r="I58" s="7">
        <f t="shared" si="5"/>
        <v>1386.7250447123058</v>
      </c>
    </row>
    <row r="59" spans="3:10" ht="14.5">
      <c r="C59" s="6">
        <v>39</v>
      </c>
      <c r="D59" s="6">
        <f t="shared" si="0"/>
        <v>4</v>
      </c>
      <c r="E59" s="6">
        <f t="shared" si="1"/>
        <v>3</v>
      </c>
      <c r="F59" s="23">
        <f t="shared" si="2"/>
        <v>1300</v>
      </c>
      <c r="G59" s="27">
        <f t="shared" si="3"/>
        <v>1.02</v>
      </c>
      <c r="H59" s="72">
        <f t="shared" si="4"/>
        <v>1.1385822107430554</v>
      </c>
      <c r="I59" s="7">
        <f t="shared" si="5"/>
        <v>1509.7600114452914</v>
      </c>
    </row>
    <row r="60" spans="3:10" ht="14.5">
      <c r="C60" s="6">
        <v>40</v>
      </c>
      <c r="D60" s="6">
        <f t="shared" si="0"/>
        <v>4</v>
      </c>
      <c r="E60" s="6">
        <f t="shared" si="1"/>
        <v>4</v>
      </c>
      <c r="F60" s="23">
        <f t="shared" si="2"/>
        <v>1300</v>
      </c>
      <c r="G60" s="27">
        <f t="shared" si="3"/>
        <v>0.95</v>
      </c>
      <c r="H60" s="72">
        <f t="shared" si="4"/>
        <v>1.1423774847788655</v>
      </c>
      <c r="I60" s="7">
        <f t="shared" si="5"/>
        <v>1410.8361937018988</v>
      </c>
    </row>
    <row r="61" spans="3:10" ht="14.5">
      <c r="C61" s="6">
        <v>41</v>
      </c>
      <c r="D61" s="6">
        <f t="shared" si="0"/>
        <v>4</v>
      </c>
      <c r="E61" s="6">
        <f t="shared" si="1"/>
        <v>5</v>
      </c>
      <c r="F61" s="23">
        <f t="shared" si="2"/>
        <v>1300</v>
      </c>
      <c r="G61" s="27">
        <f t="shared" si="3"/>
        <v>1.01</v>
      </c>
      <c r="H61" s="72">
        <f t="shared" si="4"/>
        <v>1.1461854097281283</v>
      </c>
      <c r="I61" s="7">
        <f t="shared" si="5"/>
        <v>1504.9414429730325</v>
      </c>
    </row>
    <row r="62" spans="3:10" ht="14.5">
      <c r="C62" s="6">
        <v>42</v>
      </c>
      <c r="D62" s="6">
        <f t="shared" si="0"/>
        <v>4</v>
      </c>
      <c r="E62" s="6">
        <f t="shared" si="1"/>
        <v>6</v>
      </c>
      <c r="F62" s="23">
        <f t="shared" si="2"/>
        <v>1300</v>
      </c>
      <c r="G62" s="27">
        <f t="shared" si="3"/>
        <v>1.1299999999999999</v>
      </c>
      <c r="H62" s="72">
        <f t="shared" si="4"/>
        <v>1.1500060277605557</v>
      </c>
      <c r="I62" s="7">
        <f t="shared" si="5"/>
        <v>1689.358854780256</v>
      </c>
    </row>
    <row r="63" spans="3:10" ht="14.5">
      <c r="C63" s="6">
        <v>43</v>
      </c>
      <c r="D63" s="6">
        <f t="shared" si="0"/>
        <v>4</v>
      </c>
      <c r="E63" s="6">
        <f t="shared" si="1"/>
        <v>7</v>
      </c>
      <c r="F63" s="23">
        <f t="shared" si="2"/>
        <v>1300</v>
      </c>
      <c r="G63" s="27">
        <f t="shared" si="3"/>
        <v>1.1200000000000001</v>
      </c>
      <c r="H63" s="72">
        <f t="shared" si="4"/>
        <v>1.1538393811864245</v>
      </c>
      <c r="I63" s="7">
        <f t="shared" si="5"/>
        <v>1679.9901390074342</v>
      </c>
      <c r="J63" s="7"/>
    </row>
    <row r="64" spans="3:10" ht="14.5">
      <c r="C64" s="6">
        <v>44</v>
      </c>
      <c r="D64" s="6">
        <f t="shared" si="0"/>
        <v>4</v>
      </c>
      <c r="E64" s="6">
        <f t="shared" si="1"/>
        <v>8</v>
      </c>
      <c r="F64" s="23">
        <f t="shared" si="2"/>
        <v>1300</v>
      </c>
      <c r="G64" s="27">
        <f t="shared" si="3"/>
        <v>1.05</v>
      </c>
      <c r="H64" s="72">
        <f t="shared" si="4"/>
        <v>1.1576855124570458</v>
      </c>
      <c r="I64" s="7">
        <f t="shared" si="5"/>
        <v>1580.2407245038676</v>
      </c>
      <c r="J64" s="7"/>
    </row>
    <row r="65" spans="3:10" ht="14.5">
      <c r="C65" s="6">
        <v>45</v>
      </c>
      <c r="D65" s="6">
        <f t="shared" si="0"/>
        <v>4</v>
      </c>
      <c r="E65" s="6">
        <f t="shared" si="1"/>
        <v>9</v>
      </c>
      <c r="F65" s="23">
        <f t="shared" si="2"/>
        <v>1300</v>
      </c>
      <c r="G65" s="27">
        <f t="shared" si="3"/>
        <v>0.82000000000000006</v>
      </c>
      <c r="H65" s="72">
        <f t="shared" si="4"/>
        <v>1.1615444641652359</v>
      </c>
      <c r="I65" s="7">
        <f t="shared" si="5"/>
        <v>1238.2063988001414</v>
      </c>
      <c r="J65" s="7"/>
    </row>
    <row r="66" spans="3:10" ht="14.5">
      <c r="C66" s="6">
        <v>46</v>
      </c>
      <c r="D66" s="6">
        <f t="shared" si="0"/>
        <v>4</v>
      </c>
      <c r="E66" s="6">
        <f t="shared" si="1"/>
        <v>10</v>
      </c>
      <c r="F66" s="23">
        <f t="shared" si="2"/>
        <v>1300</v>
      </c>
      <c r="G66" s="27">
        <f t="shared" si="3"/>
        <v>0.87</v>
      </c>
      <c r="H66" s="72">
        <f t="shared" si="4"/>
        <v>1.1654162790457869</v>
      </c>
      <c r="I66" s="7">
        <f t="shared" si="5"/>
        <v>1318.0858116007851</v>
      </c>
      <c r="J66" s="7"/>
    </row>
    <row r="67" spans="3:10" ht="14.5">
      <c r="C67" s="6">
        <v>47</v>
      </c>
      <c r="D67" s="6">
        <f t="shared" si="0"/>
        <v>4</v>
      </c>
      <c r="E67" s="6">
        <f t="shared" si="1"/>
        <v>11</v>
      </c>
      <c r="F67" s="23">
        <f t="shared" si="2"/>
        <v>1300</v>
      </c>
      <c r="G67" s="27">
        <f t="shared" si="3"/>
        <v>0.97</v>
      </c>
      <c r="H67" s="72">
        <f t="shared" si="4"/>
        <v>1.1693009999759398</v>
      </c>
      <c r="I67" s="7">
        <f t="shared" si="5"/>
        <v>1474.4885609696601</v>
      </c>
      <c r="J67" s="7"/>
    </row>
    <row r="68" spans="3:10" ht="14.5">
      <c r="C68" s="6">
        <v>48</v>
      </c>
      <c r="D68" s="6">
        <f t="shared" si="0"/>
        <v>4</v>
      </c>
      <c r="E68" s="6">
        <f t="shared" si="1"/>
        <v>12</v>
      </c>
      <c r="F68" s="23">
        <f t="shared" si="2"/>
        <v>1300</v>
      </c>
      <c r="G68" s="27">
        <f t="shared" si="3"/>
        <v>1.3</v>
      </c>
      <c r="H68" s="72">
        <f t="shared" si="4"/>
        <v>1.1731986699758596</v>
      </c>
      <c r="I68" s="7">
        <f t="shared" si="5"/>
        <v>1982.7057522592029</v>
      </c>
      <c r="J68" s="7"/>
    </row>
    <row r="69" spans="3:10" ht="14.5">
      <c r="C69" s="6">
        <v>49</v>
      </c>
      <c r="D69" s="6">
        <f t="shared" si="0"/>
        <v>5</v>
      </c>
      <c r="E69" s="6">
        <f t="shared" si="1"/>
        <v>1</v>
      </c>
      <c r="F69" s="23">
        <f t="shared" si="2"/>
        <v>1300</v>
      </c>
      <c r="G69" s="27">
        <f t="shared" si="3"/>
        <v>0.82</v>
      </c>
      <c r="H69" s="72">
        <f t="shared" si="4"/>
        <v>1.1771093322091126</v>
      </c>
      <c r="I69" s="7">
        <f t="shared" si="5"/>
        <v>1254.798548134914</v>
      </c>
      <c r="J69" s="7"/>
    </row>
    <row r="70" spans="3:10" ht="14.5">
      <c r="C70" s="6">
        <v>50</v>
      </c>
      <c r="D70" s="6">
        <f t="shared" si="0"/>
        <v>5</v>
      </c>
      <c r="E70" s="6">
        <f t="shared" si="1"/>
        <v>2</v>
      </c>
      <c r="F70" s="23">
        <f t="shared" si="2"/>
        <v>1300</v>
      </c>
      <c r="G70" s="27">
        <f t="shared" si="3"/>
        <v>0.94</v>
      </c>
      <c r="H70" s="72">
        <f t="shared" si="4"/>
        <v>1.1810330299831431</v>
      </c>
      <c r="I70" s="7">
        <f t="shared" si="5"/>
        <v>1443.2223626394009</v>
      </c>
      <c r="J70" s="7"/>
    </row>
    <row r="71" spans="3:10" ht="14.5">
      <c r="C71" s="6">
        <v>51</v>
      </c>
      <c r="D71" s="6">
        <f t="shared" si="0"/>
        <v>5</v>
      </c>
      <c r="E71" s="6">
        <f t="shared" si="1"/>
        <v>3</v>
      </c>
      <c r="F71" s="23">
        <f t="shared" si="2"/>
        <v>1300</v>
      </c>
      <c r="G71" s="27">
        <f t="shared" si="3"/>
        <v>1.02</v>
      </c>
      <c r="H71" s="72">
        <f t="shared" si="4"/>
        <v>1.1849698067497538</v>
      </c>
      <c r="I71" s="7">
        <f t="shared" si="5"/>
        <v>1571.2699637501735</v>
      </c>
      <c r="J71" s="7"/>
    </row>
    <row r="72" spans="3:10" ht="14.5">
      <c r="C72" s="6">
        <v>52</v>
      </c>
      <c r="D72" s="6">
        <f t="shared" si="0"/>
        <v>5</v>
      </c>
      <c r="E72" s="6">
        <f t="shared" si="1"/>
        <v>4</v>
      </c>
      <c r="F72" s="23">
        <f t="shared" si="2"/>
        <v>1300</v>
      </c>
      <c r="G72" s="27">
        <f t="shared" si="3"/>
        <v>0.95</v>
      </c>
      <c r="H72" s="72">
        <f t="shared" si="4"/>
        <v>1.1889197061055863</v>
      </c>
      <c r="I72" s="7">
        <f t="shared" si="5"/>
        <v>1468.3158370403989</v>
      </c>
      <c r="J72" s="7"/>
    </row>
    <row r="73" spans="3:10" ht="14.5">
      <c r="C73" s="6">
        <v>53</v>
      </c>
      <c r="D73" s="6">
        <f t="shared" si="0"/>
        <v>5</v>
      </c>
      <c r="E73" s="6">
        <f t="shared" si="1"/>
        <v>5</v>
      </c>
      <c r="F73" s="23">
        <f t="shared" si="2"/>
        <v>1300</v>
      </c>
      <c r="G73" s="27">
        <f t="shared" si="3"/>
        <v>1.01</v>
      </c>
      <c r="H73" s="72">
        <f t="shared" si="4"/>
        <v>1.1928827717926049</v>
      </c>
      <c r="I73" s="7">
        <f t="shared" si="5"/>
        <v>1566.2550793636904</v>
      </c>
      <c r="J73" s="7"/>
    </row>
    <row r="74" spans="3:10" ht="14.5">
      <c r="C74" s="6">
        <v>54</v>
      </c>
      <c r="D74" s="6">
        <f t="shared" si="0"/>
        <v>5</v>
      </c>
      <c r="E74" s="6">
        <f t="shared" si="1"/>
        <v>6</v>
      </c>
      <c r="F74" s="23">
        <f t="shared" si="2"/>
        <v>1300</v>
      </c>
      <c r="G74" s="27">
        <f t="shared" si="3"/>
        <v>1.1299999999999999</v>
      </c>
      <c r="H74" s="72">
        <f t="shared" si="4"/>
        <v>1.1968590476985805</v>
      </c>
      <c r="I74" s="7">
        <f t="shared" si="5"/>
        <v>1758.1859410692146</v>
      </c>
      <c r="J74" s="7"/>
    </row>
    <row r="75" spans="3:10" ht="14.5">
      <c r="C75" s="6">
        <v>55</v>
      </c>
      <c r="D75" s="6">
        <f t="shared" si="0"/>
        <v>5</v>
      </c>
      <c r="E75" s="6">
        <f t="shared" si="1"/>
        <v>7</v>
      </c>
      <c r="F75" s="23">
        <f t="shared" si="2"/>
        <v>1300</v>
      </c>
      <c r="G75" s="27">
        <f t="shared" si="3"/>
        <v>1.1200000000000001</v>
      </c>
      <c r="H75" s="72">
        <f t="shared" si="4"/>
        <v>1.2008485778575759</v>
      </c>
      <c r="I75" s="7">
        <f t="shared" si="5"/>
        <v>1748.4355293606309</v>
      </c>
      <c r="J75" s="7"/>
    </row>
    <row r="76" spans="3:10" ht="14.5">
      <c r="C76" s="6">
        <v>56</v>
      </c>
      <c r="D76" s="6">
        <f t="shared" si="0"/>
        <v>5</v>
      </c>
      <c r="E76" s="6">
        <f t="shared" si="1"/>
        <v>8</v>
      </c>
      <c r="F76" s="23">
        <f t="shared" si="2"/>
        <v>1300</v>
      </c>
      <c r="G76" s="27">
        <f t="shared" si="3"/>
        <v>1.05</v>
      </c>
      <c r="H76" s="72">
        <f t="shared" si="4"/>
        <v>1.2048514064504345</v>
      </c>
      <c r="I76" s="7">
        <f t="shared" si="5"/>
        <v>1644.6221698048432</v>
      </c>
      <c r="J76" s="7"/>
    </row>
    <row r="77" spans="3:10" ht="14.5">
      <c r="C77" s="6">
        <v>57</v>
      </c>
      <c r="D77" s="6">
        <f t="shared" si="0"/>
        <v>5</v>
      </c>
      <c r="E77" s="6">
        <f t="shared" si="1"/>
        <v>9</v>
      </c>
      <c r="F77" s="23">
        <f t="shared" si="2"/>
        <v>1300</v>
      </c>
      <c r="G77" s="27">
        <f t="shared" si="3"/>
        <v>0.82000000000000006</v>
      </c>
      <c r="H77" s="72">
        <f t="shared" si="4"/>
        <v>1.2088675778052693</v>
      </c>
      <c r="I77" s="7">
        <f t="shared" si="5"/>
        <v>1288.6528379404172</v>
      </c>
      <c r="J77" s="7"/>
    </row>
    <row r="78" spans="3:10" ht="14.5">
      <c r="C78" s="6">
        <v>58</v>
      </c>
      <c r="D78" s="6">
        <f t="shared" si="0"/>
        <v>5</v>
      </c>
      <c r="E78" s="6">
        <f t="shared" si="1"/>
        <v>10</v>
      </c>
      <c r="F78" s="23">
        <f t="shared" si="2"/>
        <v>1300</v>
      </c>
      <c r="G78" s="27">
        <f t="shared" si="3"/>
        <v>0.87</v>
      </c>
      <c r="H78" s="72">
        <f t="shared" si="4"/>
        <v>1.2128971363979537</v>
      </c>
      <c r="I78" s="7">
        <f t="shared" si="5"/>
        <v>1371.7866612660857</v>
      </c>
      <c r="J78" s="7"/>
    </row>
    <row r="79" spans="3:10" ht="14.5">
      <c r="C79" s="6">
        <v>59</v>
      </c>
      <c r="D79" s="6">
        <f t="shared" si="0"/>
        <v>5</v>
      </c>
      <c r="E79" s="6">
        <f t="shared" si="1"/>
        <v>11</v>
      </c>
      <c r="F79" s="23">
        <f t="shared" si="2"/>
        <v>1300</v>
      </c>
      <c r="G79" s="27">
        <f t="shared" si="3"/>
        <v>0.97</v>
      </c>
      <c r="H79" s="72">
        <f t="shared" si="4"/>
        <v>1.2169401268526137</v>
      </c>
      <c r="I79" s="7">
        <f t="shared" si="5"/>
        <v>1534.5614999611457</v>
      </c>
      <c r="J79" s="7"/>
    </row>
    <row r="80" spans="3:10" ht="14.5">
      <c r="C80" s="6">
        <v>60</v>
      </c>
      <c r="D80" s="6">
        <f t="shared" si="0"/>
        <v>5</v>
      </c>
      <c r="E80" s="6">
        <f t="shared" si="1"/>
        <v>12</v>
      </c>
      <c r="F80" s="23">
        <f t="shared" si="2"/>
        <v>1300</v>
      </c>
      <c r="G80" s="27">
        <f t="shared" si="3"/>
        <v>1.3</v>
      </c>
      <c r="H80" s="72">
        <f t="shared" si="4"/>
        <v>1.2209965939421226</v>
      </c>
      <c r="I80" s="7">
        <f t="shared" si="5"/>
        <v>2063.4842437621874</v>
      </c>
      <c r="J80" s="7"/>
    </row>
    <row r="81" spans="3:10" ht="14.5">
      <c r="C81" s="6"/>
      <c r="D81" s="7"/>
      <c r="E81" s="7"/>
      <c r="F81" s="23"/>
      <c r="G81" s="27"/>
      <c r="H81" s="72"/>
      <c r="I81" s="7"/>
      <c r="J81" s="7"/>
    </row>
    <row r="82" spans="3:10" ht="14.5">
      <c r="C82" s="6"/>
      <c r="D82" s="7"/>
      <c r="E82" s="7"/>
      <c r="F82" s="23"/>
      <c r="G82" s="27"/>
      <c r="H82" s="72"/>
      <c r="I82" s="7"/>
      <c r="J82" s="7"/>
    </row>
    <row r="83" spans="3:10" ht="14.5">
      <c r="C83" s="6"/>
      <c r="D83" s="23"/>
      <c r="E83" s="23"/>
      <c r="F83" s="23"/>
      <c r="G83" s="27"/>
      <c r="H83" s="72"/>
      <c r="I83" s="7"/>
    </row>
    <row r="84" spans="3:10" ht="14.9" hidden="1" customHeight="1">
      <c r="C84" s="6"/>
      <c r="D84" s="6"/>
      <c r="E84" s="6"/>
      <c r="F84" s="23"/>
      <c r="G84" s="27"/>
      <c r="H84" s="72"/>
      <c r="I84" s="7"/>
    </row>
    <row r="85" spans="3:10" ht="0" hidden="1" customHeight="1">
      <c r="F85" s="23"/>
      <c r="G85" s="27"/>
      <c r="H85" s="72"/>
      <c r="I85" s="7"/>
    </row>
    <row r="86" spans="3:10" ht="0" hidden="1" customHeight="1">
      <c r="F86" s="23"/>
      <c r="G86" s="27"/>
      <c r="H86" s="72"/>
      <c r="I86" s="7"/>
    </row>
    <row r="87" spans="3:10" ht="0" hidden="1" customHeight="1">
      <c r="F87" s="23"/>
      <c r="G87" s="27"/>
      <c r="H87" s="72"/>
      <c r="I87" s="7"/>
    </row>
    <row r="88" spans="3:10" ht="0" hidden="1" customHeight="1">
      <c r="F88" s="23"/>
      <c r="G88" s="27"/>
      <c r="H88" s="72"/>
      <c r="I88" s="7"/>
    </row>
    <row r="89" spans="3:10" ht="0" hidden="1" customHeight="1">
      <c r="F89" s="23"/>
      <c r="G89" s="27"/>
      <c r="H89" s="72"/>
      <c r="I89" s="7"/>
    </row>
    <row r="90" spans="3:10" ht="0" hidden="1" customHeight="1">
      <c r="F90" s="23"/>
      <c r="G90" s="27"/>
      <c r="H90" s="72"/>
      <c r="I90" s="7"/>
    </row>
    <row r="91" spans="3:10" ht="0" hidden="1" customHeight="1">
      <c r="F91" s="23"/>
      <c r="G91" s="27"/>
      <c r="H91" s="72"/>
      <c r="I91" s="7"/>
    </row>
    <row r="92" spans="3:10" ht="0" hidden="1" customHeight="1">
      <c r="F92" s="23"/>
      <c r="G92" s="27"/>
      <c r="H92" s="72"/>
      <c r="I92" s="7"/>
    </row>
    <row r="93" spans="3:10" ht="0" hidden="1" customHeight="1">
      <c r="F93" s="23"/>
      <c r="G93" s="27"/>
      <c r="H93" s="72"/>
      <c r="I93" s="7"/>
    </row>
    <row r="94" spans="3:10" ht="0" hidden="1" customHeight="1">
      <c r="F94" s="23"/>
      <c r="G94" s="27"/>
      <c r="H94" s="72"/>
      <c r="I94" s="7"/>
    </row>
    <row r="95" spans="3:10" ht="0" hidden="1" customHeight="1">
      <c r="F95" s="23"/>
      <c r="G95" s="27"/>
      <c r="H95" s="72"/>
      <c r="I95" s="7"/>
    </row>
    <row r="96" spans="3:10" ht="0" hidden="1" customHeight="1">
      <c r="F96" s="23"/>
      <c r="G96" s="27"/>
      <c r="H96" s="72"/>
      <c r="I96" s="7"/>
    </row>
    <row r="97" spans="6:9" ht="0" hidden="1" customHeight="1">
      <c r="F97" s="23"/>
      <c r="G97" s="27"/>
      <c r="H97" s="72"/>
      <c r="I97" s="7"/>
    </row>
    <row r="98" spans="6:9" ht="0" hidden="1" customHeight="1">
      <c r="F98" s="23"/>
      <c r="G98" s="27"/>
      <c r="H98" s="72"/>
      <c r="I98" s="7"/>
    </row>
    <row r="99" spans="6:9" ht="0" hidden="1" customHeight="1">
      <c r="F99" s="23"/>
      <c r="G99" s="27"/>
      <c r="H99" s="72"/>
      <c r="I99" s="7"/>
    </row>
    <row r="100" spans="6:9" ht="0" hidden="1" customHeight="1">
      <c r="F100" s="23"/>
      <c r="G100" s="27"/>
      <c r="H100" s="72"/>
      <c r="I100" s="7"/>
    </row>
    <row r="101" spans="6:9" ht="0" hidden="1" customHeight="1">
      <c r="F101" s="23"/>
      <c r="G101" s="27"/>
      <c r="H101" s="72"/>
      <c r="I101" s="7"/>
    </row>
    <row r="102" spans="6:9" ht="0" hidden="1" customHeight="1">
      <c r="F102" s="23"/>
      <c r="G102" s="27"/>
      <c r="H102" s="72"/>
      <c r="I102" s="7"/>
    </row>
    <row r="103" spans="6:9" ht="0" hidden="1" customHeight="1">
      <c r="F103" s="23"/>
      <c r="G103" s="27"/>
      <c r="H103" s="72"/>
      <c r="I103" s="7"/>
    </row>
    <row r="104" spans="6:9" ht="0" hidden="1" customHeight="1">
      <c r="F104" s="23"/>
      <c r="G104" s="27"/>
      <c r="H104" s="72"/>
      <c r="I104" s="7"/>
    </row>
    <row r="105" spans="6:9" ht="0" hidden="1" customHeight="1">
      <c r="F105" s="23"/>
      <c r="G105" s="27"/>
      <c r="H105" s="72"/>
      <c r="I105" s="7"/>
    </row>
    <row r="106" spans="6:9" ht="0" hidden="1" customHeight="1">
      <c r="F106" s="23"/>
      <c r="G106" s="27"/>
      <c r="H106" s="72"/>
      <c r="I106" s="7"/>
    </row>
    <row r="107" spans="6:9" ht="0" hidden="1" customHeight="1">
      <c r="F107" s="23"/>
      <c r="G107" s="27"/>
      <c r="H107" s="72"/>
      <c r="I107" s="7"/>
    </row>
    <row r="108" spans="6:9" ht="0" hidden="1" customHeight="1">
      <c r="F108" s="23"/>
      <c r="G108" s="27"/>
      <c r="H108" s="72"/>
      <c r="I108" s="7"/>
    </row>
    <row r="109" spans="6:9" ht="0" hidden="1" customHeight="1">
      <c r="F109" s="23"/>
      <c r="G109" s="27"/>
      <c r="H109" s="72"/>
      <c r="I109" s="7"/>
    </row>
    <row r="110" spans="6:9" ht="0" hidden="1" customHeight="1">
      <c r="F110" s="23"/>
      <c r="G110" s="27"/>
      <c r="H110" s="72"/>
      <c r="I110" s="7"/>
    </row>
    <row r="111" spans="6:9" ht="0" hidden="1" customHeight="1">
      <c r="F111" s="23"/>
      <c r="G111" s="27"/>
      <c r="H111" s="72"/>
      <c r="I111" s="7"/>
    </row>
    <row r="112" spans="6:9" ht="0" hidden="1" customHeight="1">
      <c r="F112" s="23"/>
      <c r="G112" s="27"/>
      <c r="H112" s="72"/>
      <c r="I112" s="7"/>
    </row>
    <row r="113" spans="6:9" ht="0" hidden="1" customHeight="1">
      <c r="F113" s="23"/>
      <c r="G113" s="27"/>
      <c r="H113" s="72"/>
      <c r="I113" s="7"/>
    </row>
    <row r="114" spans="6:9" ht="0" hidden="1" customHeight="1">
      <c r="F114" s="23"/>
      <c r="G114" s="27"/>
      <c r="H114" s="72"/>
      <c r="I114" s="7"/>
    </row>
    <row r="115" spans="6:9" ht="0" hidden="1" customHeight="1">
      <c r="F115" s="23"/>
      <c r="G115" s="27"/>
      <c r="H115" s="72"/>
      <c r="I115" s="7"/>
    </row>
    <row r="116" spans="6:9" ht="0" hidden="1" customHeight="1">
      <c r="F116" s="23"/>
      <c r="G116" s="27"/>
      <c r="H116" s="72"/>
      <c r="I116" s="7"/>
    </row>
    <row r="117" spans="6:9" ht="0" hidden="1" customHeight="1">
      <c r="F117" s="23"/>
      <c r="G117" s="27"/>
      <c r="H117" s="72"/>
      <c r="I117" s="7"/>
    </row>
    <row r="118" spans="6:9" ht="0" hidden="1" customHeight="1">
      <c r="F118" s="23"/>
      <c r="G118" s="27"/>
      <c r="H118" s="72"/>
      <c r="I118" s="7"/>
    </row>
    <row r="119" spans="6:9" ht="0" hidden="1" customHeight="1">
      <c r="F119" s="23"/>
      <c r="G119" s="27"/>
      <c r="H119" s="72"/>
      <c r="I119" s="7"/>
    </row>
    <row r="120" spans="6:9" ht="0" hidden="1" customHeight="1">
      <c r="F120" s="23"/>
      <c r="G120" s="27"/>
      <c r="H120" s="72"/>
      <c r="I120" s="7"/>
    </row>
    <row r="121" spans="6:9" ht="0" hidden="1" customHeight="1">
      <c r="F121" s="23"/>
      <c r="G121" s="27"/>
      <c r="H121" s="72"/>
      <c r="I121" s="7"/>
    </row>
    <row r="122" spans="6:9" ht="0" hidden="1" customHeight="1">
      <c r="F122" s="23"/>
      <c r="G122" s="27"/>
      <c r="H122" s="72"/>
      <c r="I122" s="7"/>
    </row>
    <row r="123" spans="6:9" ht="0" hidden="1" customHeight="1">
      <c r="F123" s="23"/>
      <c r="G123" s="27"/>
      <c r="H123" s="72"/>
      <c r="I123" s="7"/>
    </row>
    <row r="124" spans="6:9" ht="0" hidden="1" customHeight="1">
      <c r="F124" s="23"/>
      <c r="G124" s="27"/>
      <c r="H124" s="72"/>
      <c r="I124" s="7"/>
    </row>
    <row r="125" spans="6:9" ht="0" hidden="1" customHeight="1">
      <c r="F125" s="23"/>
      <c r="G125" s="27"/>
      <c r="H125" s="72"/>
      <c r="I125" s="7"/>
    </row>
    <row r="126" spans="6:9" ht="0" hidden="1" customHeight="1">
      <c r="F126" s="23"/>
      <c r="G126" s="27"/>
      <c r="H126" s="72"/>
      <c r="I126" s="7"/>
    </row>
    <row r="127" spans="6:9" ht="0" hidden="1" customHeight="1">
      <c r="F127" s="23"/>
      <c r="G127" s="27"/>
      <c r="H127" s="72"/>
      <c r="I127" s="7"/>
    </row>
    <row r="128" spans="6:9" ht="0" hidden="1" customHeight="1">
      <c r="F128" s="23"/>
      <c r="G128" s="27"/>
      <c r="H128" s="72"/>
      <c r="I128" s="7"/>
    </row>
    <row r="129" spans="6:9" ht="0" hidden="1" customHeight="1">
      <c r="F129" s="23"/>
      <c r="G129" s="27"/>
      <c r="H129" s="72"/>
      <c r="I129" s="7"/>
    </row>
    <row r="130" spans="6:9" ht="0" hidden="1" customHeight="1">
      <c r="F130" s="23"/>
      <c r="G130" s="27"/>
      <c r="H130" s="72"/>
      <c r="I130" s="7"/>
    </row>
    <row r="131" spans="6:9" ht="0" hidden="1" customHeight="1">
      <c r="F131" s="23"/>
      <c r="G131" s="27"/>
      <c r="H131" s="72"/>
      <c r="I131" s="7"/>
    </row>
    <row r="132" spans="6:9" ht="0" hidden="1" customHeight="1">
      <c r="F132" s="23"/>
      <c r="G132" s="27"/>
      <c r="H132" s="72"/>
      <c r="I132" s="7"/>
    </row>
    <row r="133" spans="6:9" ht="0" hidden="1" customHeight="1">
      <c r="F133" s="23"/>
      <c r="G133" s="27"/>
      <c r="H133" s="72"/>
      <c r="I133" s="7"/>
    </row>
    <row r="134" spans="6:9" ht="0" hidden="1" customHeight="1">
      <c r="F134" s="23"/>
      <c r="G134" s="27"/>
      <c r="H134" s="72"/>
      <c r="I134" s="7"/>
    </row>
    <row r="135" spans="6:9" ht="0" hidden="1" customHeight="1">
      <c r="F135" s="23"/>
      <c r="G135" s="27"/>
      <c r="H135" s="72"/>
      <c r="I135" s="7"/>
    </row>
    <row r="136" spans="6:9" ht="0" hidden="1" customHeight="1">
      <c r="F136" s="23"/>
      <c r="G136" s="27"/>
      <c r="H136" s="72"/>
      <c r="I136" s="7"/>
    </row>
    <row r="137" spans="6:9" ht="0" hidden="1" customHeight="1">
      <c r="F137" s="23"/>
      <c r="G137" s="27"/>
      <c r="H137" s="72"/>
      <c r="I137" s="7"/>
    </row>
    <row r="138" spans="6:9" ht="0" hidden="1" customHeight="1">
      <c r="F138" s="23"/>
      <c r="G138" s="27"/>
      <c r="H138" s="72"/>
      <c r="I138" s="7"/>
    </row>
    <row r="139" spans="6:9" ht="0" hidden="1" customHeight="1">
      <c r="F139" s="23"/>
      <c r="G139" s="27"/>
      <c r="H139" s="72"/>
      <c r="I139" s="7"/>
    </row>
    <row r="140" spans="6:9" ht="0" hidden="1" customHeight="1">
      <c r="F140" s="23"/>
      <c r="G140" s="27"/>
      <c r="H140" s="72"/>
      <c r="I140" s="7"/>
    </row>
    <row r="141" spans="6:9" ht="0" hidden="1" customHeight="1">
      <c r="F141" s="23"/>
      <c r="G141" s="27"/>
      <c r="H141" s="72"/>
      <c r="I141" s="7"/>
    </row>
    <row r="142" spans="6:9" ht="0" hidden="1" customHeight="1">
      <c r="F142" s="23"/>
      <c r="G142" s="27"/>
      <c r="H142" s="72"/>
      <c r="I142" s="7"/>
    </row>
    <row r="143" spans="6:9" ht="0" hidden="1" customHeight="1">
      <c r="F143" s="23"/>
      <c r="G143" s="27"/>
      <c r="H143" s="72"/>
      <c r="I143" s="7"/>
    </row>
    <row r="144" spans="6:9" ht="0" hidden="1" customHeight="1">
      <c r="F144" s="23"/>
      <c r="G144" s="27"/>
      <c r="H144" s="72"/>
      <c r="I144" s="7"/>
    </row>
    <row r="145" spans="6:9" ht="0" hidden="1" customHeight="1">
      <c r="F145" s="23"/>
      <c r="G145" s="27"/>
      <c r="H145" s="72"/>
      <c r="I145" s="7"/>
    </row>
    <row r="146" spans="6:9" ht="0" hidden="1" customHeight="1">
      <c r="F146" s="23"/>
      <c r="G146" s="27"/>
      <c r="H146" s="72"/>
      <c r="I146" s="7"/>
    </row>
    <row r="147" spans="6:9" ht="0" hidden="1" customHeight="1">
      <c r="F147" s="23"/>
      <c r="G147" s="27"/>
      <c r="H147" s="72"/>
      <c r="I147" s="7"/>
    </row>
    <row r="148" spans="6:9" ht="0" hidden="1" customHeight="1">
      <c r="F148" s="23"/>
      <c r="G148" s="27"/>
      <c r="H148" s="72"/>
      <c r="I148" s="7"/>
    </row>
    <row r="149" spans="6:9" ht="0" hidden="1" customHeight="1">
      <c r="F149" s="23"/>
      <c r="G149" s="27"/>
      <c r="H149" s="72"/>
      <c r="I149" s="7"/>
    </row>
    <row r="150" spans="6:9" ht="0" hidden="1" customHeight="1">
      <c r="F150" s="23"/>
      <c r="G150" s="27"/>
      <c r="H150" s="72"/>
      <c r="I150" s="7"/>
    </row>
    <row r="151" spans="6:9" ht="0" hidden="1" customHeight="1">
      <c r="F151" s="23"/>
      <c r="G151" s="27"/>
      <c r="H151" s="72"/>
      <c r="I151" s="7"/>
    </row>
    <row r="152" spans="6:9" ht="0" hidden="1" customHeight="1">
      <c r="F152" s="23"/>
      <c r="G152" s="27"/>
      <c r="H152" s="72"/>
      <c r="I152" s="7"/>
    </row>
    <row r="153" spans="6:9" ht="0" hidden="1" customHeight="1">
      <c r="F153" s="23"/>
      <c r="G153" s="27"/>
      <c r="H153" s="72"/>
      <c r="I153" s="7"/>
    </row>
    <row r="154" spans="6:9" ht="0" hidden="1" customHeight="1">
      <c r="F154" s="23"/>
      <c r="G154" s="27"/>
      <c r="H154" s="72"/>
      <c r="I154" s="7"/>
    </row>
    <row r="155" spans="6:9" ht="0" hidden="1" customHeight="1">
      <c r="F155" s="23"/>
      <c r="G155" s="27"/>
      <c r="H155" s="72"/>
      <c r="I155" s="7"/>
    </row>
    <row r="156" spans="6:9" ht="0" hidden="1" customHeight="1">
      <c r="F156" s="23"/>
      <c r="G156" s="27"/>
      <c r="H156" s="72"/>
      <c r="I156" s="7"/>
    </row>
    <row r="157" spans="6:9" ht="0" hidden="1" customHeight="1">
      <c r="F157" s="23"/>
      <c r="G157" s="27"/>
      <c r="H157" s="72"/>
      <c r="I157" s="7"/>
    </row>
    <row r="158" spans="6:9" ht="0" hidden="1" customHeight="1">
      <c r="F158" s="23"/>
      <c r="G158" s="27"/>
      <c r="H158" s="72"/>
      <c r="I158" s="7"/>
    </row>
    <row r="159" spans="6:9" ht="0" hidden="1" customHeight="1">
      <c r="F159" s="23"/>
      <c r="G159" s="27"/>
      <c r="H159" s="72"/>
      <c r="I159" s="7"/>
    </row>
    <row r="160" spans="6:9" ht="0" hidden="1" customHeight="1">
      <c r="F160" s="23"/>
      <c r="G160" s="27"/>
      <c r="H160" s="72"/>
      <c r="I160" s="7"/>
    </row>
    <row r="161" spans="6:9" ht="0" hidden="1" customHeight="1">
      <c r="F161" s="23"/>
      <c r="G161" s="27"/>
      <c r="H161" s="72"/>
      <c r="I161" s="7"/>
    </row>
    <row r="162" spans="6:9" ht="0" hidden="1" customHeight="1">
      <c r="F162" s="23"/>
      <c r="G162" s="27"/>
      <c r="H162" s="72"/>
      <c r="I162" s="7"/>
    </row>
    <row r="163" spans="6:9" ht="0" hidden="1" customHeight="1">
      <c r="F163" s="23"/>
      <c r="G163" s="27"/>
      <c r="H163" s="72"/>
      <c r="I163" s="7"/>
    </row>
    <row r="164" spans="6:9" ht="0" hidden="1" customHeight="1">
      <c r="F164" s="23"/>
      <c r="G164" s="27"/>
      <c r="H164" s="72"/>
      <c r="I164" s="7"/>
    </row>
    <row r="165" spans="6:9" ht="0" hidden="1" customHeight="1">
      <c r="F165" s="23"/>
      <c r="G165" s="27"/>
      <c r="H165" s="72"/>
      <c r="I165" s="7"/>
    </row>
    <row r="166" spans="6:9" ht="0" hidden="1" customHeight="1">
      <c r="F166" s="23"/>
      <c r="G166" s="27"/>
      <c r="H166" s="72"/>
      <c r="I166" s="7"/>
    </row>
    <row r="167" spans="6:9" ht="0" hidden="1" customHeight="1">
      <c r="F167" s="23"/>
      <c r="G167" s="27"/>
      <c r="H167" s="72"/>
      <c r="I167" s="7"/>
    </row>
    <row r="168" spans="6:9" ht="0" hidden="1" customHeight="1">
      <c r="F168" s="23"/>
      <c r="G168" s="27"/>
      <c r="H168" s="72"/>
      <c r="I168" s="7"/>
    </row>
    <row r="169" spans="6:9" ht="0" hidden="1" customHeight="1">
      <c r="F169" s="23"/>
      <c r="G169" s="27"/>
      <c r="H169" s="72"/>
      <c r="I169" s="7"/>
    </row>
    <row r="170" spans="6:9" ht="0" hidden="1" customHeight="1">
      <c r="F170" s="23"/>
      <c r="G170" s="27"/>
      <c r="H170" s="72"/>
      <c r="I170" s="7"/>
    </row>
    <row r="171" spans="6:9" ht="0" hidden="1" customHeight="1">
      <c r="F171" s="23"/>
      <c r="G171" s="27"/>
      <c r="H171" s="72"/>
      <c r="I171" s="7"/>
    </row>
    <row r="172" spans="6:9" ht="0" hidden="1" customHeight="1">
      <c r="F172" s="23"/>
      <c r="G172" s="27"/>
      <c r="H172" s="72"/>
      <c r="I172" s="7"/>
    </row>
    <row r="173" spans="6:9" ht="0" hidden="1" customHeight="1">
      <c r="F173" s="23"/>
      <c r="G173" s="27"/>
      <c r="H173" s="72"/>
      <c r="I173" s="7"/>
    </row>
    <row r="174" spans="6:9" ht="0" hidden="1" customHeight="1">
      <c r="F174" s="23"/>
      <c r="G174" s="27"/>
      <c r="H174" s="72"/>
      <c r="I174" s="7"/>
    </row>
    <row r="175" spans="6:9" ht="0" hidden="1" customHeight="1">
      <c r="F175" s="23"/>
      <c r="G175" s="27"/>
      <c r="H175" s="72"/>
      <c r="I175" s="7"/>
    </row>
    <row r="176" spans="6:9" ht="0" hidden="1" customHeight="1">
      <c r="F176" s="23"/>
      <c r="G176" s="27"/>
      <c r="H176" s="72"/>
      <c r="I176" s="7"/>
    </row>
    <row r="177" spans="6:9" ht="0" hidden="1" customHeight="1">
      <c r="F177" s="23"/>
      <c r="G177" s="27"/>
      <c r="H177" s="72"/>
      <c r="I177" s="7"/>
    </row>
    <row r="178" spans="6:9" ht="0" hidden="1" customHeight="1">
      <c r="F178" s="23"/>
      <c r="G178" s="27"/>
      <c r="H178" s="72"/>
      <c r="I178" s="7"/>
    </row>
    <row r="179" spans="6:9" ht="0" hidden="1" customHeight="1">
      <c r="F179" s="23"/>
      <c r="G179" s="27"/>
      <c r="H179" s="72"/>
      <c r="I179" s="7"/>
    </row>
    <row r="180" spans="6:9" ht="0" hidden="1" customHeight="1">
      <c r="F180" s="23"/>
      <c r="G180" s="27"/>
      <c r="H180" s="72"/>
      <c r="I180" s="7"/>
    </row>
    <row r="181" spans="6:9" ht="0" hidden="1" customHeight="1">
      <c r="F181" s="23"/>
      <c r="G181" s="27"/>
      <c r="H181" s="72"/>
      <c r="I181" s="7"/>
    </row>
    <row r="182" spans="6:9" ht="0" hidden="1" customHeight="1">
      <c r="F182" s="23"/>
      <c r="G182" s="27"/>
      <c r="H182" s="72"/>
      <c r="I182" s="7"/>
    </row>
    <row r="183" spans="6:9" ht="0" hidden="1" customHeight="1">
      <c r="F183" s="23"/>
      <c r="G183" s="27"/>
      <c r="H183" s="72"/>
      <c r="I183" s="7"/>
    </row>
    <row r="184" spans="6:9" ht="0" hidden="1" customHeight="1">
      <c r="F184" s="23"/>
      <c r="G184" s="27"/>
      <c r="H184" s="72"/>
      <c r="I184" s="7"/>
    </row>
    <row r="185" spans="6:9" ht="0" hidden="1" customHeight="1">
      <c r="F185" s="23"/>
      <c r="G185" s="27"/>
      <c r="H185" s="72"/>
      <c r="I185" s="7"/>
    </row>
    <row r="186" spans="6:9" ht="0" hidden="1" customHeight="1">
      <c r="F186" s="23"/>
      <c r="G186" s="27"/>
      <c r="H186" s="72"/>
      <c r="I186" s="7"/>
    </row>
    <row r="187" spans="6:9" ht="0" hidden="1" customHeight="1">
      <c r="F187" s="23"/>
      <c r="G187" s="27"/>
      <c r="H187" s="72"/>
      <c r="I187" s="7"/>
    </row>
    <row r="188" spans="6:9" ht="0" hidden="1" customHeight="1">
      <c r="F188" s="23"/>
      <c r="G188" s="27"/>
      <c r="H188" s="72"/>
      <c r="I188" s="7"/>
    </row>
    <row r="189" spans="6:9" ht="0" hidden="1" customHeight="1">
      <c r="F189" s="23"/>
      <c r="G189" s="27"/>
      <c r="H189" s="72"/>
      <c r="I189" s="7"/>
    </row>
    <row r="190" spans="6:9" ht="0" hidden="1" customHeight="1">
      <c r="F190" s="23"/>
      <c r="G190" s="27"/>
      <c r="H190" s="72"/>
      <c r="I190" s="7"/>
    </row>
    <row r="191" spans="6:9" ht="0" hidden="1" customHeight="1">
      <c r="F191" s="23"/>
      <c r="G191" s="27"/>
      <c r="H191" s="72"/>
      <c r="I191" s="7"/>
    </row>
    <row r="192" spans="6:9" ht="0" hidden="1" customHeight="1">
      <c r="F192" s="23"/>
      <c r="G192" s="27"/>
      <c r="H192" s="72"/>
      <c r="I192" s="7"/>
    </row>
    <row r="193" spans="6:9" ht="0" hidden="1" customHeight="1">
      <c r="F193" s="23"/>
      <c r="G193" s="27"/>
      <c r="H193" s="72"/>
      <c r="I193" s="7"/>
    </row>
    <row r="194" spans="6:9" ht="0" hidden="1" customHeight="1">
      <c r="F194" s="23"/>
      <c r="G194" s="27"/>
      <c r="H194" s="72"/>
      <c r="I194" s="7"/>
    </row>
    <row r="195" spans="6:9" ht="0" hidden="1" customHeight="1">
      <c r="F195" s="23"/>
      <c r="G195" s="27"/>
      <c r="H195" s="72"/>
      <c r="I195" s="7"/>
    </row>
    <row r="196" spans="6:9" ht="0" hidden="1" customHeight="1">
      <c r="F196" s="23"/>
      <c r="G196" s="27"/>
      <c r="H196" s="72"/>
      <c r="I196" s="7"/>
    </row>
    <row r="197" spans="6:9" ht="0" hidden="1" customHeight="1">
      <c r="F197" s="23"/>
      <c r="G197" s="27"/>
      <c r="H197" s="72"/>
      <c r="I197" s="7"/>
    </row>
    <row r="198" spans="6:9" ht="0" hidden="1" customHeight="1">
      <c r="F198" s="23"/>
      <c r="G198" s="27"/>
      <c r="H198" s="72"/>
      <c r="I198" s="7"/>
    </row>
    <row r="199" spans="6:9" ht="0" hidden="1" customHeight="1">
      <c r="F199" s="23"/>
      <c r="G199" s="27"/>
      <c r="H199" s="72"/>
      <c r="I199" s="7"/>
    </row>
    <row r="200" spans="6:9" ht="0" hidden="1" customHeight="1">
      <c r="F200" s="23"/>
      <c r="G200" s="27"/>
      <c r="H200" s="72"/>
      <c r="I200" s="7"/>
    </row>
    <row r="201" spans="6:9" ht="0" hidden="1" customHeight="1">
      <c r="F201" s="23"/>
      <c r="G201" s="27"/>
      <c r="H201" s="72"/>
      <c r="I201" s="7"/>
    </row>
    <row r="202" spans="6:9" ht="0" hidden="1" customHeight="1">
      <c r="F202" s="23"/>
      <c r="G202" s="27"/>
      <c r="H202" s="72"/>
      <c r="I202" s="7"/>
    </row>
    <row r="203" spans="6:9" ht="0" hidden="1" customHeight="1">
      <c r="F203" s="23"/>
      <c r="G203" s="27"/>
      <c r="H203" s="72"/>
      <c r="I203" s="7"/>
    </row>
    <row r="204" spans="6:9" ht="0" hidden="1" customHeight="1">
      <c r="F204" s="23"/>
      <c r="G204" s="27"/>
      <c r="H204" s="72"/>
      <c r="I204" s="7"/>
    </row>
    <row r="205" spans="6:9" ht="0" hidden="1" customHeight="1">
      <c r="F205" s="23"/>
      <c r="G205" s="27"/>
      <c r="H205" s="72"/>
      <c r="I205" s="7"/>
    </row>
    <row r="206" spans="6:9" ht="0" hidden="1" customHeight="1">
      <c r="F206" s="23"/>
      <c r="G206" s="27"/>
      <c r="H206" s="72"/>
      <c r="I206" s="7"/>
    </row>
    <row r="207" spans="6:9" ht="0" hidden="1" customHeight="1">
      <c r="F207" s="23"/>
      <c r="G207" s="27"/>
      <c r="H207" s="72"/>
      <c r="I207" s="7"/>
    </row>
    <row r="208" spans="6:9" ht="0" hidden="1" customHeight="1">
      <c r="F208" s="23"/>
      <c r="G208" s="27"/>
      <c r="H208" s="72"/>
      <c r="I208" s="7"/>
    </row>
    <row r="209" spans="6:9" ht="0" hidden="1" customHeight="1">
      <c r="F209" s="23"/>
      <c r="G209" s="27"/>
      <c r="H209" s="72"/>
      <c r="I209" s="7"/>
    </row>
    <row r="210" spans="6:9" ht="0" hidden="1" customHeight="1">
      <c r="F210" s="23"/>
      <c r="G210" s="27"/>
      <c r="H210" s="72"/>
      <c r="I210" s="7"/>
    </row>
    <row r="211" spans="6:9" ht="0" hidden="1" customHeight="1">
      <c r="F211" s="23"/>
      <c r="G211" s="27"/>
      <c r="H211" s="72"/>
      <c r="I211" s="7"/>
    </row>
    <row r="212" spans="6:9" ht="0" hidden="1" customHeight="1">
      <c r="F212" s="23"/>
      <c r="G212" s="27"/>
      <c r="H212" s="72"/>
      <c r="I212" s="7"/>
    </row>
    <row r="213" spans="6:9" ht="0" hidden="1" customHeight="1">
      <c r="F213" s="23"/>
      <c r="G213" s="27"/>
      <c r="H213" s="72"/>
      <c r="I213" s="7"/>
    </row>
    <row r="214" spans="6:9" ht="0" hidden="1" customHeight="1">
      <c r="F214" s="23"/>
      <c r="G214" s="27"/>
      <c r="H214" s="72"/>
      <c r="I214" s="7"/>
    </row>
    <row r="215" spans="6:9" ht="0" hidden="1" customHeight="1">
      <c r="F215" s="23"/>
      <c r="G215" s="27"/>
      <c r="H215" s="72"/>
      <c r="I215" s="7"/>
    </row>
    <row r="216" spans="6:9" ht="0" hidden="1" customHeight="1">
      <c r="F216" s="23"/>
      <c r="G216" s="27"/>
      <c r="H216" s="72"/>
      <c r="I216" s="7"/>
    </row>
    <row r="217" spans="6:9" ht="0" hidden="1" customHeight="1">
      <c r="F217" s="23"/>
      <c r="G217" s="27"/>
      <c r="H217" s="72"/>
      <c r="I217" s="7"/>
    </row>
    <row r="218" spans="6:9" ht="0" hidden="1" customHeight="1">
      <c r="F218" s="23"/>
      <c r="G218" s="27"/>
      <c r="H218" s="72"/>
      <c r="I218" s="7"/>
    </row>
    <row r="219" spans="6:9" ht="0" hidden="1" customHeight="1">
      <c r="F219" s="23"/>
      <c r="G219" s="27"/>
      <c r="H219" s="72"/>
      <c r="I219" s="7"/>
    </row>
    <row r="220" spans="6:9" ht="0" hidden="1" customHeight="1">
      <c r="F220" s="23"/>
      <c r="G220" s="27"/>
      <c r="H220" s="72"/>
      <c r="I220" s="7"/>
    </row>
    <row r="221" spans="6:9" ht="0" hidden="1" customHeight="1">
      <c r="F221" s="23"/>
      <c r="G221" s="27"/>
      <c r="H221" s="72"/>
      <c r="I221" s="7"/>
    </row>
    <row r="222" spans="6:9" ht="0" hidden="1" customHeight="1">
      <c r="F222" s="23"/>
      <c r="G222" s="27"/>
      <c r="H222" s="72"/>
      <c r="I222" s="7"/>
    </row>
    <row r="223" spans="6:9" ht="0" hidden="1" customHeight="1">
      <c r="F223" s="23"/>
      <c r="G223" s="27"/>
      <c r="H223" s="72"/>
      <c r="I223" s="7"/>
    </row>
    <row r="224" spans="6:9" ht="0" hidden="1" customHeight="1">
      <c r="F224" s="23"/>
      <c r="G224" s="27"/>
      <c r="H224" s="72"/>
      <c r="I224" s="7"/>
    </row>
    <row r="225" spans="6:9" ht="0" hidden="1" customHeight="1">
      <c r="F225" s="23"/>
      <c r="G225" s="27"/>
      <c r="H225" s="72"/>
      <c r="I225" s="7"/>
    </row>
    <row r="226" spans="6:9" ht="0" hidden="1" customHeight="1">
      <c r="F226" s="23"/>
      <c r="G226" s="27"/>
      <c r="H226" s="72"/>
      <c r="I226" s="7"/>
    </row>
    <row r="227" spans="6:9" ht="0" hidden="1" customHeight="1">
      <c r="F227" s="23"/>
      <c r="G227" s="27"/>
      <c r="H227" s="72"/>
      <c r="I227" s="7"/>
    </row>
    <row r="228" spans="6:9" ht="0" hidden="1" customHeight="1">
      <c r="F228" s="23"/>
      <c r="G228" s="27"/>
      <c r="H228" s="72"/>
      <c r="I228" s="7"/>
    </row>
    <row r="229" spans="6:9" ht="0" hidden="1" customHeight="1">
      <c r="F229" s="23"/>
      <c r="G229" s="27"/>
      <c r="H229" s="72"/>
      <c r="I229" s="7"/>
    </row>
    <row r="230" spans="6:9" ht="0" hidden="1" customHeight="1">
      <c r="F230" s="23"/>
      <c r="G230" s="27"/>
      <c r="H230" s="72"/>
      <c r="I230" s="7"/>
    </row>
    <row r="231" spans="6:9" ht="0" hidden="1" customHeight="1">
      <c r="F231" s="23"/>
      <c r="G231" s="27"/>
      <c r="H231" s="72"/>
      <c r="I231" s="7"/>
    </row>
    <row r="232" spans="6:9" ht="0" hidden="1" customHeight="1">
      <c r="F232" s="23"/>
      <c r="G232" s="27"/>
      <c r="H232" s="72"/>
      <c r="I232" s="7"/>
    </row>
    <row r="233" spans="6:9" ht="0" hidden="1" customHeight="1">
      <c r="F233" s="23"/>
      <c r="G233" s="27"/>
      <c r="H233" s="72"/>
      <c r="I233" s="7"/>
    </row>
    <row r="234" spans="6:9" ht="0" hidden="1" customHeight="1">
      <c r="F234" s="23"/>
      <c r="G234" s="27"/>
      <c r="H234" s="72"/>
      <c r="I234" s="7"/>
    </row>
    <row r="235" spans="6:9" ht="0" hidden="1" customHeight="1">
      <c r="F235" s="23"/>
      <c r="G235" s="27"/>
      <c r="H235" s="72"/>
      <c r="I235" s="7"/>
    </row>
    <row r="236" spans="6:9" ht="0" hidden="1" customHeight="1">
      <c r="F236" s="23"/>
      <c r="G236" s="27"/>
      <c r="H236" s="72"/>
      <c r="I236" s="7"/>
    </row>
    <row r="237" spans="6:9" ht="0" hidden="1" customHeight="1">
      <c r="F237" s="23"/>
      <c r="G237" s="27"/>
      <c r="H237" s="72"/>
      <c r="I237" s="7"/>
    </row>
    <row r="238" spans="6:9" ht="0" hidden="1" customHeight="1">
      <c r="F238" s="23"/>
      <c r="G238" s="27"/>
      <c r="H238" s="72"/>
      <c r="I238" s="7"/>
    </row>
    <row r="239" spans="6:9" ht="0" hidden="1" customHeight="1">
      <c r="F239" s="23"/>
      <c r="G239" s="27"/>
      <c r="H239" s="72"/>
      <c r="I239" s="7"/>
    </row>
    <row r="240" spans="6:9" ht="0" hidden="1" customHeight="1">
      <c r="F240" s="23"/>
      <c r="G240" s="27"/>
      <c r="H240" s="72"/>
      <c r="I240" s="7"/>
    </row>
    <row r="241" spans="6:9" ht="0" hidden="1" customHeight="1">
      <c r="F241" s="23"/>
      <c r="G241" s="27"/>
      <c r="H241" s="72"/>
      <c r="I241" s="7"/>
    </row>
    <row r="242" spans="6:9" ht="0" hidden="1" customHeight="1">
      <c r="F242" s="23"/>
      <c r="G242" s="27"/>
      <c r="H242" s="72"/>
      <c r="I242" s="7"/>
    </row>
    <row r="243" spans="6:9" ht="0" hidden="1" customHeight="1">
      <c r="F243" s="23"/>
      <c r="G243" s="27"/>
      <c r="H243" s="72"/>
      <c r="I243" s="7"/>
    </row>
    <row r="244" spans="6:9" ht="0" hidden="1" customHeight="1">
      <c r="F244" s="23"/>
      <c r="G244" s="27"/>
      <c r="H244" s="72"/>
      <c r="I244" s="7"/>
    </row>
    <row r="245" spans="6:9" ht="0" hidden="1" customHeight="1">
      <c r="F245" s="23"/>
      <c r="G245" s="27"/>
      <c r="H245" s="72"/>
      <c r="I245" s="7"/>
    </row>
    <row r="246" spans="6:9" ht="0" hidden="1" customHeight="1">
      <c r="F246" s="23"/>
      <c r="G246" s="27"/>
      <c r="H246" s="72"/>
      <c r="I246" s="7"/>
    </row>
    <row r="247" spans="6:9" ht="0" hidden="1" customHeight="1">
      <c r="F247" s="23"/>
      <c r="G247" s="27"/>
      <c r="H247" s="72"/>
      <c r="I247" s="7"/>
    </row>
    <row r="248" spans="6:9" ht="0" hidden="1" customHeight="1">
      <c r="F248" s="23"/>
      <c r="G248" s="27"/>
      <c r="H248" s="72"/>
      <c r="I248" s="7"/>
    </row>
    <row r="249" spans="6:9" ht="0" hidden="1" customHeight="1">
      <c r="F249" s="23"/>
      <c r="G249" s="27"/>
      <c r="H249" s="72"/>
      <c r="I249" s="7"/>
    </row>
    <row r="250" spans="6:9" ht="0" hidden="1" customHeight="1">
      <c r="F250" s="23"/>
      <c r="G250" s="27"/>
      <c r="H250" s="72"/>
      <c r="I250" s="7"/>
    </row>
    <row r="251" spans="6:9" ht="0" hidden="1" customHeight="1">
      <c r="F251" s="23"/>
      <c r="G251" s="27"/>
      <c r="H251" s="72"/>
      <c r="I251" s="7"/>
    </row>
    <row r="252" spans="6:9" ht="0" hidden="1" customHeight="1">
      <c r="F252" s="23"/>
      <c r="G252" s="27"/>
      <c r="H252" s="72"/>
      <c r="I252" s="7"/>
    </row>
    <row r="253" spans="6:9" ht="0" hidden="1" customHeight="1">
      <c r="F253" s="23"/>
      <c r="G253" s="27"/>
      <c r="H253" s="72"/>
      <c r="I253" s="7"/>
    </row>
    <row r="254" spans="6:9" ht="0" hidden="1" customHeight="1">
      <c r="F254" s="23"/>
      <c r="G254" s="27"/>
      <c r="H254" s="72"/>
      <c r="I254" s="7"/>
    </row>
    <row r="255" spans="6:9" ht="0" hidden="1" customHeight="1">
      <c r="F255" s="23"/>
      <c r="G255" s="27"/>
      <c r="H255" s="72"/>
      <c r="I255" s="7"/>
    </row>
    <row r="256" spans="6:9" ht="0" hidden="1" customHeight="1">
      <c r="F256" s="23"/>
      <c r="G256" s="27"/>
      <c r="H256" s="72"/>
      <c r="I256" s="7"/>
    </row>
    <row r="257" spans="6:9" ht="0" hidden="1" customHeight="1">
      <c r="F257" s="23"/>
      <c r="G257" s="27"/>
      <c r="H257" s="72"/>
      <c r="I257" s="7"/>
    </row>
    <row r="258" spans="6:9" ht="0" hidden="1" customHeight="1">
      <c r="F258" s="23"/>
      <c r="G258" s="27"/>
      <c r="H258" s="72"/>
      <c r="I258" s="7"/>
    </row>
    <row r="259" spans="6:9" ht="0" hidden="1" customHeight="1">
      <c r="F259" s="23"/>
      <c r="G259" s="27"/>
      <c r="H259" s="72"/>
      <c r="I259" s="7"/>
    </row>
    <row r="260" spans="6:9" ht="0" hidden="1" customHeight="1">
      <c r="F260" s="23"/>
      <c r="G260" s="27"/>
      <c r="H260" s="72"/>
      <c r="I260" s="7"/>
    </row>
    <row r="261" spans="6:9" ht="0" hidden="1" customHeight="1">
      <c r="F261" s="23"/>
      <c r="G261" s="27"/>
      <c r="H261" s="72"/>
      <c r="I261" s="7"/>
    </row>
    <row r="262" spans="6:9" ht="0" hidden="1" customHeight="1">
      <c r="F262" s="23"/>
      <c r="G262" s="27"/>
      <c r="H262" s="72"/>
      <c r="I262" s="7"/>
    </row>
    <row r="263" spans="6:9" ht="0" hidden="1" customHeight="1">
      <c r="F263" s="23"/>
      <c r="G263" s="27"/>
      <c r="H263" s="72"/>
      <c r="I263" s="7"/>
    </row>
    <row r="264" spans="6:9" ht="0" hidden="1" customHeight="1">
      <c r="F264" s="23"/>
      <c r="G264" s="27"/>
      <c r="H264" s="72"/>
      <c r="I264" s="7"/>
    </row>
    <row r="265" spans="6:9" ht="0" hidden="1" customHeight="1">
      <c r="F265" s="23"/>
      <c r="G265" s="27"/>
      <c r="H265" s="72"/>
      <c r="I265" s="7"/>
    </row>
    <row r="266" spans="6:9" ht="0" hidden="1" customHeight="1">
      <c r="F266" s="23"/>
      <c r="G266" s="27"/>
      <c r="H266" s="72"/>
      <c r="I266" s="7"/>
    </row>
    <row r="267" spans="6:9" ht="0" hidden="1" customHeight="1">
      <c r="F267" s="23"/>
      <c r="G267" s="27"/>
      <c r="H267" s="72"/>
      <c r="I267" s="7"/>
    </row>
    <row r="268" spans="6:9" ht="0" hidden="1" customHeight="1">
      <c r="F268" s="23"/>
      <c r="G268" s="27"/>
      <c r="H268" s="72"/>
      <c r="I268" s="7"/>
    </row>
    <row r="269" spans="6:9" ht="0" hidden="1" customHeight="1">
      <c r="F269" s="23"/>
      <c r="G269" s="27"/>
      <c r="H269" s="72"/>
      <c r="I269" s="7"/>
    </row>
    <row r="270" spans="6:9" ht="0" hidden="1" customHeight="1">
      <c r="F270" s="23"/>
      <c r="G270" s="27"/>
      <c r="H270" s="72"/>
      <c r="I270" s="7"/>
    </row>
    <row r="271" spans="6:9" ht="0" hidden="1" customHeight="1">
      <c r="F271" s="23"/>
      <c r="G271" s="27"/>
      <c r="H271" s="72"/>
      <c r="I271" s="7"/>
    </row>
    <row r="272" spans="6:9" ht="0" hidden="1" customHeight="1">
      <c r="F272" s="23"/>
      <c r="G272" s="27"/>
      <c r="H272" s="72"/>
      <c r="I272" s="7"/>
    </row>
    <row r="273" spans="6:9" ht="0" hidden="1" customHeight="1">
      <c r="F273" s="23"/>
      <c r="G273" s="27"/>
      <c r="H273" s="72"/>
      <c r="I273" s="7"/>
    </row>
    <row r="274" spans="6:9" ht="0" hidden="1" customHeight="1">
      <c r="F274" s="23"/>
      <c r="G274" s="27"/>
      <c r="H274" s="72"/>
      <c r="I274" s="7"/>
    </row>
    <row r="275" spans="6:9" ht="0" hidden="1" customHeight="1">
      <c r="F275" s="23"/>
      <c r="G275" s="27"/>
      <c r="H275" s="72"/>
      <c r="I275" s="7"/>
    </row>
    <row r="276" spans="6:9" ht="0" hidden="1" customHeight="1">
      <c r="F276" s="23"/>
      <c r="G276" s="27"/>
      <c r="H276" s="72"/>
      <c r="I276" s="7"/>
    </row>
    <row r="277" spans="6:9" ht="0" hidden="1" customHeight="1">
      <c r="F277" s="23"/>
      <c r="G277" s="27"/>
      <c r="H277" s="72"/>
      <c r="I277" s="7"/>
    </row>
    <row r="278" spans="6:9" ht="0" hidden="1" customHeight="1">
      <c r="F278" s="23"/>
      <c r="G278" s="27"/>
      <c r="H278" s="72"/>
      <c r="I278" s="7"/>
    </row>
    <row r="279" spans="6:9" ht="0" hidden="1" customHeight="1">
      <c r="F279" s="23"/>
      <c r="G279" s="27"/>
      <c r="H279" s="72"/>
      <c r="I279" s="7"/>
    </row>
    <row r="280" spans="6:9" ht="0" hidden="1" customHeight="1">
      <c r="F280" s="23"/>
      <c r="G280" s="27"/>
      <c r="H280" s="72"/>
      <c r="I280" s="7"/>
    </row>
    <row r="281" spans="6:9" ht="0" hidden="1" customHeight="1">
      <c r="F281" s="23"/>
      <c r="G281" s="27"/>
      <c r="H281" s="72"/>
      <c r="I281" s="7"/>
    </row>
    <row r="282" spans="6:9" ht="0" hidden="1" customHeight="1">
      <c r="F282" s="23"/>
      <c r="G282" s="27"/>
      <c r="H282" s="72"/>
      <c r="I282" s="7"/>
    </row>
    <row r="283" spans="6:9" ht="0" hidden="1" customHeight="1">
      <c r="F283" s="23"/>
      <c r="G283" s="27"/>
      <c r="H283" s="72"/>
      <c r="I283" s="7"/>
    </row>
    <row r="284" spans="6:9" ht="0" hidden="1" customHeight="1">
      <c r="F284" s="23"/>
      <c r="G284" s="27"/>
      <c r="H284" s="72"/>
      <c r="I284" s="7"/>
    </row>
    <row r="285" spans="6:9" ht="0" hidden="1" customHeight="1">
      <c r="F285" s="23"/>
      <c r="G285" s="27"/>
      <c r="H285" s="72"/>
      <c r="I285" s="7"/>
    </row>
    <row r="286" spans="6:9" ht="0" hidden="1" customHeight="1">
      <c r="F286" s="23"/>
      <c r="G286" s="27"/>
      <c r="H286" s="72"/>
      <c r="I286" s="7"/>
    </row>
    <row r="287" spans="6:9" ht="0" hidden="1" customHeight="1">
      <c r="F287" s="23"/>
      <c r="G287" s="27"/>
      <c r="H287" s="72"/>
      <c r="I287" s="7"/>
    </row>
    <row r="288" spans="6:9" ht="0" hidden="1" customHeight="1">
      <c r="F288" s="23"/>
      <c r="G288" s="27"/>
      <c r="H288" s="72"/>
      <c r="I288" s="7"/>
    </row>
    <row r="289" spans="6:9" ht="0" hidden="1" customHeight="1">
      <c r="F289" s="23"/>
      <c r="G289" s="27"/>
      <c r="H289" s="72"/>
      <c r="I289" s="7"/>
    </row>
    <row r="290" spans="6:9" ht="0" hidden="1" customHeight="1">
      <c r="F290" s="23"/>
      <c r="G290" s="27"/>
      <c r="H290" s="72"/>
      <c r="I290" s="7"/>
    </row>
    <row r="291" spans="6:9" ht="0" hidden="1" customHeight="1">
      <c r="F291" s="23"/>
      <c r="G291" s="27"/>
      <c r="H291" s="72"/>
      <c r="I291" s="7"/>
    </row>
    <row r="292" spans="6:9" ht="0" hidden="1" customHeight="1">
      <c r="F292" s="23"/>
      <c r="G292" s="27"/>
      <c r="H292" s="72"/>
      <c r="I292" s="7"/>
    </row>
    <row r="293" spans="6:9" ht="0" hidden="1" customHeight="1">
      <c r="F293" s="23"/>
      <c r="G293" s="27"/>
      <c r="H293" s="72"/>
      <c r="I293" s="7"/>
    </row>
    <row r="294" spans="6:9" ht="0" hidden="1" customHeight="1">
      <c r="F294" s="23"/>
      <c r="G294" s="27"/>
      <c r="H294" s="72"/>
      <c r="I294" s="7"/>
    </row>
    <row r="295" spans="6:9" ht="0" hidden="1" customHeight="1">
      <c r="F295" s="23"/>
      <c r="G295" s="27"/>
      <c r="H295" s="72"/>
      <c r="I295" s="7"/>
    </row>
    <row r="296" spans="6:9" ht="0" hidden="1" customHeight="1">
      <c r="F296" s="23"/>
      <c r="G296" s="27"/>
      <c r="H296" s="72"/>
      <c r="I296" s="7"/>
    </row>
    <row r="297" spans="6:9" ht="0" hidden="1" customHeight="1">
      <c r="F297" s="23"/>
      <c r="G297" s="27"/>
      <c r="H297" s="72"/>
      <c r="I297" s="7"/>
    </row>
    <row r="298" spans="6:9" ht="0" hidden="1" customHeight="1">
      <c r="F298" s="23"/>
      <c r="G298" s="27"/>
      <c r="H298" s="72"/>
      <c r="I298" s="7"/>
    </row>
    <row r="299" spans="6:9" ht="0" hidden="1" customHeight="1">
      <c r="F299" s="23"/>
      <c r="G299" s="27"/>
      <c r="H299" s="72"/>
      <c r="I299" s="7"/>
    </row>
    <row r="300" spans="6:9" ht="0" hidden="1" customHeight="1">
      <c r="F300" s="23"/>
      <c r="G300" s="27"/>
      <c r="H300" s="72"/>
      <c r="I300" s="7"/>
    </row>
    <row r="301" spans="6:9" ht="0" hidden="1" customHeight="1">
      <c r="F301" s="23"/>
      <c r="G301" s="27"/>
      <c r="H301" s="72"/>
      <c r="I301" s="7"/>
    </row>
    <row r="302" spans="6:9" ht="0" hidden="1" customHeight="1">
      <c r="F302" s="23"/>
      <c r="G302" s="27"/>
      <c r="H302" s="72"/>
      <c r="I302" s="7"/>
    </row>
    <row r="303" spans="6:9" ht="0" hidden="1" customHeight="1">
      <c r="F303" s="23"/>
      <c r="G303" s="27"/>
      <c r="H303" s="72"/>
      <c r="I303" s="7"/>
    </row>
    <row r="304" spans="6:9" ht="0" hidden="1" customHeight="1">
      <c r="F304" s="23"/>
      <c r="G304" s="27"/>
      <c r="H304" s="72"/>
      <c r="I304" s="7"/>
    </row>
    <row r="305" spans="6:9" ht="0" hidden="1" customHeight="1">
      <c r="F305" s="23"/>
      <c r="G305" s="27"/>
      <c r="H305" s="72"/>
      <c r="I305" s="7"/>
    </row>
    <row r="306" spans="6:9" ht="0" hidden="1" customHeight="1">
      <c r="F306" s="23"/>
      <c r="G306" s="27"/>
      <c r="H306" s="72"/>
      <c r="I306" s="7"/>
    </row>
    <row r="307" spans="6:9" ht="0" hidden="1" customHeight="1">
      <c r="F307" s="23"/>
      <c r="G307" s="27"/>
      <c r="H307" s="72"/>
      <c r="I307" s="7"/>
    </row>
    <row r="308" spans="6:9" ht="0" hidden="1" customHeight="1">
      <c r="F308" s="23"/>
      <c r="G308" s="27"/>
      <c r="H308" s="72"/>
      <c r="I308" s="7"/>
    </row>
    <row r="309" spans="6:9" ht="0" hidden="1" customHeight="1">
      <c r="F309" s="23"/>
      <c r="G309" s="27"/>
      <c r="H309" s="72"/>
      <c r="I309" s="7"/>
    </row>
    <row r="310" spans="6:9" ht="0" hidden="1" customHeight="1">
      <c r="F310" s="23"/>
      <c r="G310" s="27"/>
      <c r="H310" s="72"/>
      <c r="I310" s="7"/>
    </row>
    <row r="311" spans="6:9" ht="0" hidden="1" customHeight="1">
      <c r="F311" s="23"/>
      <c r="G311" s="27"/>
      <c r="H311" s="72"/>
      <c r="I311" s="7"/>
    </row>
    <row r="312" spans="6:9" ht="0" hidden="1" customHeight="1">
      <c r="F312" s="23"/>
      <c r="G312" s="27"/>
      <c r="H312" s="72"/>
      <c r="I312" s="7"/>
    </row>
    <row r="313" spans="6:9" ht="0" hidden="1" customHeight="1">
      <c r="F313" s="23"/>
      <c r="G313" s="27"/>
      <c r="H313" s="72"/>
      <c r="I313" s="7"/>
    </row>
    <row r="314" spans="6:9" ht="0" hidden="1" customHeight="1">
      <c r="F314" s="23"/>
      <c r="G314" s="27"/>
      <c r="H314" s="72"/>
      <c r="I314" s="7"/>
    </row>
    <row r="315" spans="6:9" ht="0" hidden="1" customHeight="1">
      <c r="F315" s="23"/>
      <c r="G315" s="27"/>
      <c r="H315" s="72"/>
      <c r="I315" s="7"/>
    </row>
    <row r="316" spans="6:9" ht="0" hidden="1" customHeight="1">
      <c r="F316" s="23"/>
      <c r="G316" s="27"/>
      <c r="H316" s="72"/>
      <c r="I316" s="7"/>
    </row>
    <row r="317" spans="6:9" ht="0" hidden="1" customHeight="1">
      <c r="F317" s="23"/>
      <c r="G317" s="27"/>
      <c r="H317" s="72"/>
      <c r="I317" s="7"/>
    </row>
    <row r="318" spans="6:9" ht="0" hidden="1" customHeight="1">
      <c r="F318" s="23"/>
      <c r="G318" s="27"/>
      <c r="H318" s="72"/>
      <c r="I318" s="7"/>
    </row>
    <row r="319" spans="6:9" ht="0" hidden="1" customHeight="1">
      <c r="F319" s="23"/>
      <c r="G319" s="27"/>
      <c r="H319" s="72"/>
      <c r="I319" s="7"/>
    </row>
    <row r="320" spans="6:9" ht="0" hidden="1" customHeight="1">
      <c r="F320" s="23"/>
      <c r="G320" s="27"/>
      <c r="H320" s="72"/>
      <c r="I320" s="7"/>
    </row>
    <row r="321" spans="6:9" ht="0" hidden="1" customHeight="1">
      <c r="F321" s="23"/>
      <c r="G321" s="27"/>
      <c r="H321" s="72"/>
      <c r="I321" s="7"/>
    </row>
    <row r="322" spans="6:9" ht="0" hidden="1" customHeight="1">
      <c r="F322" s="23"/>
      <c r="G322" s="27"/>
      <c r="H322" s="72"/>
      <c r="I322" s="7"/>
    </row>
    <row r="323" spans="6:9" ht="0" hidden="1" customHeight="1">
      <c r="F323" s="23"/>
      <c r="G323" s="27"/>
      <c r="H323" s="72"/>
      <c r="I323" s="7"/>
    </row>
    <row r="324" spans="6:9" ht="0" hidden="1" customHeight="1">
      <c r="F324" s="23"/>
      <c r="G324" s="27"/>
      <c r="H324" s="72"/>
      <c r="I324" s="7"/>
    </row>
    <row r="325" spans="6:9" ht="0" hidden="1" customHeight="1">
      <c r="F325" s="23"/>
      <c r="G325" s="27"/>
      <c r="H325" s="72"/>
      <c r="I325" s="7"/>
    </row>
    <row r="326" spans="6:9" ht="0" hidden="1" customHeight="1">
      <c r="F326" s="23"/>
      <c r="G326" s="27"/>
      <c r="H326" s="72"/>
      <c r="I326" s="7"/>
    </row>
    <row r="327" spans="6:9" ht="0" hidden="1" customHeight="1">
      <c r="F327" s="23"/>
      <c r="G327" s="27"/>
      <c r="H327" s="72"/>
      <c r="I327" s="7"/>
    </row>
    <row r="328" spans="6:9" ht="0" hidden="1" customHeight="1">
      <c r="F328" s="23"/>
      <c r="G328" s="27"/>
      <c r="H328" s="72"/>
      <c r="I328" s="7"/>
    </row>
    <row r="329" spans="6:9" ht="0" hidden="1" customHeight="1">
      <c r="F329" s="23"/>
      <c r="G329" s="27"/>
      <c r="H329" s="72"/>
      <c r="I329" s="7"/>
    </row>
    <row r="330" spans="6:9" ht="0" hidden="1" customHeight="1">
      <c r="F330" s="23"/>
      <c r="G330" s="27"/>
      <c r="H330" s="72"/>
      <c r="I330" s="7"/>
    </row>
    <row r="331" spans="6:9" ht="0" hidden="1" customHeight="1">
      <c r="F331" s="23"/>
      <c r="G331" s="27"/>
      <c r="H331" s="72"/>
      <c r="I331" s="7"/>
    </row>
    <row r="332" spans="6:9" ht="0" hidden="1" customHeight="1">
      <c r="F332" s="23"/>
      <c r="G332" s="27"/>
      <c r="H332" s="72"/>
      <c r="I332" s="7"/>
    </row>
    <row r="333" spans="6:9" ht="0" hidden="1" customHeight="1">
      <c r="F333" s="23"/>
      <c r="G333" s="27"/>
      <c r="H333" s="72"/>
      <c r="I333" s="7"/>
    </row>
    <row r="334" spans="6:9" ht="0" hidden="1" customHeight="1">
      <c r="F334" s="23"/>
      <c r="G334" s="27"/>
      <c r="H334" s="72"/>
      <c r="I334" s="7"/>
    </row>
    <row r="335" spans="6:9" ht="0" hidden="1" customHeight="1">
      <c r="F335" s="23"/>
      <c r="G335" s="27"/>
      <c r="H335" s="72"/>
      <c r="I335" s="7"/>
    </row>
    <row r="336" spans="6:9" ht="0" hidden="1" customHeight="1">
      <c r="F336" s="23"/>
      <c r="G336" s="27"/>
      <c r="H336" s="72"/>
      <c r="I336" s="7"/>
    </row>
    <row r="337" spans="6:9" ht="0" hidden="1" customHeight="1">
      <c r="F337" s="23"/>
      <c r="G337" s="27"/>
      <c r="H337" s="72"/>
      <c r="I337" s="7"/>
    </row>
    <row r="338" spans="6:9" ht="0" hidden="1" customHeight="1">
      <c r="F338" s="23"/>
      <c r="G338" s="27"/>
      <c r="H338" s="72"/>
      <c r="I338" s="7"/>
    </row>
    <row r="339" spans="6:9" ht="0" hidden="1" customHeight="1">
      <c r="F339" s="23"/>
      <c r="G339" s="27"/>
      <c r="H339" s="72"/>
      <c r="I339" s="7"/>
    </row>
    <row r="340" spans="6:9" ht="0" hidden="1" customHeight="1">
      <c r="F340" s="23"/>
      <c r="G340" s="27"/>
      <c r="H340" s="72"/>
      <c r="I340" s="7"/>
    </row>
    <row r="341" spans="6:9" ht="0" hidden="1" customHeight="1">
      <c r="F341" s="23"/>
      <c r="G341" s="27"/>
      <c r="H341" s="72"/>
      <c r="I341" s="7"/>
    </row>
    <row r="342" spans="6:9" ht="0" hidden="1" customHeight="1">
      <c r="F342" s="23"/>
      <c r="G342" s="27"/>
      <c r="H342" s="72"/>
      <c r="I342" s="7"/>
    </row>
    <row r="343" spans="6:9" ht="0" hidden="1" customHeight="1">
      <c r="F343" s="23"/>
      <c r="G343" s="27"/>
      <c r="H343" s="72"/>
      <c r="I343" s="7"/>
    </row>
    <row r="344" spans="6:9" ht="0" hidden="1" customHeight="1">
      <c r="F344" s="23"/>
      <c r="G344" s="27"/>
      <c r="H344" s="72"/>
      <c r="I344" s="7"/>
    </row>
    <row r="345" spans="6:9" ht="0" hidden="1" customHeight="1">
      <c r="F345" s="23"/>
      <c r="G345" s="27"/>
      <c r="H345" s="72"/>
      <c r="I345" s="7"/>
    </row>
    <row r="346" spans="6:9" ht="0" hidden="1" customHeight="1">
      <c r="F346" s="23"/>
      <c r="G346" s="27"/>
      <c r="H346" s="72"/>
      <c r="I346" s="7"/>
    </row>
    <row r="347" spans="6:9" ht="0" hidden="1" customHeight="1">
      <c r="F347" s="23"/>
      <c r="G347" s="27"/>
      <c r="H347" s="72"/>
      <c r="I347" s="7"/>
    </row>
    <row r="348" spans="6:9" ht="0" hidden="1" customHeight="1">
      <c r="F348" s="23"/>
      <c r="G348" s="27"/>
      <c r="H348" s="72"/>
      <c r="I348" s="7"/>
    </row>
    <row r="349" spans="6:9" ht="0" hidden="1" customHeight="1">
      <c r="F349" s="23"/>
      <c r="G349" s="27"/>
      <c r="H349" s="72"/>
      <c r="I349" s="7"/>
    </row>
    <row r="350" spans="6:9" ht="0" hidden="1" customHeight="1">
      <c r="F350" s="23"/>
      <c r="G350" s="27"/>
      <c r="H350" s="72"/>
      <c r="I350" s="7"/>
    </row>
    <row r="351" spans="6:9" ht="0" hidden="1" customHeight="1">
      <c r="F351" s="23"/>
      <c r="G351" s="27"/>
      <c r="H351" s="72"/>
      <c r="I351" s="7"/>
    </row>
    <row r="352" spans="6:9" ht="0" hidden="1" customHeight="1">
      <c r="F352" s="23"/>
      <c r="G352" s="27"/>
      <c r="H352" s="72"/>
      <c r="I352" s="7"/>
    </row>
    <row r="353" spans="6:9" ht="0" hidden="1" customHeight="1">
      <c r="F353" s="23"/>
      <c r="G353" s="27"/>
      <c r="H353" s="72"/>
      <c r="I353" s="7"/>
    </row>
    <row r="354" spans="6:9" ht="0" hidden="1" customHeight="1">
      <c r="F354" s="23"/>
      <c r="G354" s="27"/>
      <c r="H354" s="72"/>
      <c r="I354" s="7"/>
    </row>
    <row r="355" spans="6:9" ht="0" hidden="1" customHeight="1">
      <c r="F355" s="23"/>
      <c r="G355" s="27"/>
      <c r="H355" s="72"/>
      <c r="I355" s="7"/>
    </row>
    <row r="356" spans="6:9" ht="0" hidden="1" customHeight="1">
      <c r="F356" s="23"/>
      <c r="G356" s="27"/>
      <c r="H356" s="72"/>
      <c r="I356" s="7"/>
    </row>
    <row r="357" spans="6:9" ht="0" hidden="1" customHeight="1">
      <c r="F357" s="23"/>
      <c r="G357" s="27"/>
      <c r="H357" s="72"/>
      <c r="I357" s="7"/>
    </row>
    <row r="358" spans="6:9" ht="0" hidden="1" customHeight="1">
      <c r="F358" s="23"/>
      <c r="G358" s="27"/>
      <c r="H358" s="72"/>
      <c r="I358" s="7"/>
    </row>
    <row r="359" spans="6:9" ht="0" hidden="1" customHeight="1">
      <c r="F359" s="23"/>
      <c r="G359" s="27"/>
      <c r="H359" s="72"/>
      <c r="I359" s="7"/>
    </row>
    <row r="360" spans="6:9" ht="0" hidden="1" customHeight="1">
      <c r="F360" s="23"/>
      <c r="G360" s="27"/>
      <c r="H360" s="72"/>
      <c r="I360" s="7"/>
    </row>
    <row r="361" spans="6:9" ht="0" hidden="1" customHeight="1">
      <c r="F361" s="23"/>
      <c r="G361" s="27"/>
      <c r="H361" s="72"/>
      <c r="I361" s="7"/>
    </row>
    <row r="362" spans="6:9" ht="0" hidden="1" customHeight="1">
      <c r="F362" s="23"/>
      <c r="G362" s="27"/>
      <c r="H362" s="72"/>
      <c r="I362" s="7"/>
    </row>
    <row r="363" spans="6:9" ht="0" hidden="1" customHeight="1">
      <c r="F363" s="23"/>
      <c r="G363" s="27"/>
      <c r="H363" s="72"/>
      <c r="I363" s="7"/>
    </row>
    <row r="364" spans="6:9" ht="0" hidden="1" customHeight="1">
      <c r="F364" s="23"/>
      <c r="G364" s="27"/>
      <c r="H364" s="72"/>
      <c r="I364" s="7"/>
    </row>
    <row r="365" spans="6:9" ht="0" hidden="1" customHeight="1">
      <c r="F365" s="23"/>
      <c r="G365" s="27"/>
      <c r="H365" s="72"/>
      <c r="I365" s="7"/>
    </row>
    <row r="366" spans="6:9" ht="0" hidden="1" customHeight="1">
      <c r="F366" s="23"/>
      <c r="G366" s="27"/>
      <c r="H366" s="72"/>
      <c r="I366" s="7"/>
    </row>
    <row r="367" spans="6:9" ht="0" hidden="1" customHeight="1">
      <c r="F367" s="23"/>
      <c r="G367" s="27"/>
      <c r="H367" s="72"/>
      <c r="I367" s="7"/>
    </row>
    <row r="368" spans="6:9" ht="0" hidden="1" customHeight="1">
      <c r="F368" s="23"/>
      <c r="G368" s="27"/>
      <c r="H368" s="72"/>
      <c r="I368" s="7"/>
    </row>
    <row r="369" spans="6:9" ht="0" hidden="1" customHeight="1">
      <c r="F369" s="23"/>
      <c r="G369" s="27"/>
      <c r="H369" s="72"/>
      <c r="I369" s="7"/>
    </row>
    <row r="370" spans="6:9" ht="0" hidden="1" customHeight="1">
      <c r="F370" s="23"/>
      <c r="G370" s="27"/>
      <c r="H370" s="72"/>
      <c r="I370" s="7"/>
    </row>
    <row r="371" spans="6:9" ht="0" hidden="1" customHeight="1">
      <c r="F371" s="23"/>
      <c r="G371" s="27"/>
      <c r="H371" s="72"/>
      <c r="I371" s="7"/>
    </row>
    <row r="372" spans="6:9" ht="0" hidden="1" customHeight="1">
      <c r="F372" s="23"/>
      <c r="G372" s="27"/>
      <c r="H372" s="72"/>
      <c r="I372" s="7"/>
    </row>
    <row r="373" spans="6:9" ht="0" hidden="1" customHeight="1">
      <c r="F373" s="23"/>
      <c r="G373" s="27"/>
      <c r="H373" s="72"/>
      <c r="I373" s="7"/>
    </row>
    <row r="374" spans="6:9" ht="0" hidden="1" customHeight="1">
      <c r="F374" s="23"/>
      <c r="G374" s="27"/>
      <c r="H374" s="72"/>
      <c r="I374" s="7"/>
    </row>
    <row r="375" spans="6:9" ht="0" hidden="1" customHeight="1">
      <c r="F375" s="23"/>
      <c r="G375" s="27"/>
      <c r="H375" s="72"/>
      <c r="I375" s="7"/>
    </row>
    <row r="376" spans="6:9" ht="0" hidden="1" customHeight="1">
      <c r="F376" s="23"/>
      <c r="G376" s="27"/>
      <c r="H376" s="72"/>
      <c r="I376" s="7"/>
    </row>
    <row r="377" spans="6:9" ht="0" hidden="1" customHeight="1">
      <c r="F377" s="23"/>
      <c r="G377" s="27"/>
      <c r="H377" s="72"/>
      <c r="I377" s="7"/>
    </row>
    <row r="378" spans="6:9" ht="0" hidden="1" customHeight="1">
      <c r="F378" s="23"/>
      <c r="G378" s="27"/>
      <c r="H378" s="72"/>
      <c r="I378" s="7"/>
    </row>
    <row r="379" spans="6:9" ht="0" hidden="1" customHeight="1">
      <c r="F379" s="23"/>
      <c r="G379" s="27"/>
      <c r="H379" s="72"/>
      <c r="I379" s="7"/>
    </row>
    <row r="380" spans="6:9" ht="0" hidden="1" customHeight="1">
      <c r="F380" s="23"/>
      <c r="G380" s="27"/>
      <c r="H380" s="72"/>
      <c r="I380" s="7"/>
    </row>
    <row r="381" spans="6:9" ht="0" hidden="1" customHeight="1">
      <c r="F381" s="23"/>
      <c r="G381" s="27"/>
      <c r="H381" s="72"/>
      <c r="I381" s="7"/>
    </row>
    <row r="382" spans="6:9" ht="0" hidden="1" customHeight="1">
      <c r="F382" s="23"/>
      <c r="G382" s="27"/>
      <c r="H382" s="72"/>
      <c r="I382" s="7"/>
    </row>
    <row r="383" spans="6:9" ht="0" hidden="1" customHeight="1">
      <c r="F383" s="23"/>
      <c r="G383" s="27"/>
      <c r="H383" s="72"/>
      <c r="I383" s="7"/>
    </row>
    <row r="384" spans="6:9" ht="0" hidden="1" customHeight="1">
      <c r="F384" s="23"/>
      <c r="G384" s="27"/>
      <c r="H384" s="72"/>
      <c r="I384" s="7"/>
    </row>
    <row r="385" spans="6:9" ht="0" hidden="1" customHeight="1">
      <c r="F385" s="23"/>
      <c r="G385" s="27"/>
      <c r="H385" s="72"/>
      <c r="I385" s="7"/>
    </row>
    <row r="386" spans="6:9" ht="0" hidden="1" customHeight="1">
      <c r="F386" s="23"/>
      <c r="G386" s="27"/>
      <c r="H386" s="72"/>
      <c r="I386" s="7"/>
    </row>
    <row r="387" spans="6:9" ht="0" hidden="1" customHeight="1">
      <c r="F387" s="23"/>
      <c r="G387" s="27"/>
      <c r="H387" s="72"/>
      <c r="I387" s="7"/>
    </row>
    <row r="388" spans="6:9" ht="0" hidden="1" customHeight="1">
      <c r="F388" s="23"/>
      <c r="G388" s="27"/>
      <c r="H388" s="72"/>
      <c r="I388" s="7"/>
    </row>
    <row r="389" spans="6:9" ht="0" hidden="1" customHeight="1">
      <c r="F389" s="23"/>
      <c r="G389" s="27"/>
      <c r="H389" s="72"/>
      <c r="I389" s="7"/>
    </row>
    <row r="390" spans="6:9" ht="0" hidden="1" customHeight="1">
      <c r="F390" s="23"/>
      <c r="G390" s="27"/>
      <c r="H390" s="72"/>
      <c r="I390" s="7"/>
    </row>
    <row r="391" spans="6:9" ht="0" hidden="1" customHeight="1">
      <c r="F391" s="23"/>
      <c r="G391" s="27"/>
      <c r="H391" s="72"/>
      <c r="I391" s="7"/>
    </row>
    <row r="392" spans="6:9" ht="0" hidden="1" customHeight="1">
      <c r="F392" s="23"/>
      <c r="G392" s="27"/>
      <c r="H392" s="72"/>
      <c r="I392" s="7"/>
    </row>
    <row r="393" spans="6:9" ht="0" hidden="1" customHeight="1">
      <c r="F393" s="23"/>
      <c r="G393" s="27"/>
      <c r="H393" s="72"/>
      <c r="I393" s="7"/>
    </row>
    <row r="394" spans="6:9" ht="0" hidden="1" customHeight="1">
      <c r="F394" s="23"/>
      <c r="G394" s="27"/>
      <c r="H394" s="72"/>
      <c r="I394" s="7"/>
    </row>
    <row r="395" spans="6:9" ht="0" hidden="1" customHeight="1">
      <c r="F395" s="23"/>
      <c r="G395" s="27"/>
      <c r="H395" s="72"/>
      <c r="I395" s="7"/>
    </row>
    <row r="396" spans="6:9" ht="0" hidden="1" customHeight="1">
      <c r="F396" s="23"/>
      <c r="G396" s="27"/>
      <c r="H396" s="72"/>
      <c r="I396" s="7"/>
    </row>
    <row r="397" spans="6:9" ht="0" hidden="1" customHeight="1">
      <c r="F397" s="23"/>
      <c r="G397" s="27"/>
      <c r="H397" s="72"/>
      <c r="I397" s="7"/>
    </row>
    <row r="398" spans="6:9" ht="0" hidden="1" customHeight="1">
      <c r="F398" s="23"/>
      <c r="G398" s="27"/>
      <c r="H398" s="72"/>
      <c r="I398" s="7"/>
    </row>
    <row r="399" spans="6:9" ht="0" hidden="1" customHeight="1">
      <c r="F399" s="23"/>
      <c r="G399" s="27"/>
      <c r="H399" s="72"/>
      <c r="I399" s="7"/>
    </row>
    <row r="400" spans="6:9" ht="0" hidden="1" customHeight="1">
      <c r="F400" s="23"/>
      <c r="G400" s="27"/>
      <c r="H400" s="72"/>
      <c r="I400" s="7"/>
    </row>
    <row r="401" spans="6:9" ht="0" hidden="1" customHeight="1">
      <c r="F401" s="23"/>
      <c r="G401" s="27"/>
      <c r="H401" s="72"/>
      <c r="I401" s="7"/>
    </row>
    <row r="402" spans="6:9" ht="0" hidden="1" customHeight="1">
      <c r="F402" s="23"/>
      <c r="G402" s="27"/>
      <c r="H402" s="72"/>
      <c r="I402" s="7"/>
    </row>
    <row r="403" spans="6:9" ht="0" hidden="1" customHeight="1">
      <c r="F403" s="23"/>
      <c r="G403" s="27"/>
      <c r="H403" s="72"/>
      <c r="I403" s="7"/>
    </row>
    <row r="404" spans="6:9" ht="0" hidden="1" customHeight="1">
      <c r="F404" s="23"/>
      <c r="G404" s="27"/>
      <c r="H404" s="72"/>
      <c r="I404" s="7"/>
    </row>
    <row r="405" spans="6:9" ht="0" hidden="1" customHeight="1">
      <c r="F405" s="23"/>
      <c r="G405" s="27"/>
      <c r="H405" s="72"/>
      <c r="I405" s="7"/>
    </row>
    <row r="406" spans="6:9" ht="0" hidden="1" customHeight="1">
      <c r="F406" s="23"/>
      <c r="G406" s="27"/>
      <c r="H406" s="72"/>
      <c r="I406" s="7"/>
    </row>
    <row r="407" spans="6:9" ht="0" hidden="1" customHeight="1">
      <c r="F407" s="23"/>
      <c r="G407" s="27"/>
      <c r="H407" s="72"/>
      <c r="I407" s="7"/>
    </row>
    <row r="408" spans="6:9" ht="0" hidden="1" customHeight="1">
      <c r="F408" s="23"/>
      <c r="G408" s="27"/>
      <c r="H408" s="72"/>
      <c r="I408" s="7"/>
    </row>
    <row r="409" spans="6:9" ht="0" hidden="1" customHeight="1">
      <c r="F409" s="23"/>
      <c r="G409" s="27"/>
      <c r="H409" s="72"/>
      <c r="I409" s="7"/>
    </row>
    <row r="410" spans="6:9" ht="0" hidden="1" customHeight="1">
      <c r="F410" s="23"/>
      <c r="G410" s="27"/>
      <c r="H410" s="72"/>
      <c r="I410" s="7"/>
    </row>
    <row r="411" spans="6:9" ht="0" hidden="1" customHeight="1">
      <c r="F411" s="23"/>
      <c r="G411" s="27"/>
      <c r="H411" s="72"/>
      <c r="I411" s="7"/>
    </row>
    <row r="412" spans="6:9" ht="0" hidden="1" customHeight="1">
      <c r="F412" s="23"/>
      <c r="G412" s="27"/>
      <c r="H412" s="72"/>
      <c r="I412" s="7"/>
    </row>
    <row r="413" spans="6:9" ht="0" hidden="1" customHeight="1">
      <c r="F413" s="23"/>
      <c r="G413" s="27"/>
      <c r="H413" s="72"/>
      <c r="I413" s="7"/>
    </row>
    <row r="414" spans="6:9" ht="0" hidden="1" customHeight="1">
      <c r="F414" s="23"/>
      <c r="G414" s="27"/>
      <c r="H414" s="72"/>
      <c r="I414" s="7"/>
    </row>
    <row r="415" spans="6:9" ht="0" hidden="1" customHeight="1">
      <c r="F415" s="23"/>
      <c r="G415" s="27"/>
      <c r="H415" s="72"/>
      <c r="I415" s="7"/>
    </row>
    <row r="416" spans="6:9" ht="0" hidden="1" customHeight="1">
      <c r="F416" s="23"/>
      <c r="G416" s="27"/>
      <c r="H416" s="72"/>
      <c r="I416" s="7"/>
    </row>
    <row r="417" spans="6:9" ht="0" hidden="1" customHeight="1">
      <c r="F417" s="23"/>
      <c r="G417" s="27"/>
      <c r="H417" s="72"/>
      <c r="I417" s="7"/>
    </row>
    <row r="418" spans="6:9" ht="0" hidden="1" customHeight="1">
      <c r="F418" s="23"/>
      <c r="G418" s="27"/>
      <c r="H418" s="72"/>
      <c r="I418" s="7"/>
    </row>
    <row r="419" spans="6:9" ht="0" hidden="1" customHeight="1">
      <c r="F419" s="23"/>
      <c r="G419" s="27"/>
      <c r="H419" s="72"/>
      <c r="I419" s="7"/>
    </row>
    <row r="420" spans="6:9" ht="0" hidden="1" customHeight="1">
      <c r="F420" s="23"/>
      <c r="G420" s="27"/>
      <c r="H420" s="72"/>
      <c r="I420" s="7"/>
    </row>
    <row r="421" spans="6:9" ht="0" hidden="1" customHeight="1">
      <c r="F421" s="23"/>
      <c r="G421" s="27"/>
      <c r="H421" s="72"/>
      <c r="I421" s="7"/>
    </row>
    <row r="422" spans="6:9" ht="0" hidden="1" customHeight="1">
      <c r="F422" s="23"/>
      <c r="G422" s="27"/>
      <c r="H422" s="72"/>
      <c r="I422" s="7"/>
    </row>
    <row r="423" spans="6:9" ht="0" hidden="1" customHeight="1">
      <c r="F423" s="23"/>
      <c r="G423" s="27"/>
      <c r="H423" s="72"/>
      <c r="I423" s="7"/>
    </row>
    <row r="424" spans="6:9" ht="0" hidden="1" customHeight="1">
      <c r="F424" s="23"/>
      <c r="G424" s="27"/>
      <c r="H424" s="72"/>
      <c r="I424" s="7"/>
    </row>
    <row r="425" spans="6:9" ht="0" hidden="1" customHeight="1">
      <c r="F425" s="23"/>
      <c r="G425" s="27"/>
      <c r="H425" s="72"/>
      <c r="I425" s="7"/>
    </row>
    <row r="426" spans="6:9" ht="0" hidden="1" customHeight="1">
      <c r="F426" s="23"/>
      <c r="G426" s="27"/>
      <c r="H426" s="72"/>
      <c r="I426" s="7"/>
    </row>
    <row r="427" spans="6:9" ht="0" hidden="1" customHeight="1">
      <c r="F427" s="23"/>
      <c r="G427" s="27"/>
      <c r="H427" s="72"/>
      <c r="I427" s="7"/>
    </row>
    <row r="428" spans="6:9" ht="0" hidden="1" customHeight="1">
      <c r="F428" s="23"/>
      <c r="G428" s="27"/>
      <c r="H428" s="72"/>
      <c r="I428" s="7"/>
    </row>
    <row r="429" spans="6:9" ht="0" hidden="1" customHeight="1">
      <c r="F429" s="23"/>
      <c r="G429" s="27"/>
      <c r="H429" s="72"/>
      <c r="I429" s="7"/>
    </row>
    <row r="430" spans="6:9" ht="0" hidden="1" customHeight="1">
      <c r="F430" s="23"/>
      <c r="G430" s="27"/>
      <c r="H430" s="72"/>
      <c r="I430" s="7"/>
    </row>
    <row r="431" spans="6:9" ht="0" hidden="1" customHeight="1">
      <c r="F431" s="23"/>
      <c r="G431" s="27"/>
      <c r="H431" s="72"/>
      <c r="I431" s="7"/>
    </row>
    <row r="432" spans="6:9" ht="0" hidden="1" customHeight="1">
      <c r="F432" s="23"/>
      <c r="G432" s="27"/>
      <c r="H432" s="72"/>
      <c r="I432" s="7"/>
    </row>
    <row r="433" spans="6:9" ht="0" hidden="1" customHeight="1">
      <c r="F433" s="23"/>
      <c r="G433" s="27"/>
      <c r="H433" s="72"/>
      <c r="I433" s="7"/>
    </row>
    <row r="434" spans="6:9" ht="0" hidden="1" customHeight="1">
      <c r="F434" s="23"/>
      <c r="G434" s="27"/>
      <c r="H434" s="72"/>
      <c r="I434" s="7"/>
    </row>
    <row r="435" spans="6:9" ht="0" hidden="1" customHeight="1">
      <c r="F435" s="23"/>
      <c r="G435" s="27"/>
      <c r="H435" s="72"/>
      <c r="I435" s="7"/>
    </row>
    <row r="436" spans="6:9" ht="0" hidden="1" customHeight="1">
      <c r="F436" s="23"/>
      <c r="G436" s="27"/>
      <c r="H436" s="72"/>
      <c r="I436" s="7"/>
    </row>
    <row r="437" spans="6:9" ht="0" hidden="1" customHeight="1">
      <c r="F437" s="23"/>
      <c r="G437" s="27"/>
      <c r="H437" s="72"/>
      <c r="I437" s="7"/>
    </row>
    <row r="438" spans="6:9" ht="0" hidden="1" customHeight="1">
      <c r="F438" s="23"/>
      <c r="G438" s="27"/>
      <c r="H438" s="72"/>
      <c r="I438" s="7"/>
    </row>
    <row r="439" spans="6:9" ht="0" hidden="1" customHeight="1">
      <c r="F439" s="23"/>
      <c r="G439" s="27"/>
      <c r="H439" s="72"/>
      <c r="I439" s="7"/>
    </row>
    <row r="440" spans="6:9" ht="0" hidden="1" customHeight="1">
      <c r="F440" s="23"/>
      <c r="G440" s="27"/>
      <c r="H440" s="72"/>
      <c r="I440" s="7"/>
    </row>
    <row r="441" spans="6:9" ht="0" hidden="1" customHeight="1">
      <c r="F441" s="23"/>
      <c r="G441" s="27"/>
      <c r="H441" s="72"/>
      <c r="I441" s="7"/>
    </row>
    <row r="442" spans="6:9" ht="0" hidden="1" customHeight="1">
      <c r="F442" s="23"/>
      <c r="G442" s="27"/>
      <c r="H442" s="72"/>
      <c r="I442" s="7"/>
    </row>
    <row r="443" spans="6:9" ht="0" hidden="1" customHeight="1">
      <c r="F443" s="23"/>
      <c r="G443" s="27"/>
      <c r="H443" s="72"/>
      <c r="I443" s="7"/>
    </row>
    <row r="444" spans="6:9" ht="0" hidden="1" customHeight="1">
      <c r="F444" s="23"/>
      <c r="G444" s="27"/>
      <c r="H444" s="72"/>
      <c r="I444" s="7"/>
    </row>
    <row r="445" spans="6:9" ht="0" hidden="1" customHeight="1">
      <c r="F445" s="23"/>
      <c r="G445" s="27"/>
      <c r="H445" s="72"/>
      <c r="I445" s="7"/>
    </row>
    <row r="446" spans="6:9" ht="0" hidden="1" customHeight="1">
      <c r="F446" s="23"/>
      <c r="G446" s="27"/>
      <c r="H446" s="72"/>
      <c r="I446" s="7"/>
    </row>
    <row r="447" spans="6:9" ht="0" hidden="1" customHeight="1">
      <c r="F447" s="23"/>
      <c r="G447" s="27"/>
      <c r="H447" s="72"/>
      <c r="I447" s="7"/>
    </row>
    <row r="448" spans="6:9" ht="0" hidden="1" customHeight="1">
      <c r="F448" s="23"/>
      <c r="G448" s="27"/>
      <c r="H448" s="72"/>
      <c r="I448" s="7"/>
    </row>
    <row r="449" spans="6:9" ht="0" hidden="1" customHeight="1">
      <c r="F449" s="23"/>
      <c r="G449" s="27"/>
      <c r="H449" s="72"/>
      <c r="I449" s="7"/>
    </row>
    <row r="450" spans="6:9" ht="0" hidden="1" customHeight="1">
      <c r="F450" s="23"/>
      <c r="G450" s="27"/>
      <c r="H450" s="72"/>
      <c r="I450" s="7"/>
    </row>
    <row r="451" spans="6:9" ht="0" hidden="1" customHeight="1">
      <c r="F451" s="23"/>
      <c r="G451" s="27"/>
      <c r="H451" s="72"/>
      <c r="I451" s="7"/>
    </row>
    <row r="452" spans="6:9" ht="0" hidden="1" customHeight="1">
      <c r="F452" s="23"/>
      <c r="G452" s="27"/>
      <c r="H452" s="72"/>
      <c r="I452" s="7"/>
    </row>
    <row r="453" spans="6:9" ht="0" hidden="1" customHeight="1">
      <c r="F453" s="23"/>
      <c r="G453" s="27"/>
      <c r="H453" s="72"/>
      <c r="I453" s="7"/>
    </row>
    <row r="454" spans="6:9" ht="0" hidden="1" customHeight="1">
      <c r="F454" s="23"/>
      <c r="G454" s="27"/>
      <c r="H454" s="72"/>
      <c r="I454" s="7"/>
    </row>
    <row r="455" spans="6:9" ht="0" hidden="1" customHeight="1">
      <c r="F455" s="23"/>
      <c r="G455" s="27"/>
      <c r="H455" s="72"/>
      <c r="I455" s="7"/>
    </row>
    <row r="456" spans="6:9" ht="0" hidden="1" customHeight="1">
      <c r="F456" s="23"/>
      <c r="G456" s="27"/>
      <c r="H456" s="72"/>
      <c r="I456" s="7"/>
    </row>
    <row r="457" spans="6:9" ht="0" hidden="1" customHeight="1">
      <c r="F457" s="23"/>
      <c r="G457" s="27"/>
      <c r="H457" s="72"/>
      <c r="I457" s="7"/>
    </row>
    <row r="458" spans="6:9" ht="0" hidden="1" customHeight="1">
      <c r="F458" s="23"/>
      <c r="G458" s="27"/>
      <c r="H458" s="72"/>
      <c r="I458" s="7"/>
    </row>
    <row r="459" spans="6:9" ht="0" hidden="1" customHeight="1">
      <c r="F459" s="23"/>
      <c r="G459" s="27"/>
      <c r="H459" s="72"/>
      <c r="I459" s="7"/>
    </row>
    <row r="460" spans="6:9" ht="0" hidden="1" customHeight="1">
      <c r="F460" s="23"/>
      <c r="G460" s="27"/>
      <c r="H460" s="72"/>
      <c r="I460" s="7"/>
    </row>
    <row r="461" spans="6:9" ht="0" hidden="1" customHeight="1">
      <c r="F461" s="23"/>
      <c r="G461" s="27"/>
      <c r="H461" s="72"/>
      <c r="I461" s="7"/>
    </row>
    <row r="462" spans="6:9" ht="0" hidden="1" customHeight="1">
      <c r="F462" s="23"/>
      <c r="G462" s="27"/>
      <c r="H462" s="72"/>
      <c r="I462" s="7"/>
    </row>
    <row r="463" spans="6:9" ht="0" hidden="1" customHeight="1">
      <c r="F463" s="23"/>
      <c r="G463" s="27"/>
      <c r="H463" s="72"/>
      <c r="I463" s="7"/>
    </row>
    <row r="464" spans="6:9" ht="0" hidden="1" customHeight="1">
      <c r="F464" s="23"/>
      <c r="G464" s="27"/>
      <c r="H464" s="72"/>
      <c r="I464" s="7"/>
    </row>
    <row r="465" spans="6:9" ht="0" hidden="1" customHeight="1">
      <c r="F465" s="23"/>
      <c r="G465" s="27"/>
      <c r="H465" s="72"/>
      <c r="I465" s="7"/>
    </row>
    <row r="466" spans="6:9" ht="0" hidden="1" customHeight="1">
      <c r="F466" s="23"/>
      <c r="G466" s="27"/>
      <c r="H466" s="72"/>
      <c r="I466" s="7"/>
    </row>
    <row r="467" spans="6:9" ht="0" hidden="1" customHeight="1">
      <c r="F467" s="23"/>
      <c r="G467" s="27"/>
      <c r="H467" s="72"/>
      <c r="I467" s="7"/>
    </row>
    <row r="468" spans="6:9" ht="0" hidden="1" customHeight="1">
      <c r="F468" s="23"/>
      <c r="G468" s="27"/>
      <c r="H468" s="72"/>
      <c r="I468" s="7"/>
    </row>
    <row r="469" spans="6:9" ht="0" hidden="1" customHeight="1">
      <c r="F469" s="23"/>
      <c r="G469" s="27"/>
      <c r="H469" s="72"/>
      <c r="I469" s="7"/>
    </row>
    <row r="470" spans="6:9" ht="0" hidden="1" customHeight="1">
      <c r="F470" s="23"/>
      <c r="G470" s="27"/>
      <c r="H470" s="72"/>
      <c r="I470" s="7"/>
    </row>
    <row r="471" spans="6:9" ht="0" hidden="1" customHeight="1">
      <c r="F471" s="23"/>
      <c r="G471" s="27"/>
      <c r="H471" s="72"/>
      <c r="I471" s="7"/>
    </row>
    <row r="472" spans="6:9" ht="0" hidden="1" customHeight="1">
      <c r="F472" s="23"/>
      <c r="G472" s="27"/>
      <c r="H472" s="72"/>
      <c r="I472" s="7"/>
    </row>
    <row r="473" spans="6:9" ht="0" hidden="1" customHeight="1">
      <c r="F473" s="23"/>
      <c r="G473" s="27"/>
      <c r="H473" s="72"/>
      <c r="I473" s="7"/>
    </row>
    <row r="474" spans="6:9" ht="0" hidden="1" customHeight="1">
      <c r="F474" s="23"/>
      <c r="G474" s="27"/>
      <c r="H474" s="72"/>
      <c r="I474" s="7"/>
    </row>
    <row r="475" spans="6:9" ht="0" hidden="1" customHeight="1">
      <c r="F475" s="23"/>
      <c r="G475" s="27"/>
      <c r="H475" s="72"/>
      <c r="I475" s="7"/>
    </row>
    <row r="476" spans="6:9" ht="0" hidden="1" customHeight="1">
      <c r="F476" s="23"/>
      <c r="G476" s="27"/>
      <c r="H476" s="72"/>
      <c r="I476" s="7"/>
    </row>
    <row r="477" spans="6:9" ht="0" hidden="1" customHeight="1">
      <c r="F477" s="23"/>
      <c r="G477" s="27"/>
      <c r="H477" s="72"/>
      <c r="I477" s="7"/>
    </row>
    <row r="478" spans="6:9" ht="0" hidden="1" customHeight="1">
      <c r="F478" s="23"/>
      <c r="G478" s="27"/>
      <c r="H478" s="72"/>
      <c r="I478" s="7"/>
    </row>
    <row r="479" spans="6:9" ht="0" hidden="1" customHeight="1">
      <c r="F479" s="23"/>
      <c r="G479" s="27"/>
      <c r="H479" s="72"/>
      <c r="I479" s="7"/>
    </row>
    <row r="480" spans="6:9" ht="0" hidden="1" customHeight="1">
      <c r="F480" s="23"/>
      <c r="G480" s="27"/>
      <c r="H480" s="72"/>
      <c r="I480" s="7"/>
    </row>
    <row r="481" spans="6:9" ht="0" hidden="1" customHeight="1">
      <c r="F481" s="23"/>
      <c r="G481" s="27"/>
      <c r="H481" s="72"/>
      <c r="I481" s="7"/>
    </row>
    <row r="482" spans="6:9" ht="0" hidden="1" customHeight="1">
      <c r="F482" s="23"/>
      <c r="G482" s="27"/>
      <c r="H482" s="72"/>
      <c r="I482" s="7"/>
    </row>
    <row r="483" spans="6:9" ht="0" hidden="1" customHeight="1">
      <c r="F483" s="23"/>
      <c r="G483" s="27"/>
      <c r="H483" s="72"/>
      <c r="I483" s="7"/>
    </row>
    <row r="484" spans="6:9" ht="0" hidden="1" customHeight="1">
      <c r="F484" s="23"/>
      <c r="G484" s="27"/>
      <c r="H484" s="72"/>
      <c r="I484" s="7"/>
    </row>
    <row r="485" spans="6:9" ht="0" hidden="1" customHeight="1">
      <c r="F485" s="23"/>
      <c r="G485" s="27"/>
      <c r="H485" s="72"/>
      <c r="I485" s="7"/>
    </row>
    <row r="486" spans="6:9" ht="0" hidden="1" customHeight="1">
      <c r="F486" s="23"/>
      <c r="G486" s="27"/>
      <c r="H486" s="72"/>
      <c r="I486" s="7"/>
    </row>
    <row r="487" spans="6:9" ht="0" hidden="1" customHeight="1">
      <c r="F487" s="23"/>
      <c r="G487" s="27"/>
      <c r="H487" s="72"/>
      <c r="I487" s="7"/>
    </row>
    <row r="488" spans="6:9" ht="0" hidden="1" customHeight="1">
      <c r="F488" s="23"/>
      <c r="G488" s="27"/>
      <c r="H488" s="72"/>
      <c r="I488" s="7"/>
    </row>
    <row r="489" spans="6:9" ht="0" hidden="1" customHeight="1">
      <c r="F489" s="23"/>
      <c r="G489" s="27"/>
      <c r="H489" s="72"/>
      <c r="I489" s="7"/>
    </row>
    <row r="490" spans="6:9" ht="0" hidden="1" customHeight="1">
      <c r="F490" s="23"/>
      <c r="G490" s="27"/>
      <c r="H490" s="72"/>
      <c r="I490" s="7"/>
    </row>
    <row r="491" spans="6:9" ht="0" hidden="1" customHeight="1">
      <c r="F491" s="23"/>
      <c r="G491" s="27"/>
      <c r="H491" s="72"/>
      <c r="I491" s="7"/>
    </row>
    <row r="492" spans="6:9" ht="0" hidden="1" customHeight="1">
      <c r="F492" s="23"/>
      <c r="G492" s="27"/>
      <c r="H492" s="72"/>
      <c r="I492" s="7"/>
    </row>
    <row r="493" spans="6:9" ht="0" hidden="1" customHeight="1">
      <c r="F493" s="23"/>
      <c r="G493" s="27"/>
      <c r="H493" s="72"/>
      <c r="I493" s="7"/>
    </row>
    <row r="494" spans="6:9" ht="0" hidden="1" customHeight="1">
      <c r="F494" s="23"/>
      <c r="G494" s="27"/>
      <c r="H494" s="72"/>
      <c r="I494" s="7"/>
    </row>
    <row r="495" spans="6:9" ht="0" hidden="1" customHeight="1">
      <c r="F495" s="23"/>
      <c r="G495" s="27"/>
      <c r="H495" s="72"/>
      <c r="I495" s="7"/>
    </row>
    <row r="496" spans="6:9" ht="0" hidden="1" customHeight="1">
      <c r="F496" s="23"/>
      <c r="G496" s="27"/>
      <c r="H496" s="72"/>
      <c r="I496" s="7"/>
    </row>
    <row r="497" spans="6:9" ht="0" hidden="1" customHeight="1">
      <c r="F497" s="23"/>
      <c r="G497" s="27"/>
      <c r="H497" s="72"/>
      <c r="I497" s="7"/>
    </row>
    <row r="498" spans="6:9" ht="0" hidden="1" customHeight="1">
      <c r="F498" s="23"/>
      <c r="G498" s="27"/>
      <c r="H498" s="72"/>
      <c r="I498" s="7"/>
    </row>
    <row r="499" spans="6:9" ht="0" hidden="1" customHeight="1">
      <c r="F499" s="23"/>
      <c r="G499" s="27"/>
      <c r="H499" s="72"/>
      <c r="I499" s="7"/>
    </row>
    <row r="500" spans="6:9" ht="0" hidden="1" customHeight="1">
      <c r="F500" s="23"/>
      <c r="G500" s="27"/>
      <c r="H500" s="72"/>
      <c r="I500" s="7"/>
    </row>
    <row r="501" spans="6:9" ht="0" hidden="1" customHeight="1">
      <c r="F501" s="23"/>
      <c r="G501" s="27"/>
      <c r="H501" s="72"/>
      <c r="I501" s="7"/>
    </row>
    <row r="502" spans="6:9" ht="0" hidden="1" customHeight="1">
      <c r="F502" s="23"/>
      <c r="G502" s="27"/>
      <c r="H502" s="72"/>
      <c r="I502" s="7"/>
    </row>
    <row r="503" spans="6:9" ht="0" hidden="1" customHeight="1">
      <c r="F503" s="23"/>
      <c r="G503" s="27"/>
      <c r="H503" s="72"/>
      <c r="I503" s="7"/>
    </row>
    <row r="504" spans="6:9" ht="0" hidden="1" customHeight="1">
      <c r="F504" s="23"/>
      <c r="G504" s="27"/>
      <c r="H504" s="72"/>
      <c r="I504" s="7"/>
    </row>
    <row r="505" spans="6:9" ht="0" hidden="1" customHeight="1">
      <c r="F505" s="23"/>
      <c r="G505" s="27"/>
      <c r="H505" s="72"/>
      <c r="I505" s="7"/>
    </row>
    <row r="506" spans="6:9" ht="0" hidden="1" customHeight="1">
      <c r="F506" s="23"/>
      <c r="G506" s="27"/>
      <c r="H506" s="72"/>
      <c r="I506" s="7"/>
    </row>
    <row r="507" spans="6:9" ht="0" hidden="1" customHeight="1">
      <c r="F507" s="23"/>
      <c r="G507" s="27"/>
      <c r="H507" s="72"/>
      <c r="I507" s="7"/>
    </row>
    <row r="508" spans="6:9" ht="0" hidden="1" customHeight="1">
      <c r="F508" s="23"/>
      <c r="G508" s="27"/>
      <c r="H508" s="72"/>
      <c r="I508" s="7"/>
    </row>
    <row r="509" spans="6:9" ht="0" hidden="1" customHeight="1">
      <c r="F509" s="23"/>
      <c r="G509" s="27"/>
      <c r="H509" s="72"/>
      <c r="I509" s="7"/>
    </row>
    <row r="510" spans="6:9" ht="0" hidden="1" customHeight="1">
      <c r="F510" s="23"/>
      <c r="G510" s="27"/>
      <c r="H510" s="72"/>
      <c r="I510" s="7"/>
    </row>
    <row r="511" spans="6:9" ht="0" hidden="1" customHeight="1">
      <c r="F511" s="23"/>
      <c r="G511" s="27"/>
      <c r="H511" s="72"/>
      <c r="I511" s="7"/>
    </row>
    <row r="512" spans="6:9" ht="0" hidden="1" customHeight="1">
      <c r="F512" s="23"/>
      <c r="G512" s="27"/>
      <c r="H512" s="72"/>
      <c r="I512" s="7"/>
    </row>
    <row r="513" spans="6:9" ht="0" hidden="1" customHeight="1">
      <c r="F513" s="23"/>
      <c r="G513" s="27"/>
      <c r="H513" s="72"/>
      <c r="I513" s="7"/>
    </row>
    <row r="514" spans="6:9" ht="0" hidden="1" customHeight="1">
      <c r="F514" s="23"/>
      <c r="G514" s="27"/>
      <c r="H514" s="72"/>
      <c r="I514" s="7"/>
    </row>
    <row r="515" spans="6:9" ht="0" hidden="1" customHeight="1">
      <c r="F515" s="23"/>
      <c r="G515" s="27"/>
      <c r="H515" s="72"/>
      <c r="I515" s="7"/>
    </row>
    <row r="516" spans="6:9" ht="0" hidden="1" customHeight="1">
      <c r="F516" s="23"/>
      <c r="G516" s="27"/>
      <c r="H516" s="72"/>
      <c r="I516" s="7"/>
    </row>
    <row r="517" spans="6:9" ht="0" hidden="1" customHeight="1">
      <c r="F517" s="23"/>
      <c r="G517" s="27"/>
      <c r="H517" s="72"/>
      <c r="I517" s="7"/>
    </row>
    <row r="518" spans="6:9" ht="0" hidden="1" customHeight="1">
      <c r="F518" s="23"/>
      <c r="G518" s="27"/>
      <c r="H518" s="72"/>
      <c r="I518" s="7"/>
    </row>
    <row r="519" spans="6:9" ht="0" hidden="1" customHeight="1">
      <c r="F519" s="23"/>
      <c r="G519" s="27"/>
      <c r="H519" s="72"/>
      <c r="I519" s="7"/>
    </row>
    <row r="520" spans="6:9" ht="0" hidden="1" customHeight="1">
      <c r="F520" s="23"/>
      <c r="G520" s="27"/>
      <c r="H520" s="72"/>
      <c r="I520" s="7"/>
    </row>
    <row r="521" spans="6:9" ht="0" hidden="1" customHeight="1">
      <c r="F521" s="23"/>
      <c r="G521" s="27"/>
      <c r="H521" s="72"/>
      <c r="I521" s="7"/>
    </row>
    <row r="522" spans="6:9" ht="0" hidden="1" customHeight="1">
      <c r="F522" s="23"/>
      <c r="G522" s="27"/>
      <c r="H522" s="72"/>
      <c r="I522" s="7"/>
    </row>
    <row r="523" spans="6:9" ht="0" hidden="1" customHeight="1">
      <c r="F523" s="23"/>
      <c r="G523" s="27"/>
      <c r="H523" s="72"/>
      <c r="I523" s="7"/>
    </row>
    <row r="524" spans="6:9" ht="0" hidden="1" customHeight="1">
      <c r="F524" s="23"/>
      <c r="G524" s="27"/>
      <c r="H524" s="72"/>
      <c r="I524" s="7"/>
    </row>
    <row r="525" spans="6:9" ht="0" hidden="1" customHeight="1">
      <c r="F525" s="23"/>
      <c r="G525" s="27"/>
      <c r="H525" s="72"/>
      <c r="I525" s="7"/>
    </row>
    <row r="526" spans="6:9" ht="0" hidden="1" customHeight="1">
      <c r="F526" s="23"/>
      <c r="G526" s="27"/>
      <c r="H526" s="72"/>
      <c r="I526" s="7"/>
    </row>
    <row r="527" spans="6:9" ht="0" hidden="1" customHeight="1">
      <c r="F527" s="23"/>
      <c r="G527" s="27"/>
      <c r="H527" s="72"/>
      <c r="I527" s="7"/>
    </row>
    <row r="528" spans="6:9" ht="0" hidden="1" customHeight="1">
      <c r="F528" s="23"/>
      <c r="G528" s="27"/>
      <c r="H528" s="72"/>
      <c r="I528" s="7"/>
    </row>
    <row r="529" spans="6:9" ht="0" hidden="1" customHeight="1">
      <c r="F529" s="23"/>
      <c r="G529" s="27"/>
      <c r="H529" s="72"/>
      <c r="I529" s="7"/>
    </row>
    <row r="530" spans="6:9" ht="0" hidden="1" customHeight="1">
      <c r="F530" s="23"/>
      <c r="G530" s="27"/>
      <c r="H530" s="72"/>
      <c r="I530" s="7"/>
    </row>
    <row r="531" spans="6:9" ht="0" hidden="1" customHeight="1">
      <c r="F531" s="23"/>
      <c r="G531" s="27"/>
      <c r="H531" s="72"/>
      <c r="I531" s="7"/>
    </row>
    <row r="532" spans="6:9" ht="0" hidden="1" customHeight="1">
      <c r="F532" s="23"/>
      <c r="G532" s="27"/>
      <c r="H532" s="72"/>
      <c r="I532" s="7"/>
    </row>
    <row r="533" spans="6:9" ht="0" hidden="1" customHeight="1">
      <c r="F533" s="23"/>
      <c r="G533" s="27"/>
      <c r="H533" s="72"/>
      <c r="I533" s="7"/>
    </row>
    <row r="534" spans="6:9" ht="0" hidden="1" customHeight="1">
      <c r="F534" s="23"/>
      <c r="G534" s="27"/>
      <c r="H534" s="72"/>
      <c r="I534" s="7"/>
    </row>
    <row r="535" spans="6:9" ht="0" hidden="1" customHeight="1">
      <c r="F535" s="23"/>
      <c r="G535" s="27"/>
      <c r="H535" s="72"/>
      <c r="I535" s="7"/>
    </row>
    <row r="536" spans="6:9" ht="0" hidden="1" customHeight="1">
      <c r="F536" s="23"/>
      <c r="G536" s="27"/>
      <c r="H536" s="72"/>
      <c r="I536" s="7"/>
    </row>
    <row r="537" spans="6:9" ht="0" hidden="1" customHeight="1">
      <c r="F537" s="23"/>
      <c r="G537" s="27"/>
      <c r="H537" s="72"/>
      <c r="I537" s="7"/>
    </row>
    <row r="538" spans="6:9" ht="0" hidden="1" customHeight="1">
      <c r="F538" s="23"/>
      <c r="G538" s="27"/>
      <c r="H538" s="72"/>
      <c r="I538" s="7"/>
    </row>
    <row r="539" spans="6:9" ht="0" hidden="1" customHeight="1">
      <c r="F539" s="23"/>
      <c r="G539" s="27"/>
      <c r="H539" s="72"/>
      <c r="I539" s="7"/>
    </row>
    <row r="540" spans="6:9" ht="0" hidden="1" customHeight="1">
      <c r="F540" s="23"/>
      <c r="G540" s="27"/>
      <c r="H540" s="72"/>
      <c r="I540" s="7"/>
    </row>
    <row r="541" spans="6:9" ht="0" hidden="1" customHeight="1">
      <c r="F541" s="23"/>
      <c r="G541" s="27"/>
      <c r="H541" s="72"/>
      <c r="I541" s="7"/>
    </row>
    <row r="542" spans="6:9" ht="0" hidden="1" customHeight="1">
      <c r="F542" s="23"/>
      <c r="G542" s="27"/>
      <c r="H542" s="72"/>
      <c r="I542" s="7"/>
    </row>
    <row r="543" spans="6:9" ht="0" hidden="1" customHeight="1">
      <c r="F543" s="23"/>
      <c r="G543" s="27"/>
      <c r="H543" s="72"/>
      <c r="I543" s="7"/>
    </row>
    <row r="544" spans="6:9" ht="0" hidden="1" customHeight="1">
      <c r="F544" s="23"/>
      <c r="G544" s="27"/>
      <c r="H544" s="72"/>
      <c r="I544" s="7"/>
    </row>
    <row r="545" spans="6:9" ht="0" hidden="1" customHeight="1">
      <c r="F545" s="23"/>
      <c r="G545" s="27"/>
      <c r="H545" s="72"/>
      <c r="I545" s="7"/>
    </row>
    <row r="546" spans="6:9" ht="0" hidden="1" customHeight="1">
      <c r="F546" s="23"/>
      <c r="G546" s="27"/>
      <c r="H546" s="72"/>
      <c r="I546" s="7"/>
    </row>
    <row r="547" spans="6:9" ht="0" hidden="1" customHeight="1">
      <c r="F547" s="23"/>
      <c r="G547" s="27"/>
      <c r="H547" s="72"/>
      <c r="I547" s="7"/>
    </row>
    <row r="548" spans="6:9" ht="0" hidden="1" customHeight="1">
      <c r="F548" s="23"/>
      <c r="G548" s="27"/>
      <c r="H548" s="72"/>
      <c r="I548" s="7"/>
    </row>
    <row r="549" spans="6:9" ht="0" hidden="1" customHeight="1">
      <c r="F549" s="23"/>
      <c r="G549" s="27"/>
      <c r="H549" s="72"/>
      <c r="I549" s="7"/>
    </row>
    <row r="550" spans="6:9" ht="0" hidden="1" customHeight="1">
      <c r="F550" s="23"/>
      <c r="G550" s="27"/>
      <c r="H550" s="72"/>
      <c r="I550" s="7"/>
    </row>
    <row r="551" spans="6:9" ht="0" hidden="1" customHeight="1">
      <c r="F551" s="23"/>
      <c r="G551" s="27"/>
      <c r="H551" s="72"/>
      <c r="I551" s="7"/>
    </row>
    <row r="552" spans="6:9" ht="0" hidden="1" customHeight="1">
      <c r="F552" s="23"/>
      <c r="G552" s="27"/>
      <c r="H552" s="72"/>
      <c r="I552" s="7"/>
    </row>
    <row r="553" spans="6:9" ht="0" hidden="1" customHeight="1">
      <c r="F553" s="23"/>
      <c r="G553" s="27"/>
      <c r="H553" s="72"/>
      <c r="I553" s="7"/>
    </row>
    <row r="554" spans="6:9" ht="0" hidden="1" customHeight="1">
      <c r="F554" s="23"/>
      <c r="G554" s="27"/>
      <c r="H554" s="72"/>
      <c r="I554" s="7"/>
    </row>
    <row r="555" spans="6:9" ht="0" hidden="1" customHeight="1">
      <c r="F555" s="23"/>
      <c r="G555" s="27"/>
      <c r="H555" s="72"/>
      <c r="I555" s="7"/>
    </row>
    <row r="556" spans="6:9" ht="0" hidden="1" customHeight="1">
      <c r="F556" s="23"/>
      <c r="G556" s="27"/>
      <c r="H556" s="72"/>
      <c r="I556" s="7"/>
    </row>
    <row r="557" spans="6:9" ht="0" hidden="1" customHeight="1">
      <c r="F557" s="23"/>
      <c r="G557" s="27"/>
      <c r="H557" s="72"/>
      <c r="I557" s="7"/>
    </row>
    <row r="558" spans="6:9" ht="0" hidden="1" customHeight="1">
      <c r="F558" s="23"/>
      <c r="G558" s="27"/>
      <c r="H558" s="72"/>
      <c r="I558" s="7"/>
    </row>
    <row r="559" spans="6:9" ht="0" hidden="1" customHeight="1">
      <c r="F559" s="23"/>
      <c r="G559" s="27"/>
      <c r="H559" s="72"/>
      <c r="I559" s="7"/>
    </row>
    <row r="560" spans="6:9" ht="0" hidden="1" customHeight="1">
      <c r="F560" s="23"/>
      <c r="G560" s="27"/>
      <c r="H560" s="72"/>
      <c r="I560" s="7"/>
    </row>
    <row r="561" spans="6:9" ht="0" hidden="1" customHeight="1">
      <c r="F561" s="23"/>
      <c r="G561" s="27"/>
      <c r="H561" s="72"/>
      <c r="I561" s="7"/>
    </row>
    <row r="562" spans="6:9" ht="0" hidden="1" customHeight="1">
      <c r="F562" s="23"/>
      <c r="G562" s="27"/>
      <c r="H562" s="72"/>
      <c r="I562" s="7"/>
    </row>
    <row r="563" spans="6:9" ht="0" hidden="1" customHeight="1">
      <c r="F563" s="23"/>
      <c r="G563" s="27"/>
      <c r="H563" s="72"/>
      <c r="I563" s="7"/>
    </row>
    <row r="564" spans="6:9" ht="0" hidden="1" customHeight="1">
      <c r="F564" s="23"/>
      <c r="G564" s="27"/>
      <c r="H564" s="72"/>
      <c r="I564" s="7"/>
    </row>
    <row r="565" spans="6:9" ht="0" hidden="1" customHeight="1">
      <c r="F565" s="23"/>
      <c r="G565" s="27"/>
      <c r="H565" s="72"/>
      <c r="I565" s="7"/>
    </row>
    <row r="566" spans="6:9" ht="0" hidden="1" customHeight="1">
      <c r="F566" s="23"/>
      <c r="G566" s="27"/>
      <c r="H566" s="72"/>
      <c r="I566" s="7"/>
    </row>
    <row r="567" spans="6:9" ht="0" hidden="1" customHeight="1">
      <c r="F567" s="23"/>
      <c r="G567" s="27"/>
      <c r="H567" s="72"/>
      <c r="I567" s="7"/>
    </row>
    <row r="568" spans="6:9" ht="0" hidden="1" customHeight="1">
      <c r="F568" s="23"/>
      <c r="G568" s="27"/>
      <c r="H568" s="72"/>
      <c r="I568" s="7"/>
    </row>
    <row r="569" spans="6:9" ht="0" hidden="1" customHeight="1">
      <c r="F569" s="23"/>
      <c r="G569" s="27"/>
      <c r="H569" s="72"/>
      <c r="I569" s="7"/>
    </row>
    <row r="570" spans="6:9" ht="0" hidden="1" customHeight="1">
      <c r="F570" s="23"/>
      <c r="G570" s="27"/>
      <c r="H570" s="72"/>
      <c r="I570" s="7"/>
    </row>
    <row r="571" spans="6:9" ht="0" hidden="1" customHeight="1">
      <c r="F571" s="23"/>
      <c r="G571" s="27"/>
      <c r="H571" s="72"/>
      <c r="I571" s="7"/>
    </row>
    <row r="572" spans="6:9" ht="0" hidden="1" customHeight="1">
      <c r="F572" s="23"/>
      <c r="G572" s="27"/>
      <c r="H572" s="72"/>
      <c r="I572" s="7"/>
    </row>
    <row r="573" spans="6:9" ht="0" hidden="1" customHeight="1">
      <c r="F573" s="23"/>
      <c r="G573" s="27"/>
      <c r="H573" s="72"/>
      <c r="I573" s="7"/>
    </row>
    <row r="574" spans="6:9" ht="0" hidden="1" customHeight="1">
      <c r="F574" s="23"/>
      <c r="G574" s="27"/>
      <c r="H574" s="72"/>
      <c r="I574" s="7"/>
    </row>
    <row r="575" spans="6:9" ht="0" hidden="1" customHeight="1">
      <c r="F575" s="23"/>
      <c r="G575" s="27"/>
      <c r="H575" s="72"/>
      <c r="I575" s="7"/>
    </row>
    <row r="576" spans="6:9" ht="0" hidden="1" customHeight="1">
      <c r="F576" s="23"/>
      <c r="G576" s="27"/>
      <c r="H576" s="72"/>
      <c r="I576" s="7"/>
    </row>
    <row r="577" spans="6:9" ht="0" hidden="1" customHeight="1">
      <c r="F577" s="23"/>
      <c r="G577" s="27"/>
      <c r="H577" s="72"/>
      <c r="I577" s="7"/>
    </row>
    <row r="578" spans="6:9" ht="0" hidden="1" customHeight="1">
      <c r="F578" s="23"/>
      <c r="G578" s="27"/>
      <c r="H578" s="72"/>
      <c r="I578" s="7"/>
    </row>
    <row r="579" spans="6:9" ht="0" hidden="1" customHeight="1">
      <c r="F579" s="23"/>
      <c r="G579" s="27"/>
      <c r="H579" s="72"/>
      <c r="I579" s="7"/>
    </row>
    <row r="580" spans="6:9" ht="0" hidden="1" customHeight="1">
      <c r="F580" s="23"/>
      <c r="G580" s="27"/>
      <c r="H580" s="72"/>
      <c r="I580" s="7"/>
    </row>
    <row r="581" spans="6:9" ht="0" hidden="1" customHeight="1">
      <c r="F581" s="23"/>
      <c r="G581" s="27"/>
      <c r="H581" s="72"/>
      <c r="I581" s="7"/>
    </row>
    <row r="582" spans="6:9" ht="0" hidden="1" customHeight="1">
      <c r="F582" s="23"/>
      <c r="G582" s="27"/>
      <c r="H582" s="72"/>
      <c r="I582" s="7"/>
    </row>
    <row r="583" spans="6:9" ht="0" hidden="1" customHeight="1">
      <c r="F583" s="23"/>
      <c r="G583" s="27"/>
      <c r="H583" s="72"/>
      <c r="I583" s="7"/>
    </row>
    <row r="584" spans="6:9" ht="0" hidden="1" customHeight="1">
      <c r="F584" s="23"/>
      <c r="G584" s="27"/>
      <c r="H584" s="72"/>
      <c r="I584" s="7"/>
    </row>
    <row r="585" spans="6:9" ht="0" hidden="1" customHeight="1">
      <c r="F585" s="23"/>
      <c r="G585" s="27"/>
      <c r="H585" s="72"/>
      <c r="I585" s="7"/>
    </row>
    <row r="586" spans="6:9" ht="0" hidden="1" customHeight="1">
      <c r="F586" s="23"/>
      <c r="G586" s="27"/>
      <c r="H586" s="72"/>
      <c r="I586" s="7"/>
    </row>
    <row r="587" spans="6:9" ht="0" hidden="1" customHeight="1">
      <c r="F587" s="23"/>
      <c r="G587" s="27"/>
      <c r="H587" s="72"/>
      <c r="I587" s="7"/>
    </row>
    <row r="588" spans="6:9" ht="0" hidden="1" customHeight="1">
      <c r="F588" s="23"/>
      <c r="G588" s="27"/>
      <c r="H588" s="72"/>
      <c r="I588" s="7"/>
    </row>
    <row r="589" spans="6:9" ht="0" hidden="1" customHeight="1">
      <c r="F589" s="23"/>
      <c r="G589" s="27"/>
      <c r="H589" s="72"/>
      <c r="I589" s="7"/>
    </row>
    <row r="590" spans="6:9" ht="0" hidden="1" customHeight="1">
      <c r="F590" s="23"/>
      <c r="G590" s="27"/>
      <c r="H590" s="72"/>
      <c r="I590" s="7"/>
    </row>
    <row r="591" spans="6:9" ht="0" hidden="1" customHeight="1">
      <c r="F591" s="23"/>
      <c r="G591" s="27"/>
      <c r="H591" s="72"/>
      <c r="I591" s="7"/>
    </row>
    <row r="592" spans="6:9" ht="0" hidden="1" customHeight="1">
      <c r="F592" s="23"/>
      <c r="G592" s="27"/>
      <c r="H592" s="72"/>
      <c r="I592" s="7"/>
    </row>
    <row r="593" spans="6:9" ht="0" hidden="1" customHeight="1">
      <c r="F593" s="23"/>
      <c r="G593" s="27"/>
      <c r="H593" s="72"/>
      <c r="I593" s="7"/>
    </row>
    <row r="594" spans="6:9" ht="0" hidden="1" customHeight="1">
      <c r="F594" s="23"/>
      <c r="G594" s="27"/>
      <c r="H594" s="72"/>
      <c r="I594" s="7"/>
    </row>
    <row r="595" spans="6:9" ht="0" hidden="1" customHeight="1">
      <c r="F595" s="23"/>
      <c r="G595" s="27"/>
      <c r="H595" s="72"/>
      <c r="I595" s="7"/>
    </row>
    <row r="596" spans="6:9" ht="0" hidden="1" customHeight="1">
      <c r="F596" s="23"/>
      <c r="G596" s="27"/>
      <c r="H596" s="72"/>
      <c r="I596" s="7"/>
    </row>
    <row r="597" spans="6:9" ht="0" hidden="1" customHeight="1">
      <c r="F597" s="23"/>
      <c r="G597" s="27"/>
      <c r="H597" s="72"/>
      <c r="I597" s="7"/>
    </row>
    <row r="598" spans="6:9" ht="0" hidden="1" customHeight="1">
      <c r="F598" s="23"/>
      <c r="G598" s="27"/>
      <c r="H598" s="72"/>
      <c r="I598" s="7"/>
    </row>
    <row r="599" spans="6:9" ht="0" hidden="1" customHeight="1">
      <c r="F599" s="23"/>
      <c r="G599" s="27"/>
      <c r="H599" s="72"/>
      <c r="I599" s="7"/>
    </row>
    <row r="600" spans="6:9" ht="0" hidden="1" customHeight="1">
      <c r="F600" s="23"/>
      <c r="G600" s="27"/>
      <c r="H600" s="72"/>
      <c r="I600" s="7"/>
    </row>
    <row r="601" spans="6:9" ht="0" hidden="1" customHeight="1">
      <c r="F601" s="23"/>
      <c r="G601" s="27"/>
      <c r="H601" s="72"/>
      <c r="I601" s="7"/>
    </row>
    <row r="602" spans="6:9" ht="0" hidden="1" customHeight="1">
      <c r="F602" s="23"/>
      <c r="G602" s="27"/>
      <c r="H602" s="72"/>
      <c r="I602" s="7"/>
    </row>
    <row r="603" spans="6:9" ht="0" hidden="1" customHeight="1">
      <c r="F603" s="23"/>
      <c r="G603" s="27"/>
      <c r="H603" s="72"/>
      <c r="I603" s="7"/>
    </row>
    <row r="604" spans="6:9" ht="0" hidden="1" customHeight="1">
      <c r="F604" s="23"/>
      <c r="G604" s="27"/>
      <c r="H604" s="72"/>
      <c r="I604" s="7"/>
    </row>
    <row r="605" spans="6:9" ht="0" hidden="1" customHeight="1">
      <c r="F605" s="23"/>
      <c r="G605" s="27"/>
      <c r="H605" s="72"/>
      <c r="I605" s="7"/>
    </row>
    <row r="606" spans="6:9" ht="0" hidden="1" customHeight="1">
      <c r="F606" s="23"/>
      <c r="G606" s="27"/>
      <c r="H606" s="72"/>
      <c r="I606" s="7"/>
    </row>
    <row r="607" spans="6:9" ht="0" hidden="1" customHeight="1">
      <c r="F607" s="23"/>
      <c r="G607" s="27"/>
      <c r="H607" s="72"/>
      <c r="I607" s="7"/>
    </row>
    <row r="608" spans="6:9" ht="0" hidden="1" customHeight="1">
      <c r="F608" s="23"/>
      <c r="G608" s="27"/>
      <c r="H608" s="72"/>
      <c r="I608" s="7"/>
    </row>
    <row r="609" spans="6:9" ht="0" hidden="1" customHeight="1">
      <c r="F609" s="23"/>
      <c r="G609" s="27"/>
      <c r="H609" s="72"/>
      <c r="I609" s="7"/>
    </row>
    <row r="610" spans="6:9" ht="0" hidden="1" customHeight="1">
      <c r="F610" s="23"/>
      <c r="G610" s="27"/>
      <c r="H610" s="72"/>
      <c r="I610" s="7"/>
    </row>
    <row r="611" spans="6:9" ht="0" hidden="1" customHeight="1">
      <c r="F611" s="23"/>
      <c r="G611" s="27"/>
      <c r="H611" s="72"/>
      <c r="I611" s="7"/>
    </row>
    <row r="612" spans="6:9" ht="0" hidden="1" customHeight="1">
      <c r="F612" s="23"/>
      <c r="G612" s="27"/>
      <c r="H612" s="72"/>
      <c r="I612" s="7"/>
    </row>
    <row r="613" spans="6:9" ht="0" hidden="1" customHeight="1">
      <c r="F613" s="23"/>
      <c r="G613" s="27"/>
      <c r="H613" s="72"/>
      <c r="I613" s="7"/>
    </row>
    <row r="614" spans="6:9" ht="0" hidden="1" customHeight="1">
      <c r="F614" s="23"/>
      <c r="G614" s="27"/>
      <c r="H614" s="72"/>
      <c r="I614" s="7"/>
    </row>
    <row r="615" spans="6:9" ht="0" hidden="1" customHeight="1">
      <c r="F615" s="23"/>
      <c r="G615" s="27"/>
      <c r="H615" s="72"/>
      <c r="I615" s="7"/>
    </row>
    <row r="616" spans="6:9" ht="0" hidden="1" customHeight="1">
      <c r="F616" s="23"/>
      <c r="G616" s="27"/>
      <c r="H616" s="72"/>
      <c r="I616" s="7"/>
    </row>
    <row r="617" spans="6:9" ht="0" hidden="1" customHeight="1">
      <c r="F617" s="23"/>
      <c r="G617" s="27"/>
      <c r="H617" s="72"/>
      <c r="I617" s="7"/>
    </row>
    <row r="618" spans="6:9" ht="0" hidden="1" customHeight="1">
      <c r="F618" s="23"/>
      <c r="G618" s="27"/>
      <c r="H618" s="72"/>
      <c r="I618" s="7"/>
    </row>
    <row r="619" spans="6:9" ht="0" hidden="1" customHeight="1">
      <c r="F619" s="23"/>
      <c r="G619" s="27"/>
      <c r="H619" s="72"/>
      <c r="I619" s="7"/>
    </row>
    <row r="620" spans="6:9" ht="0" hidden="1" customHeight="1">
      <c r="F620" s="23"/>
      <c r="G620" s="27"/>
      <c r="H620" s="72"/>
      <c r="I620" s="7"/>
    </row>
    <row r="621" spans="6:9" ht="0" hidden="1" customHeight="1">
      <c r="F621" s="23"/>
      <c r="G621" s="27"/>
      <c r="H621" s="72"/>
      <c r="I621" s="7"/>
    </row>
    <row r="622" spans="6:9" ht="0" hidden="1" customHeight="1">
      <c r="F622" s="23"/>
      <c r="G622" s="27"/>
      <c r="H622" s="72"/>
      <c r="I622" s="7"/>
    </row>
    <row r="623" spans="6:9" ht="0" hidden="1" customHeight="1">
      <c r="F623" s="23"/>
      <c r="G623" s="27"/>
      <c r="H623" s="72"/>
      <c r="I623" s="7"/>
    </row>
    <row r="624" spans="6:9" ht="0" hidden="1" customHeight="1">
      <c r="F624" s="23"/>
      <c r="G624" s="27"/>
      <c r="H624" s="72"/>
      <c r="I624" s="7"/>
    </row>
    <row r="625" spans="6:9" ht="0" hidden="1" customHeight="1">
      <c r="F625" s="23"/>
      <c r="G625" s="27"/>
      <c r="H625" s="72"/>
      <c r="I625" s="7"/>
    </row>
    <row r="626" spans="6:9" ht="0" hidden="1" customHeight="1">
      <c r="F626" s="23"/>
      <c r="G626" s="27"/>
      <c r="H626" s="72"/>
      <c r="I626" s="7"/>
    </row>
    <row r="627" spans="6:9" ht="0" hidden="1" customHeight="1">
      <c r="F627" s="23"/>
      <c r="G627" s="27"/>
      <c r="H627" s="72"/>
      <c r="I627" s="7"/>
    </row>
    <row r="628" spans="6:9" ht="0" hidden="1" customHeight="1">
      <c r="F628" s="23"/>
      <c r="G628" s="27"/>
      <c r="H628" s="72"/>
      <c r="I628" s="7"/>
    </row>
    <row r="629" spans="6:9" ht="0" hidden="1" customHeight="1">
      <c r="F629" s="23"/>
      <c r="G629" s="27"/>
      <c r="H629" s="72"/>
      <c r="I629" s="7"/>
    </row>
    <row r="630" spans="6:9" ht="0" hidden="1" customHeight="1">
      <c r="F630" s="23"/>
      <c r="G630" s="27"/>
      <c r="H630" s="72"/>
      <c r="I630" s="7"/>
    </row>
    <row r="631" spans="6:9" ht="0" hidden="1" customHeight="1">
      <c r="F631" s="23"/>
      <c r="G631" s="27"/>
      <c r="H631" s="72"/>
      <c r="I631" s="7"/>
    </row>
    <row r="632" spans="6:9" ht="0" hidden="1" customHeight="1">
      <c r="F632" s="23"/>
      <c r="G632" s="27"/>
      <c r="H632" s="72"/>
      <c r="I632" s="7"/>
    </row>
    <row r="633" spans="6:9" ht="0" hidden="1" customHeight="1">
      <c r="F633" s="23"/>
      <c r="G633" s="27"/>
      <c r="H633" s="72"/>
      <c r="I633" s="7"/>
    </row>
    <row r="634" spans="6:9" ht="0" hidden="1" customHeight="1">
      <c r="F634" s="23"/>
      <c r="G634" s="27"/>
      <c r="H634" s="72"/>
      <c r="I634" s="7"/>
    </row>
    <row r="635" spans="6:9" ht="0" hidden="1" customHeight="1">
      <c r="F635" s="23"/>
      <c r="G635" s="27"/>
      <c r="H635" s="72"/>
      <c r="I635" s="7"/>
    </row>
    <row r="636" spans="6:9" ht="0" hidden="1" customHeight="1">
      <c r="F636" s="23"/>
      <c r="G636" s="27"/>
      <c r="H636" s="72"/>
      <c r="I636" s="7"/>
    </row>
    <row r="637" spans="6:9" ht="0" hidden="1" customHeight="1">
      <c r="F637" s="23"/>
      <c r="G637" s="27"/>
      <c r="H637" s="72"/>
      <c r="I637" s="7"/>
    </row>
    <row r="638" spans="6:9" ht="0" hidden="1" customHeight="1">
      <c r="F638" s="23"/>
      <c r="G638" s="27"/>
      <c r="H638" s="72"/>
      <c r="I638" s="7"/>
    </row>
    <row r="639" spans="6:9" ht="0" hidden="1" customHeight="1">
      <c r="F639" s="23"/>
      <c r="G639" s="27"/>
      <c r="H639" s="72"/>
      <c r="I639" s="7"/>
    </row>
    <row r="640" spans="6:9" ht="0" hidden="1" customHeight="1">
      <c r="F640" s="23"/>
      <c r="G640" s="27"/>
      <c r="H640" s="72"/>
      <c r="I640" s="7"/>
    </row>
    <row r="641" spans="6:9" ht="0" hidden="1" customHeight="1">
      <c r="F641" s="23"/>
      <c r="G641" s="27"/>
      <c r="H641" s="72"/>
      <c r="I641" s="7"/>
    </row>
    <row r="642" spans="6:9" ht="0" hidden="1" customHeight="1">
      <c r="F642" s="23"/>
      <c r="G642" s="27"/>
      <c r="H642" s="72"/>
      <c r="I642" s="7"/>
    </row>
    <row r="643" spans="6:9" ht="0" hidden="1" customHeight="1">
      <c r="F643" s="23"/>
      <c r="G643" s="27"/>
      <c r="H643" s="72"/>
      <c r="I643" s="7"/>
    </row>
    <row r="644" spans="6:9" ht="0" hidden="1" customHeight="1">
      <c r="F644" s="23"/>
      <c r="G644" s="27"/>
      <c r="H644" s="72"/>
      <c r="I644" s="7"/>
    </row>
    <row r="645" spans="6:9" ht="0" hidden="1" customHeight="1">
      <c r="F645" s="23"/>
      <c r="G645" s="27"/>
      <c r="H645" s="72"/>
      <c r="I645" s="7"/>
    </row>
    <row r="646" spans="6:9" ht="0" hidden="1" customHeight="1">
      <c r="F646" s="23"/>
      <c r="G646" s="27"/>
      <c r="H646" s="72"/>
      <c r="I646" s="7"/>
    </row>
    <row r="647" spans="6:9" ht="0" hidden="1" customHeight="1">
      <c r="F647" s="23"/>
      <c r="G647" s="27"/>
      <c r="H647" s="72"/>
      <c r="I647" s="7"/>
    </row>
    <row r="648" spans="6:9" ht="0" hidden="1" customHeight="1">
      <c r="F648" s="23"/>
      <c r="G648" s="27"/>
      <c r="H648" s="72"/>
      <c r="I648" s="7"/>
    </row>
    <row r="649" spans="6:9" ht="0" hidden="1" customHeight="1">
      <c r="F649" s="23"/>
      <c r="G649" s="27"/>
      <c r="H649" s="72"/>
      <c r="I649" s="7"/>
    </row>
    <row r="650" spans="6:9" ht="0" hidden="1" customHeight="1">
      <c r="F650" s="23"/>
      <c r="G650" s="27"/>
      <c r="H650" s="72"/>
      <c r="I650" s="7"/>
    </row>
    <row r="651" spans="6:9" ht="0" hidden="1" customHeight="1">
      <c r="F651" s="23"/>
      <c r="G651" s="27"/>
      <c r="H651" s="72"/>
      <c r="I651" s="7"/>
    </row>
    <row r="652" spans="6:9" ht="0" hidden="1" customHeight="1">
      <c r="F652" s="23"/>
      <c r="G652" s="27"/>
      <c r="H652" s="72"/>
      <c r="I652" s="7"/>
    </row>
    <row r="653" spans="6:9" ht="0" hidden="1" customHeight="1">
      <c r="F653" s="23"/>
      <c r="G653" s="27"/>
      <c r="H653" s="72"/>
      <c r="I653" s="7"/>
    </row>
    <row r="654" spans="6:9" ht="0" hidden="1" customHeight="1">
      <c r="F654" s="23"/>
      <c r="G654" s="27"/>
      <c r="H654" s="72"/>
      <c r="I654" s="7"/>
    </row>
    <row r="655" spans="6:9" ht="0" hidden="1" customHeight="1">
      <c r="F655" s="23"/>
      <c r="G655" s="27"/>
      <c r="H655" s="72"/>
      <c r="I655" s="7"/>
    </row>
    <row r="656" spans="6:9" ht="0" hidden="1" customHeight="1">
      <c r="F656" s="23"/>
      <c r="G656" s="27"/>
      <c r="H656" s="72"/>
      <c r="I656" s="7"/>
    </row>
    <row r="657" spans="6:9" ht="0" hidden="1" customHeight="1">
      <c r="F657" s="23"/>
      <c r="G657" s="27"/>
      <c r="H657" s="72"/>
      <c r="I657" s="7"/>
    </row>
    <row r="658" spans="6:9" ht="0" hidden="1" customHeight="1">
      <c r="F658" s="23"/>
      <c r="G658" s="27"/>
      <c r="H658" s="72"/>
      <c r="I658" s="7"/>
    </row>
    <row r="659" spans="6:9" ht="0" hidden="1" customHeight="1">
      <c r="F659" s="23"/>
      <c r="G659" s="27"/>
      <c r="H659" s="72"/>
      <c r="I659" s="7"/>
    </row>
    <row r="660" spans="6:9" ht="0" hidden="1" customHeight="1">
      <c r="F660" s="23"/>
      <c r="G660" s="27"/>
      <c r="H660" s="72"/>
      <c r="I660" s="7"/>
    </row>
    <row r="661" spans="6:9" ht="0" hidden="1" customHeight="1">
      <c r="F661" s="23"/>
      <c r="G661" s="27"/>
      <c r="H661" s="72"/>
      <c r="I661" s="7"/>
    </row>
    <row r="662" spans="6:9" ht="0" hidden="1" customHeight="1">
      <c r="F662" s="23"/>
      <c r="G662" s="27"/>
      <c r="H662" s="72"/>
      <c r="I662" s="7"/>
    </row>
    <row r="663" spans="6:9" ht="0" hidden="1" customHeight="1">
      <c r="F663" s="23"/>
      <c r="G663" s="27"/>
      <c r="H663" s="72"/>
      <c r="I663" s="7"/>
    </row>
    <row r="664" spans="6:9" ht="0" hidden="1" customHeight="1">
      <c r="F664" s="23"/>
      <c r="G664" s="27"/>
      <c r="H664" s="72"/>
      <c r="I664" s="7"/>
    </row>
    <row r="665" spans="6:9" ht="0" hidden="1" customHeight="1">
      <c r="F665" s="23"/>
      <c r="G665" s="27"/>
      <c r="H665" s="72"/>
      <c r="I665" s="7"/>
    </row>
    <row r="666" spans="6:9" ht="0" hidden="1" customHeight="1">
      <c r="F666" s="23"/>
      <c r="G666" s="27"/>
      <c r="H666" s="72"/>
      <c r="I666" s="7"/>
    </row>
    <row r="667" spans="6:9" ht="0" hidden="1" customHeight="1">
      <c r="F667" s="23"/>
      <c r="G667" s="27"/>
      <c r="H667" s="72"/>
      <c r="I667" s="7"/>
    </row>
    <row r="668" spans="6:9" ht="0" hidden="1" customHeight="1">
      <c r="F668" s="23"/>
      <c r="G668" s="27"/>
      <c r="H668" s="72"/>
      <c r="I668" s="7"/>
    </row>
    <row r="669" spans="6:9" ht="0" hidden="1" customHeight="1">
      <c r="F669" s="23"/>
      <c r="G669" s="27"/>
      <c r="H669" s="72"/>
      <c r="I669" s="7"/>
    </row>
    <row r="670" spans="6:9" ht="0" hidden="1" customHeight="1">
      <c r="F670" s="23"/>
      <c r="G670" s="27"/>
      <c r="H670" s="72"/>
      <c r="I670" s="7"/>
    </row>
    <row r="671" spans="6:9" ht="0" hidden="1" customHeight="1">
      <c r="F671" s="23"/>
      <c r="G671" s="27"/>
      <c r="H671" s="72"/>
      <c r="I671" s="7"/>
    </row>
    <row r="672" spans="6:9" ht="0" hidden="1" customHeight="1">
      <c r="F672" s="23"/>
      <c r="G672" s="27"/>
      <c r="H672" s="72"/>
      <c r="I672" s="7"/>
    </row>
    <row r="673" spans="6:9" ht="0" hidden="1" customHeight="1">
      <c r="F673" s="23"/>
      <c r="G673" s="27"/>
      <c r="H673" s="72"/>
      <c r="I673" s="7"/>
    </row>
    <row r="674" spans="6:9" ht="0" hidden="1" customHeight="1">
      <c r="F674" s="23"/>
      <c r="G674" s="27"/>
      <c r="H674" s="72"/>
      <c r="I674" s="7"/>
    </row>
    <row r="675" spans="6:9" ht="0" hidden="1" customHeight="1">
      <c r="F675" s="23"/>
      <c r="G675" s="27"/>
      <c r="H675" s="72"/>
      <c r="I675" s="7"/>
    </row>
    <row r="676" spans="6:9" ht="0" hidden="1" customHeight="1">
      <c r="F676" s="23"/>
      <c r="G676" s="27"/>
      <c r="H676" s="72"/>
      <c r="I676" s="7"/>
    </row>
    <row r="677" spans="6:9" ht="0" hidden="1" customHeight="1">
      <c r="F677" s="23"/>
      <c r="G677" s="27"/>
      <c r="H677" s="72"/>
      <c r="I677" s="7"/>
    </row>
    <row r="678" spans="6:9" ht="0" hidden="1" customHeight="1">
      <c r="F678" s="23"/>
      <c r="G678" s="27"/>
      <c r="H678" s="72"/>
      <c r="I678" s="7"/>
    </row>
    <row r="679" spans="6:9" ht="0" hidden="1" customHeight="1">
      <c r="F679" s="23"/>
      <c r="G679" s="27"/>
      <c r="H679" s="72"/>
      <c r="I679" s="7"/>
    </row>
    <row r="680" spans="6:9" ht="0" hidden="1" customHeight="1">
      <c r="F680" s="23"/>
      <c r="G680" s="27"/>
      <c r="H680" s="72"/>
      <c r="I680" s="7"/>
    </row>
    <row r="681" spans="6:9" ht="0" hidden="1" customHeight="1">
      <c r="F681" s="23"/>
      <c r="G681" s="27"/>
      <c r="H681" s="72"/>
      <c r="I681" s="7"/>
    </row>
    <row r="682" spans="6:9" ht="0" hidden="1" customHeight="1">
      <c r="F682" s="23"/>
      <c r="G682" s="27"/>
      <c r="H682" s="72"/>
      <c r="I682" s="7"/>
    </row>
    <row r="683" spans="6:9" ht="0" hidden="1" customHeight="1">
      <c r="F683" s="23"/>
      <c r="G683" s="27"/>
      <c r="H683" s="72"/>
      <c r="I683" s="7"/>
    </row>
    <row r="684" spans="6:9" ht="0" hidden="1" customHeight="1">
      <c r="F684" s="23"/>
      <c r="G684" s="27"/>
      <c r="H684" s="72"/>
      <c r="I684" s="7"/>
    </row>
    <row r="685" spans="6:9" ht="0" hidden="1" customHeight="1">
      <c r="F685" s="23"/>
      <c r="G685" s="27"/>
      <c r="H685" s="72"/>
      <c r="I685" s="7"/>
    </row>
    <row r="686" spans="6:9" ht="0" hidden="1" customHeight="1">
      <c r="F686" s="23"/>
      <c r="G686" s="27"/>
      <c r="H686" s="72"/>
      <c r="I686" s="7"/>
    </row>
    <row r="687" spans="6:9" ht="0" hidden="1" customHeight="1">
      <c r="F687" s="23"/>
      <c r="G687" s="27"/>
      <c r="H687" s="72"/>
      <c r="I687" s="7"/>
    </row>
    <row r="688" spans="6:9" ht="0" hidden="1" customHeight="1">
      <c r="F688" s="23"/>
      <c r="G688" s="27"/>
      <c r="H688" s="72"/>
      <c r="I688" s="7"/>
    </row>
    <row r="689" spans="6:9" ht="0" hidden="1" customHeight="1">
      <c r="F689" s="23"/>
      <c r="G689" s="27"/>
      <c r="H689" s="72"/>
      <c r="I689" s="7"/>
    </row>
    <row r="690" spans="6:9" ht="0" hidden="1" customHeight="1">
      <c r="F690" s="23"/>
      <c r="G690" s="27"/>
      <c r="H690" s="72"/>
      <c r="I690" s="7"/>
    </row>
    <row r="691" spans="6:9" ht="0" hidden="1" customHeight="1">
      <c r="F691" s="23"/>
      <c r="G691" s="27"/>
      <c r="H691" s="72"/>
      <c r="I691" s="7"/>
    </row>
    <row r="692" spans="6:9" ht="0" hidden="1" customHeight="1">
      <c r="F692" s="23"/>
      <c r="G692" s="27"/>
      <c r="H692" s="72"/>
      <c r="I692" s="7"/>
    </row>
    <row r="693" spans="6:9" ht="0" hidden="1" customHeight="1">
      <c r="F693" s="23"/>
      <c r="G693" s="27"/>
      <c r="H693" s="72"/>
      <c r="I693" s="7"/>
    </row>
    <row r="694" spans="6:9" ht="0" hidden="1" customHeight="1">
      <c r="F694" s="23"/>
      <c r="G694" s="27"/>
      <c r="H694" s="72"/>
      <c r="I694" s="7"/>
    </row>
    <row r="695" spans="6:9" ht="0" hidden="1" customHeight="1">
      <c r="F695" s="23"/>
      <c r="G695" s="27"/>
      <c r="H695" s="72"/>
      <c r="I695" s="7"/>
    </row>
    <row r="696" spans="6:9" ht="0" hidden="1" customHeight="1">
      <c r="F696" s="23"/>
      <c r="G696" s="27"/>
      <c r="H696" s="72"/>
      <c r="I696" s="7"/>
    </row>
    <row r="697" spans="6:9" ht="0" hidden="1" customHeight="1">
      <c r="F697" s="23"/>
      <c r="G697" s="27"/>
      <c r="H697" s="72"/>
      <c r="I697" s="7"/>
    </row>
    <row r="698" spans="6:9" ht="0" hidden="1" customHeight="1">
      <c r="F698" s="23"/>
      <c r="G698" s="27"/>
      <c r="H698" s="72"/>
      <c r="I698" s="7"/>
    </row>
    <row r="699" spans="6:9" ht="0" hidden="1" customHeight="1">
      <c r="F699" s="23"/>
      <c r="G699" s="27"/>
      <c r="H699" s="72"/>
      <c r="I699" s="7"/>
    </row>
    <row r="700" spans="6:9" ht="0" hidden="1" customHeight="1">
      <c r="F700" s="23"/>
      <c r="G700" s="27"/>
      <c r="H700" s="72"/>
      <c r="I700" s="7"/>
    </row>
    <row r="701" spans="6:9" ht="0" hidden="1" customHeight="1">
      <c r="F701" s="23"/>
      <c r="G701" s="27"/>
      <c r="H701" s="72"/>
      <c r="I701" s="7"/>
    </row>
    <row r="702" spans="6:9" ht="0" hidden="1" customHeight="1">
      <c r="F702" s="23"/>
      <c r="G702" s="27"/>
      <c r="H702" s="72"/>
      <c r="I702" s="7"/>
    </row>
    <row r="703" spans="6:9" ht="0" hidden="1" customHeight="1">
      <c r="F703" s="23"/>
      <c r="G703" s="27"/>
      <c r="H703" s="72"/>
      <c r="I703" s="7"/>
    </row>
    <row r="704" spans="6:9" ht="0" hidden="1" customHeight="1">
      <c r="F704" s="23"/>
      <c r="G704" s="27"/>
      <c r="H704" s="72"/>
      <c r="I704" s="7"/>
    </row>
    <row r="705" spans="6:9" ht="0" hidden="1" customHeight="1">
      <c r="F705" s="23"/>
      <c r="G705" s="27"/>
      <c r="H705" s="72"/>
      <c r="I705" s="7"/>
    </row>
    <row r="706" spans="6:9" ht="0" hidden="1" customHeight="1">
      <c r="F706" s="23"/>
      <c r="G706" s="27"/>
      <c r="H706" s="72"/>
      <c r="I706" s="7"/>
    </row>
    <row r="707" spans="6:9" ht="0" hidden="1" customHeight="1">
      <c r="F707" s="23"/>
      <c r="G707" s="27"/>
      <c r="H707" s="72"/>
      <c r="I707" s="7"/>
    </row>
    <row r="708" spans="6:9" ht="0" hidden="1" customHeight="1">
      <c r="F708" s="23"/>
      <c r="G708" s="27"/>
      <c r="H708" s="72"/>
      <c r="I708" s="7"/>
    </row>
    <row r="709" spans="6:9" ht="0" hidden="1" customHeight="1">
      <c r="F709" s="23"/>
      <c r="G709" s="27"/>
      <c r="H709" s="72"/>
      <c r="I709" s="7"/>
    </row>
    <row r="710" spans="6:9" ht="0" hidden="1" customHeight="1">
      <c r="F710" s="23"/>
      <c r="G710" s="27"/>
      <c r="H710" s="72"/>
      <c r="I710" s="7"/>
    </row>
    <row r="711" spans="6:9" ht="0" hidden="1" customHeight="1">
      <c r="F711" s="23"/>
      <c r="G711" s="27"/>
      <c r="H711" s="72"/>
      <c r="I711" s="7"/>
    </row>
    <row r="712" spans="6:9" ht="0" hidden="1" customHeight="1">
      <c r="F712" s="23"/>
      <c r="G712" s="27"/>
      <c r="H712" s="72"/>
      <c r="I712" s="7"/>
    </row>
    <row r="713" spans="6:9" ht="0" hidden="1" customHeight="1">
      <c r="F713" s="23"/>
      <c r="G713" s="27"/>
      <c r="H713" s="72"/>
      <c r="I713" s="7"/>
    </row>
    <row r="714" spans="6:9" ht="0" hidden="1" customHeight="1">
      <c r="F714" s="23"/>
      <c r="G714" s="27"/>
      <c r="H714" s="72"/>
      <c r="I714" s="7"/>
    </row>
    <row r="715" spans="6:9" ht="0" hidden="1" customHeight="1">
      <c r="F715" s="23"/>
      <c r="G715" s="27"/>
      <c r="H715" s="72"/>
      <c r="I715" s="7"/>
    </row>
    <row r="716" spans="6:9" ht="0" hidden="1" customHeight="1">
      <c r="F716" s="23"/>
      <c r="G716" s="27"/>
      <c r="H716" s="72"/>
      <c r="I716" s="7"/>
    </row>
    <row r="717" spans="6:9" ht="0" hidden="1" customHeight="1">
      <c r="F717" s="23"/>
      <c r="G717" s="27"/>
      <c r="H717" s="72"/>
      <c r="I717" s="7"/>
    </row>
    <row r="718" spans="6:9" ht="0" hidden="1" customHeight="1">
      <c r="F718" s="23"/>
      <c r="G718" s="27"/>
      <c r="H718" s="72"/>
      <c r="I718" s="7"/>
    </row>
    <row r="719" spans="6:9" ht="0" hidden="1" customHeight="1">
      <c r="F719" s="23"/>
      <c r="G719" s="27"/>
      <c r="H719" s="72"/>
      <c r="I719" s="7"/>
    </row>
    <row r="720" spans="6:9" ht="0" hidden="1" customHeight="1">
      <c r="F720" s="23"/>
      <c r="G720" s="27"/>
      <c r="H720" s="72"/>
      <c r="I720" s="7"/>
    </row>
    <row r="721" spans="6:9" ht="0" hidden="1" customHeight="1">
      <c r="F721" s="23"/>
      <c r="G721" s="27"/>
      <c r="H721" s="72"/>
      <c r="I721" s="7"/>
    </row>
    <row r="722" spans="6:9" ht="0" hidden="1" customHeight="1">
      <c r="F722" s="23"/>
      <c r="G722" s="27"/>
      <c r="H722" s="72"/>
      <c r="I722" s="7"/>
    </row>
    <row r="723" spans="6:9" ht="0" hidden="1" customHeight="1">
      <c r="F723" s="23"/>
      <c r="G723" s="27"/>
      <c r="H723" s="72"/>
      <c r="I723" s="7"/>
    </row>
    <row r="724" spans="6:9" ht="0" hidden="1" customHeight="1">
      <c r="F724" s="23"/>
      <c r="G724" s="27"/>
      <c r="H724" s="72"/>
      <c r="I724" s="7"/>
    </row>
    <row r="725" spans="6:9" ht="0" hidden="1" customHeight="1">
      <c r="F725" s="23"/>
      <c r="G725" s="27"/>
      <c r="H725" s="72"/>
      <c r="I725" s="7"/>
    </row>
    <row r="726" spans="6:9" ht="0" hidden="1" customHeight="1">
      <c r="F726" s="23"/>
      <c r="G726" s="27"/>
      <c r="H726" s="72"/>
      <c r="I726" s="7"/>
    </row>
    <row r="727" spans="6:9" ht="0" hidden="1" customHeight="1">
      <c r="F727" s="23"/>
      <c r="G727" s="27"/>
      <c r="H727" s="72"/>
      <c r="I727" s="7"/>
    </row>
    <row r="728" spans="6:9" ht="0" hidden="1" customHeight="1">
      <c r="F728" s="23"/>
      <c r="G728" s="27"/>
      <c r="H728" s="72"/>
      <c r="I728" s="7"/>
    </row>
    <row r="729" spans="6:9" ht="0" hidden="1" customHeight="1">
      <c r="F729" s="23"/>
      <c r="G729" s="27"/>
      <c r="H729" s="72"/>
      <c r="I729" s="7"/>
    </row>
    <row r="730" spans="6:9" ht="0" hidden="1" customHeight="1">
      <c r="F730" s="23"/>
      <c r="G730" s="27"/>
      <c r="H730" s="72"/>
      <c r="I730" s="7"/>
    </row>
    <row r="731" spans="6:9" ht="0" hidden="1" customHeight="1">
      <c r="F731" s="23"/>
      <c r="G731" s="27"/>
      <c r="H731" s="72"/>
      <c r="I731" s="7"/>
    </row>
    <row r="732" spans="6:9" ht="0" hidden="1" customHeight="1">
      <c r="F732" s="23"/>
      <c r="G732" s="27"/>
      <c r="H732" s="72"/>
      <c r="I732" s="7"/>
    </row>
    <row r="733" spans="6:9" ht="0" hidden="1" customHeight="1">
      <c r="F733" s="23"/>
      <c r="G733" s="27"/>
      <c r="H733" s="72"/>
      <c r="I733" s="7"/>
    </row>
    <row r="734" spans="6:9" ht="0" hidden="1" customHeight="1">
      <c r="F734" s="23"/>
      <c r="G734" s="27"/>
      <c r="H734" s="72"/>
      <c r="I734" s="7"/>
    </row>
    <row r="735" spans="6:9" ht="0" hidden="1" customHeight="1">
      <c r="F735" s="23"/>
      <c r="G735" s="27"/>
      <c r="H735" s="72"/>
      <c r="I735" s="7"/>
    </row>
    <row r="736" spans="6:9" ht="0" hidden="1" customHeight="1">
      <c r="F736" s="23"/>
      <c r="G736" s="27"/>
      <c r="H736" s="72"/>
      <c r="I736" s="7"/>
    </row>
    <row r="737" spans="6:9" ht="0" hidden="1" customHeight="1">
      <c r="F737" s="23"/>
      <c r="G737" s="27"/>
      <c r="H737" s="72"/>
      <c r="I737" s="7"/>
    </row>
    <row r="738" spans="6:9" ht="0" hidden="1" customHeight="1">
      <c r="F738" s="23"/>
      <c r="G738" s="27"/>
      <c r="H738" s="72"/>
      <c r="I738" s="7"/>
    </row>
    <row r="739" spans="6:9" ht="0" hidden="1" customHeight="1">
      <c r="F739" s="23"/>
      <c r="G739" s="27"/>
      <c r="H739" s="72"/>
      <c r="I739" s="7"/>
    </row>
    <row r="740" spans="6:9" ht="0" hidden="1" customHeight="1">
      <c r="F740" s="23"/>
      <c r="G740" s="27"/>
      <c r="H740" s="72"/>
      <c r="I740" s="7"/>
    </row>
    <row r="741" spans="6:9" ht="0" hidden="1" customHeight="1">
      <c r="F741" s="23"/>
      <c r="G741" s="27"/>
      <c r="H741" s="72"/>
      <c r="I741" s="7"/>
    </row>
    <row r="742" spans="6:9" ht="0" hidden="1" customHeight="1">
      <c r="F742" s="23"/>
      <c r="G742" s="27"/>
      <c r="H742" s="72"/>
      <c r="I742" s="7"/>
    </row>
    <row r="743" spans="6:9" ht="0" hidden="1" customHeight="1">
      <c r="F743" s="23"/>
      <c r="G743" s="27"/>
      <c r="H743" s="72"/>
      <c r="I743" s="7"/>
    </row>
    <row r="744" spans="6:9" ht="0" hidden="1" customHeight="1">
      <c r="F744" s="23"/>
      <c r="G744" s="27"/>
      <c r="H744" s="72"/>
      <c r="I744" s="7"/>
    </row>
    <row r="745" spans="6:9" ht="0" hidden="1" customHeight="1">
      <c r="F745" s="23"/>
      <c r="G745" s="27"/>
      <c r="H745" s="72"/>
      <c r="I745" s="7"/>
    </row>
    <row r="746" spans="6:9" ht="0" hidden="1" customHeight="1">
      <c r="F746" s="23"/>
      <c r="G746" s="27"/>
      <c r="H746" s="72"/>
      <c r="I746" s="7"/>
    </row>
    <row r="747" spans="6:9" ht="0" hidden="1" customHeight="1">
      <c r="F747" s="23"/>
      <c r="G747" s="27"/>
      <c r="H747" s="72"/>
      <c r="I747" s="7"/>
    </row>
    <row r="748" spans="6:9" ht="0" hidden="1" customHeight="1">
      <c r="F748" s="23"/>
      <c r="G748" s="27"/>
      <c r="H748" s="72"/>
      <c r="I748" s="7"/>
    </row>
    <row r="749" spans="6:9" ht="0" hidden="1" customHeight="1">
      <c r="F749" s="23"/>
      <c r="G749" s="27"/>
      <c r="H749" s="72"/>
      <c r="I749" s="7"/>
    </row>
    <row r="750" spans="6:9" ht="0" hidden="1" customHeight="1">
      <c r="F750" s="23"/>
      <c r="G750" s="27"/>
      <c r="H750" s="72"/>
      <c r="I750" s="7"/>
    </row>
    <row r="751" spans="6:9" ht="0" hidden="1" customHeight="1">
      <c r="F751" s="23"/>
      <c r="G751" s="27"/>
      <c r="H751" s="72"/>
      <c r="I751" s="7"/>
    </row>
    <row r="752" spans="6:9" ht="0" hidden="1" customHeight="1">
      <c r="F752" s="23"/>
      <c r="G752" s="27"/>
      <c r="H752" s="72"/>
      <c r="I752" s="7"/>
    </row>
    <row r="753" spans="6:9" ht="0" hidden="1" customHeight="1">
      <c r="F753" s="23"/>
      <c r="G753" s="27"/>
      <c r="H753" s="72"/>
      <c r="I753" s="7"/>
    </row>
    <row r="754" spans="6:9" ht="0" hidden="1" customHeight="1">
      <c r="F754" s="23"/>
      <c r="G754" s="27"/>
      <c r="H754" s="72"/>
      <c r="I754" s="7"/>
    </row>
    <row r="755" spans="6:9" ht="0" hidden="1" customHeight="1">
      <c r="F755" s="23"/>
      <c r="G755" s="27"/>
      <c r="H755" s="72"/>
      <c r="I755" s="7"/>
    </row>
    <row r="756" spans="6:9" ht="0" hidden="1" customHeight="1">
      <c r="F756" s="23"/>
      <c r="G756" s="27"/>
      <c r="H756" s="72"/>
      <c r="I756" s="7"/>
    </row>
    <row r="757" spans="6:9" ht="0" hidden="1" customHeight="1">
      <c r="F757" s="23"/>
      <c r="G757" s="27"/>
      <c r="H757" s="72"/>
      <c r="I757" s="7"/>
    </row>
    <row r="758" spans="6:9" ht="0" hidden="1" customHeight="1">
      <c r="F758" s="23"/>
      <c r="G758" s="27"/>
      <c r="H758" s="72"/>
      <c r="I758" s="7"/>
    </row>
    <row r="759" spans="6:9" ht="0" hidden="1" customHeight="1">
      <c r="F759" s="23"/>
      <c r="G759" s="27"/>
      <c r="H759" s="72"/>
      <c r="I759" s="7"/>
    </row>
    <row r="760" spans="6:9" ht="0" hidden="1" customHeight="1">
      <c r="F760" s="23"/>
      <c r="G760" s="27"/>
      <c r="H760" s="72"/>
      <c r="I760" s="7"/>
    </row>
    <row r="761" spans="6:9" ht="0" hidden="1" customHeight="1">
      <c r="F761" s="23"/>
      <c r="G761" s="27"/>
      <c r="H761" s="72"/>
      <c r="I761" s="7"/>
    </row>
    <row r="762" spans="6:9" ht="0" hidden="1" customHeight="1">
      <c r="F762" s="23"/>
      <c r="G762" s="27"/>
      <c r="H762" s="72"/>
      <c r="I762" s="7"/>
    </row>
    <row r="763" spans="6:9" ht="0" hidden="1" customHeight="1">
      <c r="F763" s="23"/>
      <c r="G763" s="27"/>
      <c r="H763" s="72"/>
      <c r="I763" s="7"/>
    </row>
    <row r="764" spans="6:9" ht="0" hidden="1" customHeight="1">
      <c r="F764" s="23"/>
      <c r="G764" s="27"/>
      <c r="H764" s="72"/>
      <c r="I764" s="7"/>
    </row>
    <row r="765" spans="6:9" ht="0" hidden="1" customHeight="1">
      <c r="F765" s="23"/>
      <c r="G765" s="27"/>
      <c r="H765" s="72"/>
      <c r="I765" s="7"/>
    </row>
    <row r="766" spans="6:9" ht="0" hidden="1" customHeight="1">
      <c r="F766" s="23"/>
      <c r="G766" s="27"/>
      <c r="H766" s="72"/>
      <c r="I766" s="7"/>
    </row>
    <row r="767" spans="6:9" ht="0" hidden="1" customHeight="1">
      <c r="F767" s="23"/>
      <c r="G767" s="27"/>
      <c r="H767" s="72"/>
      <c r="I767" s="7"/>
    </row>
    <row r="768" spans="6:9" ht="0" hidden="1" customHeight="1">
      <c r="F768" s="23"/>
      <c r="G768" s="27"/>
      <c r="H768" s="72"/>
      <c r="I768" s="7"/>
    </row>
    <row r="769" spans="6:9" ht="0" hidden="1" customHeight="1">
      <c r="F769" s="23"/>
      <c r="G769" s="27"/>
      <c r="H769" s="72"/>
      <c r="I769" s="7"/>
    </row>
    <row r="770" spans="6:9" ht="0" hidden="1" customHeight="1">
      <c r="F770" s="23"/>
      <c r="G770" s="27"/>
      <c r="H770" s="72"/>
      <c r="I770" s="7"/>
    </row>
    <row r="771" spans="6:9" ht="0" hidden="1" customHeight="1">
      <c r="F771" s="23"/>
      <c r="G771" s="27"/>
      <c r="H771" s="72"/>
      <c r="I771" s="7"/>
    </row>
    <row r="772" spans="6:9" ht="0" hidden="1" customHeight="1">
      <c r="F772" s="23"/>
      <c r="G772" s="27"/>
      <c r="H772" s="72"/>
      <c r="I772" s="7"/>
    </row>
    <row r="773" spans="6:9" ht="0" hidden="1" customHeight="1">
      <c r="F773" s="23"/>
      <c r="G773" s="27"/>
      <c r="H773" s="72"/>
      <c r="I773" s="7"/>
    </row>
    <row r="774" spans="6:9" ht="0" hidden="1" customHeight="1">
      <c r="F774" s="23"/>
      <c r="G774" s="27"/>
      <c r="H774" s="72"/>
      <c r="I774" s="7"/>
    </row>
    <row r="775" spans="6:9" ht="0" hidden="1" customHeight="1">
      <c r="F775" s="23"/>
      <c r="G775" s="27"/>
      <c r="H775" s="72"/>
      <c r="I775" s="7"/>
    </row>
    <row r="776" spans="6:9" ht="0" hidden="1" customHeight="1">
      <c r="F776" s="23"/>
      <c r="G776" s="27"/>
      <c r="H776" s="72"/>
      <c r="I776" s="7"/>
    </row>
    <row r="777" spans="6:9" ht="0" hidden="1" customHeight="1">
      <c r="F777" s="23"/>
      <c r="G777" s="27"/>
      <c r="H777" s="72"/>
      <c r="I777" s="7"/>
    </row>
    <row r="778" spans="6:9" ht="0" hidden="1" customHeight="1">
      <c r="F778" s="23"/>
      <c r="G778" s="27"/>
      <c r="H778" s="72"/>
      <c r="I778" s="7"/>
    </row>
    <row r="779" spans="6:9" ht="0" hidden="1" customHeight="1">
      <c r="F779" s="23"/>
      <c r="G779" s="27"/>
      <c r="H779" s="72"/>
      <c r="I779" s="7"/>
    </row>
    <row r="780" spans="6:9" ht="0" hidden="1" customHeight="1">
      <c r="F780" s="23"/>
      <c r="G780" s="27"/>
      <c r="H780" s="72"/>
      <c r="I780" s="7"/>
    </row>
    <row r="781" spans="6:9" ht="0" hidden="1" customHeight="1">
      <c r="F781" s="23"/>
      <c r="G781" s="27"/>
      <c r="H781" s="72"/>
      <c r="I781" s="7"/>
    </row>
    <row r="782" spans="6:9" ht="0" hidden="1" customHeight="1">
      <c r="F782" s="23"/>
      <c r="G782" s="27"/>
      <c r="H782" s="72"/>
      <c r="I782" s="7"/>
    </row>
    <row r="783" spans="6:9" ht="0" hidden="1" customHeight="1">
      <c r="F783" s="23"/>
      <c r="G783" s="27"/>
      <c r="H783" s="72"/>
      <c r="I783" s="7"/>
    </row>
    <row r="784" spans="6:9" ht="0" hidden="1" customHeight="1">
      <c r="F784" s="23"/>
      <c r="G784" s="27"/>
      <c r="H784" s="72"/>
      <c r="I784" s="7"/>
    </row>
    <row r="785" spans="6:9" ht="0" hidden="1" customHeight="1">
      <c r="F785" s="23"/>
      <c r="G785" s="27"/>
      <c r="H785" s="72"/>
      <c r="I785" s="7"/>
    </row>
    <row r="786" spans="6:9" ht="0" hidden="1" customHeight="1">
      <c r="F786" s="23"/>
      <c r="G786" s="27"/>
      <c r="H786" s="72"/>
      <c r="I786" s="7"/>
    </row>
    <row r="787" spans="6:9" ht="0" hidden="1" customHeight="1">
      <c r="F787" s="23"/>
      <c r="G787" s="27"/>
      <c r="H787" s="72"/>
      <c r="I787" s="7"/>
    </row>
    <row r="788" spans="6:9" ht="0" hidden="1" customHeight="1">
      <c r="F788" s="23"/>
      <c r="G788" s="27"/>
      <c r="H788" s="72"/>
      <c r="I788" s="7"/>
    </row>
    <row r="789" spans="6:9" ht="0" hidden="1" customHeight="1">
      <c r="F789" s="23"/>
      <c r="G789" s="27"/>
      <c r="H789" s="72"/>
      <c r="I789" s="7"/>
    </row>
    <row r="790" spans="6:9" ht="0" hidden="1" customHeight="1">
      <c r="F790" s="23"/>
      <c r="G790" s="27"/>
      <c r="H790" s="72"/>
      <c r="I790" s="7"/>
    </row>
    <row r="791" spans="6:9" ht="0" hidden="1" customHeight="1">
      <c r="F791" s="23"/>
      <c r="G791" s="27"/>
      <c r="H791" s="72"/>
      <c r="I791" s="7"/>
    </row>
    <row r="792" spans="6:9" ht="0" hidden="1" customHeight="1">
      <c r="F792" s="23"/>
      <c r="G792" s="27"/>
      <c r="H792" s="72"/>
      <c r="I792" s="7"/>
    </row>
    <row r="793" spans="6:9" ht="0" hidden="1" customHeight="1">
      <c r="F793" s="23"/>
      <c r="G793" s="27"/>
      <c r="H793" s="72"/>
      <c r="I793" s="7"/>
    </row>
    <row r="794" spans="6:9" ht="0" hidden="1" customHeight="1">
      <c r="F794" s="23"/>
      <c r="G794" s="27"/>
      <c r="H794" s="72"/>
      <c r="I794" s="7"/>
    </row>
    <row r="795" spans="6:9" ht="0" hidden="1" customHeight="1">
      <c r="F795" s="23"/>
      <c r="G795" s="27"/>
      <c r="H795" s="72"/>
      <c r="I795" s="7"/>
    </row>
    <row r="796" spans="6:9" ht="0" hidden="1" customHeight="1">
      <c r="F796" s="23"/>
      <c r="G796" s="27"/>
      <c r="H796" s="72"/>
      <c r="I796" s="7"/>
    </row>
    <row r="797" spans="6:9" ht="0" hidden="1" customHeight="1">
      <c r="F797" s="23"/>
      <c r="G797" s="27"/>
      <c r="H797" s="72"/>
      <c r="I797" s="7"/>
    </row>
    <row r="798" spans="6:9" ht="0" hidden="1" customHeight="1">
      <c r="F798" s="23"/>
      <c r="G798" s="27"/>
      <c r="H798" s="72"/>
      <c r="I798" s="7"/>
    </row>
    <row r="799" spans="6:9" ht="0" hidden="1" customHeight="1">
      <c r="F799" s="23"/>
      <c r="G799" s="27"/>
      <c r="H799" s="72"/>
      <c r="I799" s="7"/>
    </row>
    <row r="800" spans="6:9" ht="0" hidden="1" customHeight="1">
      <c r="F800" s="23"/>
      <c r="G800" s="27"/>
      <c r="H800" s="72"/>
      <c r="I800" s="7"/>
    </row>
    <row r="801" spans="6:9" ht="0" hidden="1" customHeight="1">
      <c r="F801" s="23"/>
      <c r="G801" s="27"/>
      <c r="H801" s="72"/>
      <c r="I801" s="7"/>
    </row>
    <row r="802" spans="6:9" ht="0" hidden="1" customHeight="1">
      <c r="F802" s="23"/>
      <c r="G802" s="27"/>
      <c r="H802" s="72"/>
      <c r="I802" s="7"/>
    </row>
    <row r="803" spans="6:9" ht="0" hidden="1" customHeight="1">
      <c r="F803" s="23"/>
      <c r="G803" s="27"/>
      <c r="H803" s="72"/>
      <c r="I803" s="7"/>
    </row>
    <row r="804" spans="6:9" ht="0" hidden="1" customHeight="1">
      <c r="F804" s="23"/>
      <c r="G804" s="27"/>
      <c r="H804" s="72"/>
      <c r="I804" s="7"/>
    </row>
    <row r="805" spans="6:9" ht="0" hidden="1" customHeight="1">
      <c r="F805" s="23"/>
      <c r="G805" s="27"/>
      <c r="H805" s="72"/>
      <c r="I805" s="7"/>
    </row>
    <row r="806" spans="6:9" ht="0" hidden="1" customHeight="1">
      <c r="F806" s="23"/>
      <c r="G806" s="27"/>
      <c r="H806" s="72"/>
      <c r="I806" s="7"/>
    </row>
    <row r="807" spans="6:9" ht="0" hidden="1" customHeight="1">
      <c r="F807" s="23"/>
      <c r="G807" s="27"/>
      <c r="H807" s="72"/>
      <c r="I807" s="7"/>
    </row>
    <row r="808" spans="6:9" ht="0" hidden="1" customHeight="1">
      <c r="F808" s="23"/>
      <c r="G808" s="27"/>
      <c r="H808" s="72"/>
      <c r="I808" s="7"/>
    </row>
    <row r="809" spans="6:9" ht="0" hidden="1" customHeight="1">
      <c r="F809" s="23"/>
      <c r="G809" s="27"/>
      <c r="H809" s="72"/>
      <c r="I809" s="7"/>
    </row>
    <row r="810" spans="6:9" ht="0" hidden="1" customHeight="1">
      <c r="F810" s="23"/>
      <c r="G810" s="27"/>
      <c r="H810" s="72"/>
      <c r="I810" s="7"/>
    </row>
    <row r="811" spans="6:9" ht="0" hidden="1" customHeight="1">
      <c r="F811" s="23"/>
      <c r="G811" s="27"/>
      <c r="H811" s="72"/>
      <c r="I811" s="7"/>
    </row>
    <row r="812" spans="6:9" ht="0" hidden="1" customHeight="1">
      <c r="F812" s="23"/>
      <c r="G812" s="27"/>
      <c r="H812" s="72"/>
      <c r="I812" s="7"/>
    </row>
    <row r="813" spans="6:9" ht="0" hidden="1" customHeight="1">
      <c r="F813" s="23"/>
      <c r="G813" s="27"/>
      <c r="H813" s="72"/>
      <c r="I813" s="7"/>
    </row>
    <row r="814" spans="6:9" ht="0" hidden="1" customHeight="1">
      <c r="F814" s="23"/>
      <c r="G814" s="27"/>
      <c r="H814" s="72"/>
      <c r="I814" s="7"/>
    </row>
    <row r="815" spans="6:9" ht="0" hidden="1" customHeight="1">
      <c r="F815" s="23"/>
      <c r="G815" s="27"/>
      <c r="H815" s="72"/>
      <c r="I815" s="7"/>
    </row>
    <row r="816" spans="6:9" ht="0" hidden="1" customHeight="1">
      <c r="F816" s="23"/>
      <c r="G816" s="27"/>
      <c r="H816" s="72"/>
      <c r="I816" s="7"/>
    </row>
    <row r="817" spans="6:9" ht="0" hidden="1" customHeight="1">
      <c r="F817" s="23"/>
      <c r="G817" s="27"/>
      <c r="H817" s="72"/>
      <c r="I817" s="7"/>
    </row>
    <row r="818" spans="6:9" ht="0" hidden="1" customHeight="1">
      <c r="F818" s="23"/>
      <c r="G818" s="27"/>
      <c r="H818" s="72"/>
      <c r="I818" s="7"/>
    </row>
    <row r="819" spans="6:9" ht="0" hidden="1" customHeight="1">
      <c r="F819" s="23"/>
      <c r="G819" s="27"/>
      <c r="H819" s="72"/>
      <c r="I819" s="7"/>
    </row>
    <row r="820" spans="6:9" ht="0" hidden="1" customHeight="1">
      <c r="F820" s="23"/>
      <c r="G820" s="27"/>
      <c r="H820" s="72"/>
      <c r="I820" s="7"/>
    </row>
    <row r="821" spans="6:9" ht="0" hidden="1" customHeight="1">
      <c r="F821" s="23"/>
      <c r="G821" s="27"/>
      <c r="H821" s="72"/>
      <c r="I821" s="7"/>
    </row>
    <row r="822" spans="6:9" ht="0" hidden="1" customHeight="1">
      <c r="F822" s="23"/>
      <c r="G822" s="27"/>
      <c r="H822" s="72"/>
      <c r="I822" s="7"/>
    </row>
    <row r="823" spans="6:9" ht="0" hidden="1" customHeight="1">
      <c r="F823" s="23"/>
      <c r="G823" s="27"/>
      <c r="H823" s="72"/>
      <c r="I823" s="7"/>
    </row>
    <row r="824" spans="6:9" ht="0" hidden="1" customHeight="1">
      <c r="F824" s="23"/>
      <c r="G824" s="27"/>
      <c r="H824" s="72"/>
      <c r="I824" s="7"/>
    </row>
    <row r="825" spans="6:9" ht="0" hidden="1" customHeight="1">
      <c r="F825" s="23"/>
      <c r="G825" s="27"/>
      <c r="H825" s="72"/>
      <c r="I825" s="7"/>
    </row>
    <row r="826" spans="6:9" ht="0" hidden="1" customHeight="1">
      <c r="F826" s="23"/>
      <c r="G826" s="27"/>
      <c r="H826" s="72"/>
      <c r="I826" s="7"/>
    </row>
    <row r="827" spans="6:9" ht="0" hidden="1" customHeight="1">
      <c r="F827" s="23"/>
      <c r="G827" s="27"/>
      <c r="H827" s="72"/>
      <c r="I827" s="7"/>
    </row>
    <row r="828" spans="6:9" ht="0" hidden="1" customHeight="1">
      <c r="F828" s="23"/>
      <c r="G828" s="27"/>
      <c r="H828" s="72"/>
      <c r="I828" s="7"/>
    </row>
    <row r="829" spans="6:9" ht="0" hidden="1" customHeight="1">
      <c r="F829" s="23"/>
      <c r="G829" s="27"/>
      <c r="H829" s="72"/>
      <c r="I829" s="7"/>
    </row>
    <row r="830" spans="6:9" ht="0" hidden="1" customHeight="1">
      <c r="F830" s="23"/>
      <c r="G830" s="27"/>
      <c r="H830" s="72"/>
      <c r="I830" s="7"/>
    </row>
    <row r="831" spans="6:9" ht="0" hidden="1" customHeight="1">
      <c r="F831" s="23"/>
      <c r="G831" s="27"/>
      <c r="H831" s="72"/>
      <c r="I831" s="7"/>
    </row>
    <row r="832" spans="6:9" ht="0" hidden="1" customHeight="1">
      <c r="F832" s="23"/>
      <c r="G832" s="27"/>
      <c r="H832" s="72"/>
      <c r="I832" s="7"/>
    </row>
    <row r="833" spans="6:9" ht="0" hidden="1" customHeight="1">
      <c r="F833" s="23"/>
      <c r="G833" s="27"/>
      <c r="H833" s="72"/>
      <c r="I833" s="7"/>
    </row>
    <row r="834" spans="6:9" ht="0" hidden="1" customHeight="1">
      <c r="F834" s="23"/>
      <c r="G834" s="27"/>
      <c r="H834" s="72"/>
      <c r="I834" s="7"/>
    </row>
    <row r="835" spans="6:9" ht="0" hidden="1" customHeight="1">
      <c r="F835" s="23"/>
      <c r="G835" s="27"/>
      <c r="H835" s="72"/>
      <c r="I835" s="7"/>
    </row>
    <row r="836" spans="6:9" ht="0" hidden="1" customHeight="1">
      <c r="F836" s="23"/>
      <c r="G836" s="27"/>
      <c r="H836" s="72"/>
      <c r="I836" s="7"/>
    </row>
    <row r="837" spans="6:9" ht="0" hidden="1" customHeight="1">
      <c r="F837" s="23"/>
      <c r="G837" s="27"/>
      <c r="H837" s="72"/>
      <c r="I837" s="7"/>
    </row>
    <row r="838" spans="6:9" ht="0" hidden="1" customHeight="1">
      <c r="F838" s="23"/>
      <c r="G838" s="27"/>
      <c r="H838" s="72"/>
      <c r="I838" s="7"/>
    </row>
    <row r="839" spans="6:9" ht="0" hidden="1" customHeight="1">
      <c r="F839" s="23"/>
      <c r="G839" s="27"/>
      <c r="H839" s="72"/>
      <c r="I839" s="7"/>
    </row>
    <row r="840" spans="6:9" ht="0" hidden="1" customHeight="1">
      <c r="F840" s="23"/>
      <c r="G840" s="27"/>
      <c r="H840" s="72"/>
      <c r="I840" s="7"/>
    </row>
    <row r="841" spans="6:9" ht="0" hidden="1" customHeight="1">
      <c r="F841" s="23"/>
      <c r="G841" s="27"/>
      <c r="H841" s="72"/>
      <c r="I841" s="7"/>
    </row>
    <row r="842" spans="6:9" ht="0" hidden="1" customHeight="1">
      <c r="F842" s="23"/>
      <c r="G842" s="27"/>
      <c r="H842" s="72"/>
      <c r="I842" s="7"/>
    </row>
    <row r="843" spans="6:9" ht="0" hidden="1" customHeight="1">
      <c r="F843" s="23"/>
      <c r="G843" s="27"/>
      <c r="H843" s="72"/>
      <c r="I843" s="7"/>
    </row>
    <row r="844" spans="6:9" ht="0" hidden="1" customHeight="1">
      <c r="F844" s="23"/>
      <c r="G844" s="27"/>
      <c r="H844" s="72"/>
      <c r="I844" s="7"/>
    </row>
    <row r="845" spans="6:9" ht="0" hidden="1" customHeight="1">
      <c r="F845" s="23"/>
      <c r="G845" s="27"/>
      <c r="H845" s="72"/>
      <c r="I845" s="7"/>
    </row>
    <row r="846" spans="6:9" ht="0" hidden="1" customHeight="1">
      <c r="F846" s="23"/>
      <c r="G846" s="27"/>
      <c r="H846" s="72"/>
      <c r="I846" s="7"/>
    </row>
    <row r="847" spans="6:9" ht="0" hidden="1" customHeight="1">
      <c r="F847" s="23"/>
      <c r="G847" s="27"/>
      <c r="H847" s="72"/>
      <c r="I847" s="7"/>
    </row>
    <row r="848" spans="6:9" ht="0" hidden="1" customHeight="1">
      <c r="F848" s="23"/>
      <c r="G848" s="27"/>
      <c r="H848" s="72"/>
      <c r="I848" s="7"/>
    </row>
    <row r="849" spans="6:9" ht="0" hidden="1" customHeight="1">
      <c r="F849" s="23"/>
      <c r="G849" s="27"/>
      <c r="H849" s="72"/>
      <c r="I849" s="7"/>
    </row>
    <row r="850" spans="6:9" ht="0" hidden="1" customHeight="1">
      <c r="F850" s="23"/>
      <c r="G850" s="27"/>
      <c r="H850" s="72"/>
      <c r="I850" s="7"/>
    </row>
    <row r="851" spans="6:9" ht="0" hidden="1" customHeight="1">
      <c r="F851" s="23"/>
      <c r="G851" s="27"/>
      <c r="H851" s="72"/>
      <c r="I851" s="7"/>
    </row>
    <row r="852" spans="6:9" ht="0" hidden="1" customHeight="1">
      <c r="F852" s="23"/>
      <c r="G852" s="27"/>
      <c r="H852" s="72"/>
      <c r="I852" s="7"/>
    </row>
    <row r="853" spans="6:9" ht="0" hidden="1" customHeight="1">
      <c r="F853" s="23"/>
      <c r="G853" s="27"/>
      <c r="H853" s="72"/>
      <c r="I853" s="7"/>
    </row>
    <row r="854" spans="6:9" ht="0" hidden="1" customHeight="1">
      <c r="F854" s="23"/>
      <c r="G854" s="27"/>
      <c r="H854" s="72"/>
      <c r="I854" s="7"/>
    </row>
    <row r="855" spans="6:9" ht="0" hidden="1" customHeight="1">
      <c r="F855" s="23"/>
      <c r="G855" s="27"/>
      <c r="H855" s="72"/>
      <c r="I855" s="7"/>
    </row>
    <row r="856" spans="6:9" ht="0" hidden="1" customHeight="1">
      <c r="F856" s="23"/>
      <c r="G856" s="27"/>
      <c r="H856" s="72"/>
      <c r="I856" s="7"/>
    </row>
    <row r="857" spans="6:9" ht="0" hidden="1" customHeight="1">
      <c r="F857" s="23"/>
      <c r="G857" s="27"/>
      <c r="H857" s="72"/>
      <c r="I857" s="7"/>
    </row>
    <row r="858" spans="6:9" ht="0" hidden="1" customHeight="1">
      <c r="F858" s="23"/>
      <c r="G858" s="27"/>
      <c r="H858" s="72"/>
      <c r="I858" s="7"/>
    </row>
    <row r="859" spans="6:9" ht="0" hidden="1" customHeight="1">
      <c r="F859" s="23"/>
      <c r="G859" s="27"/>
      <c r="H859" s="72"/>
      <c r="I859" s="7"/>
    </row>
    <row r="860" spans="6:9" ht="0" hidden="1" customHeight="1">
      <c r="F860" s="23"/>
      <c r="G860" s="27"/>
      <c r="H860" s="72"/>
      <c r="I860" s="7"/>
    </row>
    <row r="861" spans="6:9" ht="0" hidden="1" customHeight="1">
      <c r="F861" s="23"/>
      <c r="G861" s="27"/>
      <c r="H861" s="72"/>
      <c r="I861" s="7"/>
    </row>
    <row r="862" spans="6:9" ht="0" hidden="1" customHeight="1">
      <c r="F862" s="23"/>
      <c r="G862" s="27"/>
      <c r="H862" s="72"/>
      <c r="I862" s="7"/>
    </row>
    <row r="863" spans="6:9" ht="0" hidden="1" customHeight="1">
      <c r="F863" s="23"/>
      <c r="G863" s="27"/>
      <c r="H863" s="72"/>
      <c r="I863" s="7"/>
    </row>
    <row r="864" spans="6:9" ht="0" hidden="1" customHeight="1">
      <c r="F864" s="23"/>
      <c r="G864" s="27"/>
      <c r="H864" s="72"/>
      <c r="I864" s="7"/>
    </row>
    <row r="865" spans="6:9" ht="0" hidden="1" customHeight="1">
      <c r="F865" s="23"/>
      <c r="G865" s="27"/>
      <c r="H865" s="72"/>
      <c r="I865" s="7"/>
    </row>
    <row r="866" spans="6:9" ht="0" hidden="1" customHeight="1">
      <c r="F866" s="23"/>
      <c r="G866" s="27"/>
      <c r="H866" s="72"/>
      <c r="I866" s="7"/>
    </row>
    <row r="867" spans="6:9" ht="0" hidden="1" customHeight="1">
      <c r="F867" s="23"/>
      <c r="G867" s="27"/>
      <c r="H867" s="72"/>
      <c r="I867" s="7"/>
    </row>
    <row r="868" spans="6:9" ht="0" hidden="1" customHeight="1">
      <c r="F868" s="23"/>
      <c r="G868" s="27"/>
      <c r="H868" s="72"/>
      <c r="I868" s="7"/>
    </row>
    <row r="869" spans="6:9" ht="0" hidden="1" customHeight="1">
      <c r="F869" s="23"/>
      <c r="G869" s="27"/>
      <c r="H869" s="72"/>
      <c r="I869" s="7"/>
    </row>
    <row r="870" spans="6:9" ht="0" hidden="1" customHeight="1">
      <c r="F870" s="23"/>
      <c r="G870" s="27"/>
      <c r="H870" s="72"/>
      <c r="I870" s="7"/>
    </row>
    <row r="871" spans="6:9" ht="0" hidden="1" customHeight="1">
      <c r="F871" s="23"/>
      <c r="G871" s="27"/>
      <c r="H871" s="72"/>
      <c r="I871" s="7"/>
    </row>
    <row r="872" spans="6:9" ht="0" hidden="1" customHeight="1">
      <c r="F872" s="23"/>
      <c r="G872" s="27"/>
      <c r="H872" s="72"/>
      <c r="I872" s="7"/>
    </row>
    <row r="873" spans="6:9" ht="0" hidden="1" customHeight="1">
      <c r="F873" s="23"/>
      <c r="G873" s="27"/>
      <c r="H873" s="72"/>
      <c r="I873" s="7"/>
    </row>
    <row r="874" spans="6:9" ht="0" hidden="1" customHeight="1">
      <c r="F874" s="23"/>
      <c r="G874" s="27"/>
      <c r="H874" s="72"/>
      <c r="I874" s="7"/>
    </row>
    <row r="875" spans="6:9" ht="0" hidden="1" customHeight="1">
      <c r="F875" s="23"/>
      <c r="G875" s="27"/>
      <c r="H875" s="72"/>
      <c r="I875" s="7"/>
    </row>
    <row r="876" spans="6:9" ht="0" hidden="1" customHeight="1">
      <c r="F876" s="23"/>
      <c r="G876" s="27"/>
      <c r="H876" s="72"/>
      <c r="I876" s="7"/>
    </row>
    <row r="877" spans="6:9" ht="0" hidden="1" customHeight="1">
      <c r="F877" s="23"/>
      <c r="G877" s="27"/>
      <c r="H877" s="72"/>
      <c r="I877" s="7"/>
    </row>
    <row r="878" spans="6:9" ht="0" hidden="1" customHeight="1">
      <c r="F878" s="23"/>
      <c r="G878" s="27"/>
      <c r="H878" s="72"/>
      <c r="I878" s="7"/>
    </row>
    <row r="879" spans="6:9" ht="0" hidden="1" customHeight="1">
      <c r="F879" s="23"/>
      <c r="G879" s="27"/>
      <c r="H879" s="72"/>
      <c r="I879" s="7"/>
    </row>
    <row r="880" spans="6:9" ht="0" hidden="1" customHeight="1">
      <c r="F880" s="23"/>
      <c r="G880" s="27"/>
      <c r="H880" s="72"/>
      <c r="I880" s="7"/>
    </row>
    <row r="881" spans="6:9" ht="0" hidden="1" customHeight="1">
      <c r="F881" s="23"/>
      <c r="G881" s="27"/>
      <c r="H881" s="72"/>
      <c r="I881" s="7"/>
    </row>
    <row r="882" spans="6:9" ht="0" hidden="1" customHeight="1">
      <c r="F882" s="23"/>
      <c r="G882" s="27"/>
      <c r="H882" s="72"/>
      <c r="I882" s="7"/>
    </row>
    <row r="883" spans="6:9" ht="0" hidden="1" customHeight="1">
      <c r="F883" s="23"/>
      <c r="G883" s="27"/>
      <c r="H883" s="72"/>
      <c r="I883" s="7"/>
    </row>
    <row r="884" spans="6:9" ht="0" hidden="1" customHeight="1">
      <c r="F884" s="23"/>
      <c r="G884" s="27"/>
      <c r="H884" s="72"/>
      <c r="I884" s="7"/>
    </row>
    <row r="885" spans="6:9" ht="0" hidden="1" customHeight="1">
      <c r="F885" s="23"/>
      <c r="G885" s="27"/>
      <c r="H885" s="72"/>
      <c r="I885" s="7"/>
    </row>
    <row r="886" spans="6:9" ht="0" hidden="1" customHeight="1">
      <c r="F886" s="23"/>
      <c r="G886" s="27"/>
      <c r="H886" s="72"/>
      <c r="I886" s="7"/>
    </row>
    <row r="887" spans="6:9" ht="0" hidden="1" customHeight="1">
      <c r="F887" s="23"/>
      <c r="G887" s="27"/>
      <c r="H887" s="72"/>
      <c r="I887" s="7"/>
    </row>
    <row r="888" spans="6:9" ht="0" hidden="1" customHeight="1">
      <c r="F888" s="23"/>
      <c r="G888" s="27"/>
      <c r="H888" s="72"/>
      <c r="I888" s="7"/>
    </row>
    <row r="889" spans="6:9" ht="0" hidden="1" customHeight="1">
      <c r="F889" s="23"/>
      <c r="G889" s="27"/>
      <c r="H889" s="72"/>
      <c r="I889" s="7"/>
    </row>
    <row r="890" spans="6:9" ht="0" hidden="1" customHeight="1">
      <c r="F890" s="23"/>
      <c r="G890" s="27"/>
      <c r="H890" s="72"/>
      <c r="I890" s="7"/>
    </row>
    <row r="891" spans="6:9" ht="0" hidden="1" customHeight="1">
      <c r="F891" s="23"/>
      <c r="G891" s="27"/>
      <c r="H891" s="72"/>
      <c r="I891" s="7"/>
    </row>
    <row r="892" spans="6:9" ht="0" hidden="1" customHeight="1">
      <c r="F892" s="23"/>
      <c r="G892" s="27"/>
      <c r="H892" s="72"/>
      <c r="I892" s="7"/>
    </row>
    <row r="893" spans="6:9" ht="0" hidden="1" customHeight="1">
      <c r="F893" s="23"/>
      <c r="G893" s="27"/>
      <c r="H893" s="72"/>
      <c r="I893" s="7"/>
    </row>
    <row r="894" spans="6:9" ht="0" hidden="1" customHeight="1">
      <c r="F894" s="23"/>
      <c r="G894" s="27"/>
      <c r="H894" s="72"/>
      <c r="I894" s="7"/>
    </row>
    <row r="895" spans="6:9" ht="0" hidden="1" customHeight="1">
      <c r="F895" s="23"/>
      <c r="G895" s="27"/>
      <c r="H895" s="72"/>
      <c r="I895" s="7"/>
    </row>
    <row r="896" spans="6:9" ht="0" hidden="1" customHeight="1">
      <c r="F896" s="23"/>
      <c r="G896" s="27"/>
      <c r="H896" s="72"/>
      <c r="I896" s="7"/>
    </row>
    <row r="897" spans="6:9" ht="0" hidden="1" customHeight="1">
      <c r="F897" s="23"/>
      <c r="G897" s="27"/>
      <c r="H897" s="72"/>
      <c r="I897" s="7"/>
    </row>
    <row r="898" spans="6:9" ht="0" hidden="1" customHeight="1">
      <c r="F898" s="23"/>
      <c r="G898" s="27"/>
      <c r="H898" s="72"/>
      <c r="I898" s="7"/>
    </row>
    <row r="899" spans="6:9" ht="0" hidden="1" customHeight="1">
      <c r="F899" s="23"/>
      <c r="G899" s="27"/>
      <c r="H899" s="72"/>
      <c r="I899" s="7"/>
    </row>
    <row r="900" spans="6:9" ht="0" hidden="1" customHeight="1">
      <c r="F900" s="23"/>
      <c r="G900" s="27"/>
      <c r="H900" s="72"/>
      <c r="I900" s="7"/>
    </row>
    <row r="901" spans="6:9" ht="0" hidden="1" customHeight="1">
      <c r="F901" s="23"/>
      <c r="G901" s="27"/>
      <c r="H901" s="72"/>
      <c r="I901" s="7"/>
    </row>
    <row r="902" spans="6:9" ht="0" hidden="1" customHeight="1">
      <c r="F902" s="23"/>
      <c r="G902" s="27"/>
      <c r="H902" s="72"/>
      <c r="I902" s="7"/>
    </row>
    <row r="903" spans="6:9" ht="0" hidden="1" customHeight="1">
      <c r="F903" s="23"/>
      <c r="G903" s="27"/>
      <c r="H903" s="72"/>
      <c r="I903" s="7"/>
    </row>
    <row r="904" spans="6:9" ht="0" hidden="1" customHeight="1">
      <c r="F904" s="23"/>
      <c r="G904" s="27"/>
      <c r="H904" s="72"/>
      <c r="I904" s="7"/>
    </row>
    <row r="905" spans="6:9" ht="0" hidden="1" customHeight="1">
      <c r="F905" s="23"/>
      <c r="G905" s="27"/>
      <c r="H905" s="72"/>
      <c r="I905" s="7"/>
    </row>
    <row r="906" spans="6:9" ht="0" hidden="1" customHeight="1">
      <c r="F906" s="23"/>
      <c r="G906" s="27"/>
      <c r="H906" s="72"/>
      <c r="I906" s="7"/>
    </row>
    <row r="907" spans="6:9" ht="0" hidden="1" customHeight="1">
      <c r="F907" s="23"/>
      <c r="G907" s="27"/>
      <c r="H907" s="72"/>
      <c r="I907" s="7"/>
    </row>
    <row r="908" spans="6:9" ht="0" hidden="1" customHeight="1">
      <c r="F908" s="23"/>
      <c r="G908" s="27"/>
      <c r="H908" s="72"/>
      <c r="I908" s="7"/>
    </row>
    <row r="909" spans="6:9" ht="0" hidden="1" customHeight="1">
      <c r="F909" s="23"/>
      <c r="G909" s="27"/>
      <c r="H909" s="72"/>
      <c r="I909" s="7"/>
    </row>
    <row r="910" spans="6:9" ht="0" hidden="1" customHeight="1">
      <c r="F910" s="23"/>
      <c r="G910" s="27"/>
      <c r="H910" s="72"/>
      <c r="I910" s="7"/>
    </row>
    <row r="911" spans="6:9" ht="0" hidden="1" customHeight="1">
      <c r="F911" s="23"/>
      <c r="G911" s="27"/>
      <c r="H911" s="72"/>
      <c r="I911" s="7"/>
    </row>
    <row r="912" spans="6:9" ht="0" hidden="1" customHeight="1">
      <c r="F912" s="23"/>
      <c r="G912" s="27"/>
      <c r="H912" s="72"/>
      <c r="I912" s="7"/>
    </row>
    <row r="913" spans="6:9" ht="0" hidden="1" customHeight="1">
      <c r="F913" s="23"/>
      <c r="G913" s="27"/>
      <c r="H913" s="72"/>
      <c r="I913" s="7"/>
    </row>
    <row r="914" spans="6:9" ht="0" hidden="1" customHeight="1">
      <c r="F914" s="23"/>
      <c r="G914" s="27"/>
      <c r="H914" s="72"/>
      <c r="I914" s="7"/>
    </row>
    <row r="915" spans="6:9" ht="0" hidden="1" customHeight="1">
      <c r="F915" s="23"/>
      <c r="G915" s="27"/>
      <c r="H915" s="72"/>
      <c r="I915" s="7"/>
    </row>
    <row r="916" spans="6:9" ht="0" hidden="1" customHeight="1">
      <c r="F916" s="23"/>
      <c r="G916" s="27"/>
      <c r="H916" s="72"/>
      <c r="I916" s="7"/>
    </row>
    <row r="917" spans="6:9" ht="0" hidden="1" customHeight="1">
      <c r="F917" s="23"/>
      <c r="G917" s="27"/>
      <c r="H917" s="72"/>
      <c r="I917" s="7"/>
    </row>
    <row r="918" spans="6:9" ht="0" hidden="1" customHeight="1">
      <c r="F918" s="23"/>
      <c r="G918" s="27"/>
      <c r="H918" s="72"/>
      <c r="I918" s="7"/>
    </row>
    <row r="919" spans="6:9" ht="0" hidden="1" customHeight="1">
      <c r="F919" s="23"/>
      <c r="G919" s="27"/>
      <c r="H919" s="72"/>
      <c r="I919" s="7"/>
    </row>
    <row r="920" spans="6:9" ht="0" hidden="1" customHeight="1">
      <c r="F920" s="23"/>
      <c r="G920" s="27"/>
      <c r="H920" s="72"/>
      <c r="I920" s="7"/>
    </row>
    <row r="921" spans="6:9" ht="0" hidden="1" customHeight="1">
      <c r="F921" s="23"/>
      <c r="G921" s="27"/>
      <c r="H921" s="72"/>
      <c r="I921" s="7"/>
    </row>
    <row r="922" spans="6:9" ht="0" hidden="1" customHeight="1">
      <c r="F922" s="23"/>
      <c r="G922" s="27"/>
      <c r="H922" s="72"/>
      <c r="I922" s="7"/>
    </row>
    <row r="923" spans="6:9" ht="0" hidden="1" customHeight="1">
      <c r="F923" s="23"/>
      <c r="G923" s="27"/>
      <c r="H923" s="72"/>
      <c r="I923" s="7"/>
    </row>
    <row r="924" spans="6:9" ht="0" hidden="1" customHeight="1">
      <c r="F924" s="23"/>
      <c r="G924" s="27"/>
      <c r="H924" s="72"/>
      <c r="I924" s="7"/>
    </row>
    <row r="925" spans="6:9" ht="0" hidden="1" customHeight="1">
      <c r="F925" s="23"/>
      <c r="G925" s="27"/>
      <c r="H925" s="72"/>
      <c r="I925" s="7"/>
    </row>
    <row r="926" spans="6:9" ht="0" hidden="1" customHeight="1">
      <c r="F926" s="23"/>
      <c r="G926" s="27"/>
      <c r="H926" s="72"/>
      <c r="I926" s="7"/>
    </row>
    <row r="927" spans="6:9" ht="0" hidden="1" customHeight="1">
      <c r="F927" s="23"/>
      <c r="G927" s="27"/>
      <c r="H927" s="72"/>
      <c r="I927" s="7"/>
    </row>
    <row r="928" spans="6:9" ht="0" hidden="1" customHeight="1">
      <c r="F928" s="23"/>
      <c r="G928" s="27"/>
      <c r="H928" s="72"/>
      <c r="I928" s="7"/>
    </row>
    <row r="929" spans="6:9" ht="0" hidden="1" customHeight="1">
      <c r="F929" s="23"/>
      <c r="G929" s="27"/>
      <c r="H929" s="72"/>
      <c r="I929" s="7"/>
    </row>
    <row r="930" spans="6:9" ht="0" hidden="1" customHeight="1">
      <c r="F930" s="23"/>
      <c r="G930" s="27"/>
      <c r="H930" s="72"/>
      <c r="I930" s="7"/>
    </row>
    <row r="931" spans="6:9" ht="0" hidden="1" customHeight="1">
      <c r="F931" s="23"/>
      <c r="G931" s="27"/>
      <c r="H931" s="72"/>
      <c r="I931" s="7"/>
    </row>
    <row r="932" spans="6:9" ht="0" hidden="1" customHeight="1">
      <c r="F932" s="23"/>
      <c r="G932" s="27"/>
      <c r="H932" s="72"/>
      <c r="I932" s="7"/>
    </row>
    <row r="933" spans="6:9" ht="0" hidden="1" customHeight="1">
      <c r="F933" s="23"/>
      <c r="G933" s="27"/>
      <c r="H933" s="72"/>
      <c r="I933" s="7"/>
    </row>
    <row r="934" spans="6:9" ht="0" hidden="1" customHeight="1">
      <c r="F934" s="23"/>
      <c r="G934" s="27"/>
      <c r="H934" s="72"/>
      <c r="I934" s="7"/>
    </row>
    <row r="935" spans="6:9" ht="0" hidden="1" customHeight="1">
      <c r="F935" s="23"/>
      <c r="G935" s="27"/>
      <c r="H935" s="72"/>
      <c r="I935" s="7"/>
    </row>
    <row r="936" spans="6:9" ht="0" hidden="1" customHeight="1">
      <c r="F936" s="23"/>
      <c r="G936" s="27"/>
      <c r="H936" s="72"/>
      <c r="I936" s="7"/>
    </row>
    <row r="937" spans="6:9" ht="0" hidden="1" customHeight="1">
      <c r="F937" s="23"/>
      <c r="G937" s="27"/>
      <c r="H937" s="72"/>
      <c r="I937" s="7"/>
    </row>
    <row r="938" spans="6:9" ht="0" hidden="1" customHeight="1">
      <c r="F938" s="23"/>
      <c r="G938" s="27"/>
      <c r="H938" s="72"/>
      <c r="I938" s="7"/>
    </row>
    <row r="939" spans="6:9" ht="0" hidden="1" customHeight="1">
      <c r="F939" s="23"/>
      <c r="G939" s="27"/>
      <c r="H939" s="72"/>
      <c r="I939" s="7"/>
    </row>
    <row r="940" spans="6:9" ht="0" hidden="1" customHeight="1">
      <c r="F940" s="23"/>
      <c r="G940" s="27"/>
      <c r="H940" s="72"/>
      <c r="I940" s="7"/>
    </row>
    <row r="941" spans="6:9" ht="0" hidden="1" customHeight="1">
      <c r="F941" s="23"/>
      <c r="G941" s="27"/>
      <c r="H941" s="72"/>
      <c r="I941" s="7"/>
    </row>
    <row r="942" spans="6:9" ht="0" hidden="1" customHeight="1">
      <c r="F942" s="23"/>
      <c r="G942" s="27"/>
      <c r="H942" s="72"/>
      <c r="I942" s="7"/>
    </row>
    <row r="943" spans="6:9" ht="0" hidden="1" customHeight="1">
      <c r="F943" s="23"/>
      <c r="G943" s="27"/>
      <c r="H943" s="72"/>
      <c r="I943" s="7"/>
    </row>
    <row r="944" spans="6:9" ht="0" hidden="1" customHeight="1">
      <c r="F944" s="23"/>
      <c r="G944" s="27"/>
      <c r="H944" s="72"/>
      <c r="I944" s="7"/>
    </row>
    <row r="945" spans="6:9" ht="0" hidden="1" customHeight="1">
      <c r="F945" s="23"/>
      <c r="G945" s="27"/>
      <c r="H945" s="72"/>
      <c r="I945" s="7"/>
    </row>
    <row r="946" spans="6:9" ht="0" hidden="1" customHeight="1">
      <c r="F946" s="23"/>
      <c r="G946" s="27"/>
      <c r="H946" s="72"/>
      <c r="I946" s="7"/>
    </row>
    <row r="947" spans="6:9" ht="0" hidden="1" customHeight="1">
      <c r="F947" s="23"/>
      <c r="G947" s="27"/>
      <c r="H947" s="72"/>
      <c r="I947" s="7"/>
    </row>
    <row r="948" spans="6:9" ht="0" hidden="1" customHeight="1">
      <c r="F948" s="23"/>
      <c r="G948" s="27"/>
      <c r="H948" s="72"/>
      <c r="I948" s="7"/>
    </row>
    <row r="949" spans="6:9" ht="0" hidden="1" customHeight="1">
      <c r="F949" s="23"/>
      <c r="G949" s="27"/>
      <c r="H949" s="72"/>
      <c r="I949" s="7"/>
    </row>
    <row r="950" spans="6:9" ht="0" hidden="1" customHeight="1">
      <c r="F950" s="23"/>
      <c r="G950" s="27"/>
      <c r="H950" s="72"/>
      <c r="I950" s="7"/>
    </row>
    <row r="951" spans="6:9" ht="0" hidden="1" customHeight="1">
      <c r="F951" s="23"/>
      <c r="G951" s="27"/>
      <c r="H951" s="72"/>
      <c r="I951" s="7"/>
    </row>
    <row r="952" spans="6:9" ht="0" hidden="1" customHeight="1">
      <c r="F952" s="23"/>
      <c r="G952" s="27"/>
      <c r="H952" s="72"/>
      <c r="I952" s="7"/>
    </row>
    <row r="953" spans="6:9" ht="0" hidden="1" customHeight="1">
      <c r="F953" s="23"/>
      <c r="G953" s="27"/>
      <c r="H953" s="72"/>
      <c r="I953" s="7"/>
    </row>
    <row r="954" spans="6:9" ht="0" hidden="1" customHeight="1">
      <c r="F954" s="23"/>
      <c r="G954" s="27"/>
      <c r="H954" s="72"/>
      <c r="I954" s="7"/>
    </row>
    <row r="955" spans="6:9" ht="0" hidden="1" customHeight="1">
      <c r="F955" s="23"/>
      <c r="G955" s="27"/>
      <c r="H955" s="72"/>
      <c r="I955" s="7"/>
    </row>
    <row r="956" spans="6:9" ht="0" hidden="1" customHeight="1">
      <c r="F956" s="23"/>
      <c r="G956" s="27"/>
      <c r="H956" s="72"/>
      <c r="I956" s="7"/>
    </row>
    <row r="957" spans="6:9" ht="0" hidden="1" customHeight="1">
      <c r="F957" s="23"/>
      <c r="G957" s="27"/>
      <c r="H957" s="72"/>
      <c r="I957" s="7"/>
    </row>
    <row r="958" spans="6:9" ht="0" hidden="1" customHeight="1">
      <c r="F958" s="23"/>
      <c r="G958" s="27"/>
      <c r="H958" s="72"/>
      <c r="I958" s="7"/>
    </row>
    <row r="959" spans="6:9" ht="0" hidden="1" customHeight="1">
      <c r="F959" s="23"/>
      <c r="G959" s="27"/>
      <c r="H959" s="72"/>
      <c r="I959" s="7"/>
    </row>
    <row r="960" spans="6:9" ht="0" hidden="1" customHeight="1">
      <c r="F960" s="23"/>
      <c r="G960" s="27"/>
      <c r="H960" s="72"/>
      <c r="I960" s="7"/>
    </row>
    <row r="961" spans="6:9" ht="0" hidden="1" customHeight="1">
      <c r="F961" s="23"/>
      <c r="G961" s="27"/>
      <c r="H961" s="72"/>
      <c r="I961" s="7"/>
    </row>
    <row r="962" spans="6:9" ht="0" hidden="1" customHeight="1">
      <c r="F962" s="23"/>
      <c r="G962" s="27"/>
      <c r="H962" s="72"/>
      <c r="I962" s="7"/>
    </row>
    <row r="963" spans="6:9" ht="0" hidden="1" customHeight="1">
      <c r="F963" s="23"/>
      <c r="G963" s="27"/>
      <c r="H963" s="72"/>
      <c r="I963" s="7"/>
    </row>
    <row r="964" spans="6:9" ht="0" hidden="1" customHeight="1">
      <c r="F964" s="23"/>
      <c r="G964" s="27"/>
      <c r="H964" s="72"/>
      <c r="I964" s="7"/>
    </row>
    <row r="965" spans="6:9" ht="0" hidden="1" customHeight="1">
      <c r="F965" s="23"/>
      <c r="G965" s="27"/>
      <c r="H965" s="72"/>
      <c r="I965" s="7"/>
    </row>
    <row r="966" spans="6:9" ht="0" hidden="1" customHeight="1">
      <c r="F966" s="23"/>
      <c r="G966" s="27"/>
      <c r="H966" s="72"/>
      <c r="I966" s="7"/>
    </row>
    <row r="967" spans="6:9" ht="0" hidden="1" customHeight="1">
      <c r="F967" s="23"/>
      <c r="G967" s="27"/>
      <c r="H967" s="72"/>
      <c r="I967" s="7"/>
    </row>
    <row r="968" spans="6:9" ht="0" hidden="1" customHeight="1">
      <c r="F968" s="23"/>
      <c r="G968" s="27"/>
      <c r="H968" s="72"/>
      <c r="I968" s="7"/>
    </row>
    <row r="969" spans="6:9" ht="0" hidden="1" customHeight="1">
      <c r="F969" s="23"/>
      <c r="G969" s="27"/>
      <c r="H969" s="72"/>
      <c r="I969" s="7"/>
    </row>
    <row r="970" spans="6:9" ht="0" hidden="1" customHeight="1">
      <c r="F970" s="23"/>
      <c r="G970" s="27"/>
      <c r="H970" s="72"/>
      <c r="I970" s="7"/>
    </row>
    <row r="971" spans="6:9" ht="0" hidden="1" customHeight="1">
      <c r="F971" s="23"/>
      <c r="G971" s="27"/>
      <c r="H971" s="72"/>
      <c r="I971" s="7"/>
    </row>
    <row r="972" spans="6:9" ht="0" hidden="1" customHeight="1">
      <c r="F972" s="23"/>
      <c r="G972" s="27"/>
      <c r="H972" s="72"/>
      <c r="I972" s="7"/>
    </row>
    <row r="973" spans="6:9" ht="0" hidden="1" customHeight="1">
      <c r="F973" s="23"/>
      <c r="G973" s="27"/>
      <c r="H973" s="72"/>
      <c r="I973" s="7"/>
    </row>
    <row r="974" spans="6:9" ht="0" hidden="1" customHeight="1">
      <c r="F974" s="23"/>
      <c r="G974" s="27"/>
      <c r="H974" s="72"/>
      <c r="I974" s="7"/>
    </row>
    <row r="975" spans="6:9" ht="0" hidden="1" customHeight="1">
      <c r="F975" s="23"/>
      <c r="G975" s="27"/>
      <c r="H975" s="72"/>
      <c r="I975" s="7"/>
    </row>
    <row r="976" spans="6:9" ht="0" hidden="1" customHeight="1">
      <c r="F976" s="23"/>
      <c r="G976" s="27"/>
      <c r="H976" s="72"/>
      <c r="I976" s="7"/>
    </row>
    <row r="977" spans="6:9" ht="0" hidden="1" customHeight="1">
      <c r="F977" s="23"/>
      <c r="G977" s="27"/>
      <c r="H977" s="72"/>
      <c r="I977" s="7"/>
    </row>
    <row r="978" spans="6:9" ht="0" hidden="1" customHeight="1">
      <c r="F978" s="23"/>
      <c r="G978" s="27"/>
      <c r="H978" s="72"/>
      <c r="I978" s="7"/>
    </row>
    <row r="979" spans="6:9" ht="0" hidden="1" customHeight="1">
      <c r="F979" s="23"/>
      <c r="G979" s="27"/>
      <c r="H979" s="72"/>
      <c r="I979" s="7"/>
    </row>
    <row r="980" spans="6:9" ht="0" hidden="1" customHeight="1">
      <c r="F980" s="23"/>
      <c r="G980" s="27"/>
      <c r="H980" s="72"/>
      <c r="I980" s="7"/>
    </row>
    <row r="981" spans="6:9" ht="0" hidden="1" customHeight="1">
      <c r="F981" s="23"/>
      <c r="G981" s="27"/>
      <c r="H981" s="72"/>
      <c r="I981" s="7"/>
    </row>
    <row r="982" spans="6:9" ht="0" hidden="1" customHeight="1">
      <c r="F982" s="23"/>
      <c r="G982" s="27"/>
      <c r="H982" s="72"/>
      <c r="I982" s="7"/>
    </row>
    <row r="983" spans="6:9" ht="0" hidden="1" customHeight="1">
      <c r="F983" s="23"/>
      <c r="G983" s="27"/>
      <c r="H983" s="72"/>
      <c r="I983" s="7"/>
    </row>
    <row r="984" spans="6:9" ht="0" hidden="1" customHeight="1">
      <c r="F984" s="23"/>
      <c r="G984" s="27"/>
      <c r="H984" s="72"/>
      <c r="I984" s="7"/>
    </row>
    <row r="985" spans="6:9" ht="0" hidden="1" customHeight="1">
      <c r="F985" s="23"/>
      <c r="G985" s="27"/>
      <c r="H985" s="72"/>
      <c r="I985" s="7"/>
    </row>
    <row r="986" spans="6:9" ht="0" hidden="1" customHeight="1">
      <c r="F986" s="23"/>
      <c r="G986" s="27"/>
      <c r="H986" s="72"/>
      <c r="I986" s="7"/>
    </row>
    <row r="987" spans="6:9" ht="0" hidden="1" customHeight="1">
      <c r="F987" s="23"/>
      <c r="G987" s="27"/>
      <c r="H987" s="72"/>
      <c r="I987" s="7"/>
    </row>
    <row r="988" spans="6:9" ht="0" hidden="1" customHeight="1">
      <c r="F988" s="23"/>
      <c r="G988" s="27"/>
      <c r="H988" s="72"/>
      <c r="I988" s="7"/>
    </row>
    <row r="989" spans="6:9" ht="0" hidden="1" customHeight="1">
      <c r="F989" s="23"/>
      <c r="G989" s="27"/>
      <c r="H989" s="72"/>
      <c r="I989" s="7"/>
    </row>
    <row r="990" spans="6:9" ht="0" hidden="1" customHeight="1">
      <c r="F990" s="23"/>
      <c r="G990" s="27"/>
      <c r="H990" s="72"/>
      <c r="I990" s="7"/>
    </row>
    <row r="991" spans="6:9" ht="0" hidden="1" customHeight="1">
      <c r="F991" s="23"/>
      <c r="G991" s="27"/>
      <c r="H991" s="72"/>
      <c r="I991" s="7"/>
    </row>
    <row r="992" spans="6:9" ht="0" hidden="1" customHeight="1">
      <c r="F992" s="23"/>
      <c r="G992" s="27"/>
      <c r="H992" s="72"/>
      <c r="I992" s="7"/>
    </row>
    <row r="993" spans="6:648" ht="0" hidden="1" customHeight="1">
      <c r="F993" s="23"/>
      <c r="G993" s="27"/>
      <c r="H993" s="72"/>
      <c r="I993" s="7"/>
    </row>
    <row r="994" spans="6:648" ht="0" hidden="1" customHeight="1">
      <c r="F994" s="23"/>
      <c r="G994" s="27"/>
      <c r="H994" s="72"/>
      <c r="I994" s="7"/>
    </row>
    <row r="995" spans="6:648" ht="0" hidden="1" customHeight="1">
      <c r="F995" s="23"/>
      <c r="G995" s="27"/>
      <c r="H995" s="72"/>
      <c r="I995" s="7"/>
    </row>
    <row r="996" spans="6:648" ht="0" hidden="1" customHeight="1">
      <c r="F996" s="23"/>
      <c r="G996" s="27"/>
      <c r="H996" s="72"/>
      <c r="I996" s="7"/>
    </row>
    <row r="997" spans="6:648" ht="0" hidden="1" customHeight="1">
      <c r="F997" s="23"/>
      <c r="G997" s="27"/>
      <c r="H997" s="72"/>
      <c r="I997" s="7"/>
    </row>
    <row r="998" spans="6:648" ht="0" hidden="1" customHeight="1">
      <c r="F998" s="23"/>
      <c r="G998" s="27"/>
      <c r="H998" s="72"/>
      <c r="I998" s="7"/>
    </row>
    <row r="999" spans="6:648" ht="0" hidden="1" customHeight="1">
      <c r="F999" s="23"/>
      <c r="G999" s="27"/>
      <c r="H999" s="72"/>
      <c r="I999" s="7"/>
    </row>
    <row r="1000" spans="6:648" ht="15.5">
      <c r="F1000" s="23"/>
      <c r="G1000" s="27"/>
      <c r="H1000" s="72"/>
      <c r="I1000" s="7"/>
      <c r="XX1000" s="104">
        <v>56981</v>
      </c>
    </row>
  </sheetData>
  <sheetProtection algorithmName="SHA-512" hashValue="OH3xc15pJanxrnvzN6lC96CUe01W5G0Ny1Kx9/WLN3oUlb1xQhCGAkN0pQUgYnkTPNVF2bVEtj+L3oiaDFPePQ==" saltValue="KlVoPvXpf/DGufrRYPGLZg==" spinCount="100000" sheet="1" objects="1" scenarios="1" formatCells="0"/>
  <conditionalFormatting sqref="F15">
    <cfRule type="expression" dxfId="8" priority="2">
      <formula>IFERROR(CheckAnswer(F12,F15),FALSE)</formula>
    </cfRule>
  </conditionalFormatting>
  <conditionalFormatting sqref="F14">
    <cfRule type="expression" dxfId="7" priority="3">
      <formula>IFERROR(CheckAnswer(E14,F14),FALSE)</formula>
    </cfRule>
  </conditionalFormatting>
  <conditionalFormatting sqref="H16:I16 F16:F18">
    <cfRule type="expression" dxfId="6" priority="4">
      <formula>IFERROR(CheckAnswer(#REF!,F16),FALSE)</formula>
    </cfRule>
  </conditionalFormatting>
  <conditionalFormatting sqref="F12:F18">
    <cfRule type="expression" dxfId="5" priority="1">
      <formula>IFERROR(CheckAnswer(E12,F12),FALSE)</formula>
    </cfRule>
  </conditionalFormatting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7AAB9-47E2-4255-BB30-73565890E5E6}">
  <sheetPr codeName="Sheet14">
    <tabColor rgb="FF0070C0"/>
  </sheetPr>
  <dimension ref="A1:XX1000"/>
  <sheetViews>
    <sheetView topLeftCell="J20" zoomScaleNormal="100" workbookViewId="0">
      <selection activeCell="G28" sqref="G28"/>
    </sheetView>
  </sheetViews>
  <sheetFormatPr defaultColWidth="0" defaultRowHeight="0" customHeight="1" zeroHeight="1"/>
  <cols>
    <col min="1" max="1" width="8.7265625" style="4" customWidth="1"/>
    <col min="2" max="2" width="14" style="4" customWidth="1"/>
    <col min="3" max="18" width="15.7265625" style="4" customWidth="1"/>
    <col min="19" max="19" width="8.7265625" style="4" customWidth="1"/>
    <col min="20" max="23" width="0" style="4" hidden="1" customWidth="1"/>
    <col min="24" max="16384" width="8.7265625" style="4" hidden="1"/>
  </cols>
  <sheetData>
    <row r="1" spans="1:8" ht="14.5"/>
    <row r="2" spans="1:8" ht="15.5">
      <c r="B2" s="33" t="s">
        <v>23</v>
      </c>
      <c r="G2" s="83" t="s">
        <v>114</v>
      </c>
      <c r="H2" s="20"/>
    </row>
    <row r="3" spans="1:8" ht="14.5">
      <c r="B3" s="20" t="s">
        <v>243</v>
      </c>
      <c r="G3" s="41" t="s">
        <v>244</v>
      </c>
      <c r="H3" s="67">
        <f>BackgroundCalcs!Q10</f>
        <v>2700</v>
      </c>
    </row>
    <row r="4" spans="1:8" ht="14.5">
      <c r="B4" s="20" t="s">
        <v>245</v>
      </c>
      <c r="G4" s="41" t="s">
        <v>246</v>
      </c>
      <c r="H4" s="67">
        <f>BackgroundCalcs!Q11</f>
        <v>0</v>
      </c>
    </row>
    <row r="5" spans="1:8" ht="14.5">
      <c r="B5" s="20" t="s">
        <v>247</v>
      </c>
      <c r="G5" s="41" t="s">
        <v>248</v>
      </c>
      <c r="H5" s="73">
        <f>BackgroundCalcs!Q12</f>
        <v>0.08</v>
      </c>
    </row>
    <row r="6" spans="1:8" ht="14.5">
      <c r="B6" s="20" t="s">
        <v>249</v>
      </c>
      <c r="G6" s="41" t="s">
        <v>250</v>
      </c>
      <c r="H6" s="73">
        <f>BackgroundCalcs!Q13</f>
        <v>0.18</v>
      </c>
    </row>
    <row r="7" spans="1:8" ht="14.5">
      <c r="B7" s="20" t="str">
        <f>"Savings are invested in the stock market earning "&amp;TEXT(H5,"#%")&amp;" (annually)."</f>
        <v>Savings are invested in the stock market earning 8% (annually).</v>
      </c>
      <c r="G7" s="41" t="s">
        <v>251</v>
      </c>
      <c r="H7" s="67">
        <f>BackgroundCalcs!Q14</f>
        <v>2750</v>
      </c>
    </row>
    <row r="8" spans="1:8" ht="14.5">
      <c r="B8" s="20" t="str">
        <f>"Your credit card cost is "&amp;TEXT(H6,"#%")&amp;" (annually)."</f>
        <v>Your credit card cost is 18% (annually).</v>
      </c>
      <c r="H8" s="20"/>
    </row>
    <row r="9" spans="1:8" ht="14.5">
      <c r="B9" s="20" t="s">
        <v>252</v>
      </c>
      <c r="H9" s="20"/>
    </row>
    <row r="10" spans="1:8" ht="14.5">
      <c r="B10" s="20" t="s">
        <v>253</v>
      </c>
      <c r="H10" s="20"/>
    </row>
    <row r="11" spans="1:8" ht="14.5">
      <c r="B11" s="20" t="s">
        <v>254</v>
      </c>
      <c r="H11" s="20"/>
    </row>
    <row r="12" spans="1:8" ht="14.5">
      <c r="B12" s="20" t="s">
        <v>255</v>
      </c>
      <c r="H12" s="20"/>
    </row>
    <row r="13" spans="1:8" ht="14.5">
      <c r="B13" s="20"/>
      <c r="H13" s="20"/>
    </row>
    <row r="14" spans="1:8" ht="16" thickBot="1">
      <c r="B14" s="33" t="s">
        <v>113</v>
      </c>
      <c r="G14" s="38" t="s">
        <v>112</v>
      </c>
      <c r="H14" s="95" t="s">
        <v>83</v>
      </c>
    </row>
    <row r="15" spans="1:8" ht="15" thickBot="1">
      <c r="A15" s="4">
        <v>15</v>
      </c>
      <c r="B15" s="20" t="s">
        <v>256</v>
      </c>
      <c r="F15" s="74"/>
      <c r="G15" s="5">
        <f>H31</f>
        <v>2685.3785026806736</v>
      </c>
      <c r="H15" s="22">
        <f>BackgroundCalcs!AY16</f>
        <v>2685.3785026806736</v>
      </c>
    </row>
    <row r="16" spans="1:8" ht="15" thickBot="1">
      <c r="A16" s="4">
        <v>16</v>
      </c>
      <c r="B16" s="20" t="s">
        <v>257</v>
      </c>
      <c r="F16" s="74"/>
      <c r="G16" s="5">
        <f>SUM(H31:H42)</f>
        <v>35340.815677917577</v>
      </c>
      <c r="H16" s="22">
        <f>BackgroundCalcs!AY17</f>
        <v>35340.815677917577</v>
      </c>
    </row>
    <row r="17" spans="1:18" ht="15" thickBot="1">
      <c r="A17" s="4">
        <v>17</v>
      </c>
      <c r="B17" s="20" t="s">
        <v>258</v>
      </c>
      <c r="F17" s="74"/>
      <c r="G17" s="5">
        <f>J31</f>
        <v>64.621497319326409</v>
      </c>
      <c r="H17" s="22">
        <f>BackgroundCalcs!AY18</f>
        <v>64.621497319326409</v>
      </c>
    </row>
    <row r="18" spans="1:18" ht="15" thickBot="1">
      <c r="A18" s="4">
        <v>18</v>
      </c>
      <c r="B18" s="20" t="s">
        <v>259</v>
      </c>
      <c r="F18" s="74"/>
      <c r="G18" s="5">
        <f>SUM(J31:J42)</f>
        <v>-2340.815677917582</v>
      </c>
      <c r="H18" s="22">
        <f>BackgroundCalcs!AY19</f>
        <v>-2340.815677917582</v>
      </c>
    </row>
    <row r="19" spans="1:18" ht="15" thickBot="1">
      <c r="A19" s="4">
        <v>19</v>
      </c>
      <c r="B19" s="20" t="s">
        <v>260</v>
      </c>
      <c r="F19" s="74"/>
      <c r="G19" s="5">
        <f>O31</f>
        <v>2700</v>
      </c>
      <c r="H19" s="22">
        <f>BackgroundCalcs!AY20</f>
        <v>2700</v>
      </c>
    </row>
    <row r="20" spans="1:18" ht="15" thickBot="1">
      <c r="A20" s="4">
        <v>20</v>
      </c>
      <c r="B20" s="20" t="s">
        <v>261</v>
      </c>
      <c r="F20" s="74"/>
      <c r="G20" s="5">
        <f>-M37</f>
        <v>-356.14012972537057</v>
      </c>
      <c r="H20" s="22">
        <f>BackgroundCalcs!AY21</f>
        <v>-356.14012972537057</v>
      </c>
    </row>
    <row r="21" spans="1:18" ht="15" thickBot="1">
      <c r="A21" s="4">
        <v>21</v>
      </c>
      <c r="B21" s="20" t="s">
        <v>262</v>
      </c>
      <c r="F21" s="74"/>
      <c r="G21" s="5">
        <f>O42</f>
        <v>1123.3188706418259</v>
      </c>
      <c r="H21" s="22">
        <f>BackgroundCalcs!AY22</f>
        <v>1123.3188706418259</v>
      </c>
    </row>
    <row r="22" spans="1:18" ht="15" thickBot="1">
      <c r="A22" s="4">
        <v>22</v>
      </c>
      <c r="B22" s="20" t="s">
        <v>263</v>
      </c>
      <c r="F22" s="74"/>
      <c r="G22" s="36" cm="1">
        <f t="array" ref="G22">_xlfn.XLOOKUP(0,$P$31:$P$90,_xlfn.ANCHORARRAY(C31))</f>
        <v>16</v>
      </c>
      <c r="H22" s="47">
        <f>BackgroundCalcs!AY23</f>
        <v>16</v>
      </c>
    </row>
    <row r="23" spans="1:18" ht="15" thickBot="1">
      <c r="A23" s="4">
        <v>23</v>
      </c>
      <c r="B23" s="20" t="s">
        <v>264</v>
      </c>
      <c r="F23" s="41"/>
      <c r="G23" s="5" cm="1">
        <f t="array" ref="G23">-_xlfn.XLOOKUP(G22,_xlfn.ANCHORARRAY(C31),N31:N90)</f>
        <v>-92.790042025783123</v>
      </c>
      <c r="H23" s="22">
        <f>BackgroundCalcs!AY24</f>
        <v>-92.790042025783123</v>
      </c>
    </row>
    <row r="24" spans="1:18" ht="15" thickBot="1">
      <c r="A24" s="4">
        <v>24</v>
      </c>
      <c r="B24" s="20" t="s">
        <v>265</v>
      </c>
      <c r="F24" s="41"/>
      <c r="G24" s="5" cm="1">
        <f t="array" ref="G24">_xlfn.XLOOKUP(G22+1,_xlfn.ANCHORARRAY(C31),G31:G90)</f>
        <v>1.3918506303867468</v>
      </c>
      <c r="H24" s="22">
        <f>BackgroundCalcs!AY25</f>
        <v>1.3918506303867468</v>
      </c>
    </row>
    <row r="25" spans="1:18" ht="15" thickBot="1">
      <c r="A25" s="4">
        <v>25</v>
      </c>
      <c r="B25" s="20" t="s">
        <v>266</v>
      </c>
      <c r="F25" s="41"/>
      <c r="G25" s="5">
        <f>SUM(G31:G90)</f>
        <v>6014.8786434348385</v>
      </c>
      <c r="H25" s="22">
        <f>BackgroundCalcs!AY26</f>
        <v>6014.8786434348376</v>
      </c>
    </row>
    <row r="26" spans="1:18" ht="15" thickBot="1">
      <c r="A26" s="4">
        <v>26</v>
      </c>
      <c r="B26" s="20" t="s">
        <v>267</v>
      </c>
      <c r="F26" s="41"/>
      <c r="G26" s="5">
        <f>P90</f>
        <v>0</v>
      </c>
      <c r="H26" s="22">
        <f>BackgroundCalcs!AY27</f>
        <v>0</v>
      </c>
    </row>
    <row r="27" spans="1:18" ht="15" thickBot="1">
      <c r="A27" s="4">
        <v>27</v>
      </c>
      <c r="B27" s="20" t="s">
        <v>268</v>
      </c>
      <c r="F27" s="41"/>
      <c r="G27" s="5">
        <f>R90</f>
        <v>23093.137311015129</v>
      </c>
      <c r="H27" s="22">
        <f>BackgroundCalcs!AY28</f>
        <v>23093.137311015129</v>
      </c>
    </row>
    <row r="28" spans="1:18" ht="14.5"/>
    <row r="29" spans="1:18" ht="29">
      <c r="C29" s="34" t="s">
        <v>85</v>
      </c>
      <c r="D29" s="68" t="s">
        <v>205</v>
      </c>
      <c r="E29" s="68" t="s">
        <v>269</v>
      </c>
      <c r="F29" s="68" t="s">
        <v>242</v>
      </c>
      <c r="G29" s="68" t="s">
        <v>270</v>
      </c>
      <c r="H29" s="68" t="s">
        <v>271</v>
      </c>
      <c r="I29" s="68" t="s">
        <v>272</v>
      </c>
      <c r="J29" s="68" t="s">
        <v>273</v>
      </c>
      <c r="K29" s="68" t="s">
        <v>274</v>
      </c>
      <c r="L29" s="68" t="s">
        <v>275</v>
      </c>
      <c r="M29" s="68" t="s">
        <v>276</v>
      </c>
      <c r="N29" s="68" t="s">
        <v>277</v>
      </c>
      <c r="O29" s="68" t="s">
        <v>278</v>
      </c>
      <c r="P29" s="68" t="s">
        <v>279</v>
      </c>
      <c r="Q29" s="68" t="s">
        <v>280</v>
      </c>
      <c r="R29" s="68" t="s">
        <v>281</v>
      </c>
    </row>
    <row r="30" spans="1:18" ht="14.5">
      <c r="C30" s="6">
        <v>0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106"/>
      <c r="P30" s="7">
        <f>H3</f>
        <v>2700</v>
      </c>
      <c r="Q30" s="69"/>
      <c r="R30" s="7">
        <f>H4</f>
        <v>0</v>
      </c>
    </row>
    <row r="31" spans="1:18" ht="14.5">
      <c r="C31" s="6" cm="1">
        <f t="array" ref="C31:C90">_xlfn.SEQUENCE(60)</f>
        <v>1</v>
      </c>
      <c r="D31" s="23">
        <f>'Rent Costs'!E13</f>
        <v>1200</v>
      </c>
      <c r="E31" s="7">
        <f>'Car Loan'!F19</f>
        <v>415.82516934734025</v>
      </c>
      <c r="F31" s="7">
        <f>'Monthly Spending'!I21</f>
        <v>1069.5533333333335</v>
      </c>
      <c r="G31" s="7">
        <f>($H$6/12)*R30</f>
        <v>0</v>
      </c>
      <c r="H31" s="7">
        <f>SUM(D31:G31)</f>
        <v>2685.3785026806736</v>
      </c>
      <c r="I31" s="7">
        <f>$H$7</f>
        <v>2750</v>
      </c>
      <c r="J31" s="7">
        <f>I31-H31</f>
        <v>64.621497319326409</v>
      </c>
      <c r="K31" s="7">
        <f>IF(J31&gt;0,IF(R30&gt;0,MIN(R30,J31),0),0)</f>
        <v>0</v>
      </c>
      <c r="L31" s="7">
        <f>IF(J31&gt;0,(J31-K31),0)</f>
        <v>64.621497319326409</v>
      </c>
      <c r="M31" s="7">
        <f>IF(J31&lt;0,IF(P30&gt;0,MIN(-J31,P30),0),0)</f>
        <v>0</v>
      </c>
      <c r="N31" s="7">
        <f>IF(J31&lt;0,-J31-M31,0)</f>
        <v>0</v>
      </c>
      <c r="O31" s="7">
        <f>P30</f>
        <v>2700</v>
      </c>
      <c r="P31" s="7">
        <f>(O31+L31-M31)*(1+$H$5/12)</f>
        <v>2783.0523073014551</v>
      </c>
      <c r="Q31" s="7">
        <f>R30</f>
        <v>0</v>
      </c>
      <c r="R31" s="7">
        <f>Q31-K31+N31</f>
        <v>0</v>
      </c>
    </row>
    <row r="32" spans="1:18" ht="14.5">
      <c r="C32" s="6">
        <v>2</v>
      </c>
      <c r="D32" s="23">
        <f>'Rent Costs'!E14</f>
        <v>1200</v>
      </c>
      <c r="E32" s="7">
        <f>'Car Loan'!F20</f>
        <v>415.82516934734025</v>
      </c>
      <c r="F32" s="7">
        <f>'Monthly Spending'!I22</f>
        <v>1230.1602444444447</v>
      </c>
      <c r="G32" s="7">
        <f t="shared" ref="G32:G90" si="0">($H$6/12)*R31</f>
        <v>0</v>
      </c>
      <c r="H32" s="7">
        <f t="shared" ref="H32:H90" si="1">SUM(D32:G32)</f>
        <v>2845.985413791785</v>
      </c>
      <c r="I32" s="7">
        <f t="shared" ref="I32:I90" si="2">$H$7</f>
        <v>2750</v>
      </c>
      <c r="J32" s="7">
        <f t="shared" ref="J32:J90" si="3">I32-H32</f>
        <v>-95.985413791785049</v>
      </c>
      <c r="K32" s="7">
        <f t="shared" ref="K32:K90" si="4">IF(J32&gt;0,IF(R31&gt;0,MIN(R31,J32),0),0)</f>
        <v>0</v>
      </c>
      <c r="L32" s="7">
        <f t="shared" ref="L32:L90" si="5">IF(J32&gt;0,(J32-K32),0)</f>
        <v>0</v>
      </c>
      <c r="M32" s="7">
        <f t="shared" ref="M32:M90" si="6">IF(J32&lt;0,IF(P31&gt;0,MIN(-J32,P31),0),0)</f>
        <v>95.985413791785049</v>
      </c>
      <c r="N32" s="7">
        <f t="shared" ref="N32:N90" si="7">IF(J32&lt;0,-J32-M32,0)</f>
        <v>0</v>
      </c>
      <c r="O32" s="7">
        <f t="shared" ref="O32:O90" si="8">P31</f>
        <v>2783.0523073014551</v>
      </c>
      <c r="P32" s="7">
        <f t="shared" ref="P32:P90" si="9">(O32+L32-M32)*(1+$H$5/12)</f>
        <v>2704.9806727997343</v>
      </c>
      <c r="Q32" s="7">
        <f t="shared" ref="Q32:Q90" si="10">R31</f>
        <v>0</v>
      </c>
      <c r="R32" s="7">
        <f t="shared" ref="R32:R90" si="11">Q32-K32+N32</f>
        <v>0</v>
      </c>
    </row>
    <row r="33" spans="3:18" ht="14.5">
      <c r="C33" s="6">
        <v>3</v>
      </c>
      <c r="D33" s="23">
        <f>'Rent Costs'!E15</f>
        <v>1200</v>
      </c>
      <c r="E33" s="7">
        <f>'Car Loan'!F21</f>
        <v>415.82516934734025</v>
      </c>
      <c r="F33" s="7">
        <f>'Monthly Spending'!I23</f>
        <v>1339.3042491111116</v>
      </c>
      <c r="G33" s="7">
        <f t="shared" si="0"/>
        <v>0</v>
      </c>
      <c r="H33" s="7">
        <f t="shared" si="1"/>
        <v>2955.1294184584522</v>
      </c>
      <c r="I33" s="7">
        <f t="shared" si="2"/>
        <v>2750</v>
      </c>
      <c r="J33" s="7">
        <f t="shared" si="3"/>
        <v>-205.12941845845216</v>
      </c>
      <c r="K33" s="7">
        <f t="shared" si="4"/>
        <v>0</v>
      </c>
      <c r="L33" s="7">
        <f t="shared" si="5"/>
        <v>0</v>
      </c>
      <c r="M33" s="7">
        <f t="shared" si="6"/>
        <v>205.12941845845216</v>
      </c>
      <c r="N33" s="7">
        <f t="shared" si="7"/>
        <v>0</v>
      </c>
      <c r="O33" s="7">
        <f t="shared" si="8"/>
        <v>2704.9806727997343</v>
      </c>
      <c r="P33" s="7">
        <f t="shared" si="9"/>
        <v>2516.5169293702238</v>
      </c>
      <c r="Q33" s="7">
        <f t="shared" si="10"/>
        <v>0</v>
      </c>
      <c r="R33" s="7">
        <f t="shared" si="11"/>
        <v>0</v>
      </c>
    </row>
    <row r="34" spans="3:18" ht="14.5">
      <c r="C34" s="6">
        <v>4</v>
      </c>
      <c r="D34" s="23">
        <f>'Rent Costs'!E16</f>
        <v>1200</v>
      </c>
      <c r="E34" s="7">
        <f>'Car Loan'!F22</f>
        <v>415.82516934734025</v>
      </c>
      <c r="F34" s="7">
        <f>'Monthly Spending'!I24</f>
        <v>1251.5491831154325</v>
      </c>
      <c r="G34" s="7">
        <f t="shared" si="0"/>
        <v>0</v>
      </c>
      <c r="H34" s="7">
        <f t="shared" si="1"/>
        <v>2867.3743524627725</v>
      </c>
      <c r="I34" s="7">
        <f t="shared" si="2"/>
        <v>2750</v>
      </c>
      <c r="J34" s="7">
        <f t="shared" si="3"/>
        <v>-117.37435246277255</v>
      </c>
      <c r="K34" s="7">
        <f t="shared" si="4"/>
        <v>0</v>
      </c>
      <c r="L34" s="7">
        <f t="shared" si="5"/>
        <v>0</v>
      </c>
      <c r="M34" s="7">
        <f t="shared" si="6"/>
        <v>117.37435246277255</v>
      </c>
      <c r="N34" s="7">
        <f t="shared" si="7"/>
        <v>0</v>
      </c>
      <c r="O34" s="7">
        <f t="shared" si="8"/>
        <v>2516.5169293702238</v>
      </c>
      <c r="P34" s="7">
        <f t="shared" si="9"/>
        <v>2415.136860753501</v>
      </c>
      <c r="Q34" s="7">
        <f t="shared" si="10"/>
        <v>0</v>
      </c>
      <c r="R34" s="7">
        <f t="shared" si="11"/>
        <v>0</v>
      </c>
    </row>
    <row r="35" spans="3:18" ht="14.5">
      <c r="C35" s="6">
        <v>5</v>
      </c>
      <c r="D35" s="23">
        <f>'Rent Costs'!E17</f>
        <v>1200</v>
      </c>
      <c r="E35" s="7">
        <f>'Car Loan'!F23</f>
        <v>415.82516934734025</v>
      </c>
      <c r="F35" s="7">
        <f>'Monthly Spending'!I25</f>
        <v>1335.0297093295533</v>
      </c>
      <c r="G35" s="7">
        <f t="shared" si="0"/>
        <v>0</v>
      </c>
      <c r="H35" s="7">
        <f t="shared" si="1"/>
        <v>2950.8548786768933</v>
      </c>
      <c r="I35" s="7">
        <f t="shared" si="2"/>
        <v>2750</v>
      </c>
      <c r="J35" s="7">
        <f t="shared" si="3"/>
        <v>-200.85487867689335</v>
      </c>
      <c r="K35" s="7">
        <f t="shared" si="4"/>
        <v>0</v>
      </c>
      <c r="L35" s="7">
        <f t="shared" si="5"/>
        <v>0</v>
      </c>
      <c r="M35" s="7">
        <f t="shared" si="6"/>
        <v>200.85487867689335</v>
      </c>
      <c r="N35" s="7">
        <f t="shared" si="7"/>
        <v>0</v>
      </c>
      <c r="O35" s="7">
        <f t="shared" si="8"/>
        <v>2415.136860753501</v>
      </c>
      <c r="P35" s="7">
        <f t="shared" si="9"/>
        <v>2229.0438619571182</v>
      </c>
      <c r="Q35" s="7">
        <f t="shared" si="10"/>
        <v>0</v>
      </c>
      <c r="R35" s="7">
        <f t="shared" si="11"/>
        <v>0</v>
      </c>
    </row>
    <row r="36" spans="3:18" ht="14.5">
      <c r="C36" s="6">
        <v>6</v>
      </c>
      <c r="D36" s="23">
        <f>'Rent Costs'!E18</f>
        <v>1200</v>
      </c>
      <c r="E36" s="7">
        <f>'Car Loan'!F24</f>
        <v>415.82516934734025</v>
      </c>
      <c r="F36" s="7">
        <f>'Monthly Spending'!I26</f>
        <v>1498.6259242054816</v>
      </c>
      <c r="G36" s="7">
        <f t="shared" si="0"/>
        <v>0</v>
      </c>
      <c r="H36" s="7">
        <f t="shared" si="1"/>
        <v>3114.4510935528219</v>
      </c>
      <c r="I36" s="7">
        <f t="shared" si="2"/>
        <v>2750</v>
      </c>
      <c r="J36" s="7">
        <f t="shared" si="3"/>
        <v>-364.45109355282193</v>
      </c>
      <c r="K36" s="7">
        <f t="shared" si="4"/>
        <v>0</v>
      </c>
      <c r="L36" s="7">
        <f t="shared" si="5"/>
        <v>0</v>
      </c>
      <c r="M36" s="7">
        <f t="shared" si="6"/>
        <v>364.45109355282193</v>
      </c>
      <c r="N36" s="7">
        <f t="shared" si="7"/>
        <v>0</v>
      </c>
      <c r="O36" s="7">
        <f t="shared" si="8"/>
        <v>2229.0438619571182</v>
      </c>
      <c r="P36" s="7">
        <f t="shared" si="9"/>
        <v>1877.0233868603248</v>
      </c>
      <c r="Q36" s="7">
        <f t="shared" si="10"/>
        <v>0</v>
      </c>
      <c r="R36" s="7">
        <f t="shared" si="11"/>
        <v>0</v>
      </c>
    </row>
    <row r="37" spans="3:18" ht="14.5">
      <c r="C37" s="6">
        <v>7</v>
      </c>
      <c r="D37" s="23">
        <f>'Rent Costs'!E19</f>
        <v>1200</v>
      </c>
      <c r="E37" s="7">
        <f>'Car Loan'!F25</f>
        <v>415.82516934734025</v>
      </c>
      <c r="F37" s="7">
        <f>'Monthly Spending'!I27</f>
        <v>1490.3149603780303</v>
      </c>
      <c r="G37" s="7">
        <f t="shared" si="0"/>
        <v>0</v>
      </c>
      <c r="H37" s="7">
        <f t="shared" si="1"/>
        <v>3106.1401297253706</v>
      </c>
      <c r="I37" s="7">
        <f t="shared" si="2"/>
        <v>2750</v>
      </c>
      <c r="J37" s="7">
        <f t="shared" si="3"/>
        <v>-356.14012972537057</v>
      </c>
      <c r="K37" s="7">
        <f t="shared" si="4"/>
        <v>0</v>
      </c>
      <c r="L37" s="7">
        <f t="shared" si="5"/>
        <v>0</v>
      </c>
      <c r="M37" s="7">
        <f t="shared" si="6"/>
        <v>356.14012972537057</v>
      </c>
      <c r="N37" s="7">
        <f t="shared" si="7"/>
        <v>0</v>
      </c>
      <c r="O37" s="7">
        <f t="shared" si="8"/>
        <v>1877.0233868603248</v>
      </c>
      <c r="P37" s="7">
        <f t="shared" si="9"/>
        <v>1531.0224788491871</v>
      </c>
      <c r="Q37" s="7">
        <f t="shared" si="10"/>
        <v>0</v>
      </c>
      <c r="R37" s="7">
        <f t="shared" si="11"/>
        <v>0</v>
      </c>
    </row>
    <row r="38" spans="3:18" ht="14.5">
      <c r="C38" s="6">
        <v>8</v>
      </c>
      <c r="D38" s="23">
        <f>'Rent Costs'!E20</f>
        <v>1200</v>
      </c>
      <c r="E38" s="7">
        <f>'Car Loan'!F26</f>
        <v>415.82516934734025</v>
      </c>
      <c r="F38" s="7">
        <f>'Monthly Spending'!I28</f>
        <v>1401.8275096055843</v>
      </c>
      <c r="G38" s="7">
        <f t="shared" si="0"/>
        <v>0</v>
      </c>
      <c r="H38" s="7">
        <f t="shared" si="1"/>
        <v>3017.6526789529244</v>
      </c>
      <c r="I38" s="7">
        <f t="shared" si="2"/>
        <v>2750</v>
      </c>
      <c r="J38" s="7">
        <f t="shared" si="3"/>
        <v>-267.65267895292436</v>
      </c>
      <c r="K38" s="7">
        <f t="shared" si="4"/>
        <v>0</v>
      </c>
      <c r="L38" s="7">
        <f t="shared" si="5"/>
        <v>0</v>
      </c>
      <c r="M38" s="7">
        <f t="shared" si="6"/>
        <v>267.65267895292436</v>
      </c>
      <c r="N38" s="7">
        <f t="shared" si="7"/>
        <v>0</v>
      </c>
      <c r="O38" s="7">
        <f t="shared" si="8"/>
        <v>1531.0224788491871</v>
      </c>
      <c r="P38" s="7">
        <f t="shared" si="9"/>
        <v>1271.7922652289044</v>
      </c>
      <c r="Q38" s="7">
        <f t="shared" si="10"/>
        <v>0</v>
      </c>
      <c r="R38" s="7">
        <f t="shared" si="11"/>
        <v>0</v>
      </c>
    </row>
    <row r="39" spans="3:18" ht="14.5">
      <c r="C39" s="6">
        <v>9</v>
      </c>
      <c r="D39" s="23">
        <f>'Rent Costs'!E21</f>
        <v>1200</v>
      </c>
      <c r="E39" s="7">
        <f>'Car Loan'!F27</f>
        <v>415.82516934734025</v>
      </c>
      <c r="F39" s="7">
        <f>'Monthly Spending'!I29</f>
        <v>1098.4097330820646</v>
      </c>
      <c r="G39" s="7">
        <f t="shared" si="0"/>
        <v>0</v>
      </c>
      <c r="H39" s="7">
        <f t="shared" si="1"/>
        <v>2714.2349024294049</v>
      </c>
      <c r="I39" s="7">
        <f t="shared" si="2"/>
        <v>2750</v>
      </c>
      <c r="J39" s="7">
        <f t="shared" si="3"/>
        <v>35.765097570595117</v>
      </c>
      <c r="K39" s="7">
        <f t="shared" si="4"/>
        <v>0</v>
      </c>
      <c r="L39" s="7">
        <f t="shared" si="5"/>
        <v>35.765097570595117</v>
      </c>
      <c r="M39" s="7">
        <f t="shared" si="6"/>
        <v>0</v>
      </c>
      <c r="N39" s="7">
        <f t="shared" si="7"/>
        <v>0</v>
      </c>
      <c r="O39" s="7">
        <f t="shared" si="8"/>
        <v>1271.7922652289044</v>
      </c>
      <c r="P39" s="7">
        <f t="shared" si="9"/>
        <v>1316.2744118848295</v>
      </c>
      <c r="Q39" s="7">
        <f t="shared" si="10"/>
        <v>0</v>
      </c>
      <c r="R39" s="7">
        <f t="shared" si="11"/>
        <v>0</v>
      </c>
    </row>
    <row r="40" spans="3:18" ht="14.5">
      <c r="C40" s="6">
        <v>10</v>
      </c>
      <c r="D40" s="23">
        <f>'Rent Costs'!E22</f>
        <v>1200</v>
      </c>
      <c r="E40" s="7">
        <f>'Car Loan'!F28</f>
        <v>415.82516934734025</v>
      </c>
      <c r="F40" s="7">
        <f>'Monthly Spending'!I30</f>
        <v>1169.2705561065052</v>
      </c>
      <c r="G40" s="7">
        <f t="shared" si="0"/>
        <v>0</v>
      </c>
      <c r="H40" s="7">
        <f t="shared" si="1"/>
        <v>2785.0957254538453</v>
      </c>
      <c r="I40" s="7">
        <f t="shared" si="2"/>
        <v>2750</v>
      </c>
      <c r="J40" s="7">
        <f t="shared" si="3"/>
        <v>-35.095725453845262</v>
      </c>
      <c r="K40" s="7">
        <f t="shared" si="4"/>
        <v>0</v>
      </c>
      <c r="L40" s="7">
        <f t="shared" si="5"/>
        <v>0</v>
      </c>
      <c r="M40" s="7">
        <f t="shared" si="6"/>
        <v>35.095725453845262</v>
      </c>
      <c r="N40" s="7">
        <f t="shared" si="7"/>
        <v>0</v>
      </c>
      <c r="O40" s="7">
        <f t="shared" si="8"/>
        <v>1316.2744118848295</v>
      </c>
      <c r="P40" s="7">
        <f t="shared" si="9"/>
        <v>1289.7198776738574</v>
      </c>
      <c r="Q40" s="7">
        <f t="shared" si="10"/>
        <v>0</v>
      </c>
      <c r="R40" s="7">
        <f t="shared" si="11"/>
        <v>0</v>
      </c>
    </row>
    <row r="41" spans="3:18" ht="14.5">
      <c r="C41" s="6">
        <v>11</v>
      </c>
      <c r="D41" s="23">
        <f>'Rent Costs'!E23</f>
        <v>1200</v>
      </c>
      <c r="E41" s="7">
        <f>'Car Loan'!F29</f>
        <v>415.82516934734025</v>
      </c>
      <c r="F41" s="7">
        <f>'Monthly Spending'!I31</f>
        <v>1308.0150355035112</v>
      </c>
      <c r="G41" s="7">
        <f t="shared" si="0"/>
        <v>0</v>
      </c>
      <c r="H41" s="7">
        <f t="shared" si="1"/>
        <v>2923.8402048508515</v>
      </c>
      <c r="I41" s="7">
        <f t="shared" si="2"/>
        <v>2750</v>
      </c>
      <c r="J41" s="7">
        <f t="shared" si="3"/>
        <v>-173.84020485085148</v>
      </c>
      <c r="K41" s="7">
        <f t="shared" si="4"/>
        <v>0</v>
      </c>
      <c r="L41" s="7">
        <f t="shared" si="5"/>
        <v>0</v>
      </c>
      <c r="M41" s="7">
        <f t="shared" si="6"/>
        <v>173.84020485085148</v>
      </c>
      <c r="N41" s="7">
        <f t="shared" si="7"/>
        <v>0</v>
      </c>
      <c r="O41" s="7">
        <f t="shared" si="8"/>
        <v>1289.7198776738574</v>
      </c>
      <c r="P41" s="7">
        <f t="shared" si="9"/>
        <v>1123.3188706418259</v>
      </c>
      <c r="Q41" s="7">
        <f t="shared" si="10"/>
        <v>0</v>
      </c>
      <c r="R41" s="7">
        <f t="shared" si="11"/>
        <v>0</v>
      </c>
    </row>
    <row r="42" spans="3:18" ht="14.5">
      <c r="C42" s="6">
        <v>12</v>
      </c>
      <c r="D42" s="23">
        <f>'Rent Costs'!E24</f>
        <v>1200</v>
      </c>
      <c r="E42" s="7">
        <f>'Car Loan'!F30</f>
        <v>415.82516934734025</v>
      </c>
      <c r="F42" s="7">
        <f>'Monthly Spending'!I32</f>
        <v>1758.8532075344465</v>
      </c>
      <c r="G42" s="7">
        <f t="shared" si="0"/>
        <v>0</v>
      </c>
      <c r="H42" s="7">
        <f t="shared" si="1"/>
        <v>3374.6783768817868</v>
      </c>
      <c r="I42" s="7">
        <f t="shared" si="2"/>
        <v>2750</v>
      </c>
      <c r="J42" s="7">
        <f t="shared" si="3"/>
        <v>-624.67837688178679</v>
      </c>
      <c r="K42" s="7">
        <f t="shared" si="4"/>
        <v>0</v>
      </c>
      <c r="L42" s="7">
        <f t="shared" si="5"/>
        <v>0</v>
      </c>
      <c r="M42" s="7">
        <f t="shared" si="6"/>
        <v>624.67837688178679</v>
      </c>
      <c r="N42" s="7">
        <f t="shared" si="7"/>
        <v>0</v>
      </c>
      <c r="O42" s="7">
        <f t="shared" si="8"/>
        <v>1123.3188706418259</v>
      </c>
      <c r="P42" s="7">
        <f t="shared" si="9"/>
        <v>501.96476371843937</v>
      </c>
      <c r="Q42" s="7">
        <f t="shared" si="10"/>
        <v>0</v>
      </c>
      <c r="R42" s="7">
        <f t="shared" si="11"/>
        <v>0</v>
      </c>
    </row>
    <row r="43" spans="3:18" ht="14.5">
      <c r="C43" s="6">
        <v>13</v>
      </c>
      <c r="D43" s="23">
        <f>'Rent Costs'!E25</f>
        <v>1212</v>
      </c>
      <c r="E43" s="7">
        <f>'Car Loan'!F31</f>
        <v>415.82516934734025</v>
      </c>
      <c r="F43" s="7">
        <f>'Monthly Spending'!I33</f>
        <v>1113.1285863683386</v>
      </c>
      <c r="G43" s="7">
        <f t="shared" si="0"/>
        <v>0</v>
      </c>
      <c r="H43" s="7">
        <f t="shared" si="1"/>
        <v>2740.9537557156791</v>
      </c>
      <c r="I43" s="7">
        <f t="shared" si="2"/>
        <v>2750</v>
      </c>
      <c r="J43" s="7">
        <f t="shared" si="3"/>
        <v>9.0462442843208919</v>
      </c>
      <c r="K43" s="7">
        <f t="shared" si="4"/>
        <v>0</v>
      </c>
      <c r="L43" s="7">
        <f t="shared" si="5"/>
        <v>9.0462442843208919</v>
      </c>
      <c r="M43" s="7">
        <f t="shared" si="6"/>
        <v>0</v>
      </c>
      <c r="N43" s="7">
        <f t="shared" si="7"/>
        <v>0</v>
      </c>
      <c r="O43" s="7">
        <f t="shared" si="8"/>
        <v>501.96476371843937</v>
      </c>
      <c r="P43" s="7">
        <f t="shared" si="9"/>
        <v>514.41774805611192</v>
      </c>
      <c r="Q43" s="7">
        <f t="shared" si="10"/>
        <v>0</v>
      </c>
      <c r="R43" s="7">
        <f t="shared" si="11"/>
        <v>0</v>
      </c>
    </row>
    <row r="44" spans="3:18" ht="14.5">
      <c r="C44" s="6">
        <v>14</v>
      </c>
      <c r="D44" s="23">
        <f>'Rent Costs'!E26</f>
        <v>1212</v>
      </c>
      <c r="E44" s="7">
        <f>'Car Loan'!F32</f>
        <v>415.82516934734025</v>
      </c>
      <c r="F44" s="7">
        <f>'Monthly Spending'!I34</f>
        <v>1280.2788708416981</v>
      </c>
      <c r="G44" s="7">
        <f t="shared" si="0"/>
        <v>0</v>
      </c>
      <c r="H44" s="7">
        <f t="shared" si="1"/>
        <v>2908.1040401890386</v>
      </c>
      <c r="I44" s="7">
        <f t="shared" si="2"/>
        <v>2750</v>
      </c>
      <c r="J44" s="7">
        <f t="shared" si="3"/>
        <v>-158.10404018903864</v>
      </c>
      <c r="K44" s="7">
        <f t="shared" si="4"/>
        <v>0</v>
      </c>
      <c r="L44" s="7">
        <f t="shared" si="5"/>
        <v>0</v>
      </c>
      <c r="M44" s="7">
        <f t="shared" si="6"/>
        <v>158.10404018903864</v>
      </c>
      <c r="N44" s="7">
        <f t="shared" si="7"/>
        <v>0</v>
      </c>
      <c r="O44" s="7">
        <f t="shared" si="8"/>
        <v>514.41774805611192</v>
      </c>
      <c r="P44" s="7">
        <f t="shared" si="9"/>
        <v>358.6891325861871</v>
      </c>
      <c r="Q44" s="7">
        <f t="shared" si="10"/>
        <v>0</v>
      </c>
      <c r="R44" s="7">
        <f t="shared" si="11"/>
        <v>0</v>
      </c>
    </row>
    <row r="45" spans="3:18" ht="14.5">
      <c r="C45" s="6">
        <v>15</v>
      </c>
      <c r="D45" s="23">
        <f>'Rent Costs'!E27</f>
        <v>1212</v>
      </c>
      <c r="E45" s="7">
        <f>'Car Loan'!F33</f>
        <v>415.82516934734025</v>
      </c>
      <c r="F45" s="7">
        <f>'Monthly Spending'!I35</f>
        <v>1393.8695706589301</v>
      </c>
      <c r="G45" s="7">
        <f t="shared" si="0"/>
        <v>0</v>
      </c>
      <c r="H45" s="7">
        <f t="shared" si="1"/>
        <v>3021.6947400062704</v>
      </c>
      <c r="I45" s="7">
        <f t="shared" si="2"/>
        <v>2750</v>
      </c>
      <c r="J45" s="7">
        <f t="shared" si="3"/>
        <v>-271.69474000627042</v>
      </c>
      <c r="K45" s="7">
        <f t="shared" si="4"/>
        <v>0</v>
      </c>
      <c r="L45" s="7">
        <f t="shared" si="5"/>
        <v>0</v>
      </c>
      <c r="M45" s="7">
        <f t="shared" si="6"/>
        <v>271.69474000627042</v>
      </c>
      <c r="N45" s="7">
        <f t="shared" si="7"/>
        <v>0</v>
      </c>
      <c r="O45" s="7">
        <f t="shared" si="8"/>
        <v>358.6891325861871</v>
      </c>
      <c r="P45" s="7">
        <f t="shared" si="9"/>
        <v>87.57435519711612</v>
      </c>
      <c r="Q45" s="7">
        <f t="shared" si="10"/>
        <v>0</v>
      </c>
      <c r="R45" s="7">
        <f t="shared" si="11"/>
        <v>0</v>
      </c>
    </row>
    <row r="46" spans="3:18" ht="14.5">
      <c r="C46" s="6">
        <v>16</v>
      </c>
      <c r="D46" s="23">
        <f>'Rent Costs'!E28</f>
        <v>1212</v>
      </c>
      <c r="E46" s="7">
        <f>'Car Loan'!F34</f>
        <v>415.82516934734025</v>
      </c>
      <c r="F46" s="7">
        <f>'Monthly Spending'!I36</f>
        <v>1302.5392278755589</v>
      </c>
      <c r="G46" s="7">
        <f t="shared" si="0"/>
        <v>0</v>
      </c>
      <c r="H46" s="7">
        <f t="shared" si="1"/>
        <v>2930.3643972228992</v>
      </c>
      <c r="I46" s="7">
        <f t="shared" si="2"/>
        <v>2750</v>
      </c>
      <c r="J46" s="7">
        <f t="shared" si="3"/>
        <v>-180.36439722289924</v>
      </c>
      <c r="K46" s="7">
        <f t="shared" si="4"/>
        <v>0</v>
      </c>
      <c r="L46" s="7">
        <f t="shared" si="5"/>
        <v>0</v>
      </c>
      <c r="M46" s="7">
        <f t="shared" si="6"/>
        <v>87.57435519711612</v>
      </c>
      <c r="N46" s="7">
        <f t="shared" si="7"/>
        <v>92.790042025783123</v>
      </c>
      <c r="O46" s="7">
        <f t="shared" si="8"/>
        <v>87.57435519711612</v>
      </c>
      <c r="P46" s="7">
        <f t="shared" si="9"/>
        <v>0</v>
      </c>
      <c r="Q46" s="7">
        <f t="shared" si="10"/>
        <v>0</v>
      </c>
      <c r="R46" s="7">
        <f t="shared" si="11"/>
        <v>92.790042025783123</v>
      </c>
    </row>
    <row r="47" spans="3:18" ht="14.5">
      <c r="C47" s="6">
        <v>17</v>
      </c>
      <c r="D47" s="23">
        <f>'Rent Costs'!E29</f>
        <v>1212</v>
      </c>
      <c r="E47" s="7">
        <f>'Car Loan'!F35</f>
        <v>415.82516934734025</v>
      </c>
      <c r="F47" s="7">
        <f>'Monthly Spending'!I37</f>
        <v>1389.4208795313991</v>
      </c>
      <c r="G47" s="7">
        <f t="shared" si="0"/>
        <v>1.3918506303867468</v>
      </c>
      <c r="H47" s="7">
        <f t="shared" si="1"/>
        <v>3018.6378995091259</v>
      </c>
      <c r="I47" s="7">
        <f t="shared" si="2"/>
        <v>2750</v>
      </c>
      <c r="J47" s="7">
        <f t="shared" si="3"/>
        <v>-268.63789950912587</v>
      </c>
      <c r="K47" s="7">
        <f t="shared" si="4"/>
        <v>0</v>
      </c>
      <c r="L47" s="7">
        <f t="shared" si="5"/>
        <v>0</v>
      </c>
      <c r="M47" s="7">
        <f t="shared" si="6"/>
        <v>0</v>
      </c>
      <c r="N47" s="7">
        <f t="shared" si="7"/>
        <v>268.63789950912587</v>
      </c>
      <c r="O47" s="7">
        <f t="shared" si="8"/>
        <v>0</v>
      </c>
      <c r="P47" s="7">
        <f t="shared" si="9"/>
        <v>0</v>
      </c>
      <c r="Q47" s="7">
        <f t="shared" si="10"/>
        <v>92.790042025783123</v>
      </c>
      <c r="R47" s="7">
        <f t="shared" si="11"/>
        <v>361.427941534909</v>
      </c>
    </row>
    <row r="48" spans="3:18" ht="14.5">
      <c r="C48" s="6">
        <v>18</v>
      </c>
      <c r="D48" s="23">
        <f>'Rent Costs'!E30</f>
        <v>1212</v>
      </c>
      <c r="E48" s="7">
        <f>'Car Loan'!F36</f>
        <v>415.82516934734025</v>
      </c>
      <c r="F48" s="7">
        <f>'Monthly Spending'!I38</f>
        <v>1559.6822566172102</v>
      </c>
      <c r="G48" s="7">
        <f t="shared" si="0"/>
        <v>5.421419123023635</v>
      </c>
      <c r="H48" s="7">
        <f t="shared" si="1"/>
        <v>3192.9288450875742</v>
      </c>
      <c r="I48" s="7">
        <f t="shared" si="2"/>
        <v>2750</v>
      </c>
      <c r="J48" s="7">
        <f t="shared" si="3"/>
        <v>-442.92884508757425</v>
      </c>
      <c r="K48" s="7">
        <f t="shared" si="4"/>
        <v>0</v>
      </c>
      <c r="L48" s="7">
        <f t="shared" si="5"/>
        <v>0</v>
      </c>
      <c r="M48" s="7">
        <f t="shared" si="6"/>
        <v>0</v>
      </c>
      <c r="N48" s="7">
        <f t="shared" si="7"/>
        <v>442.92884508757425</v>
      </c>
      <c r="O48" s="7">
        <f t="shared" si="8"/>
        <v>0</v>
      </c>
      <c r="P48" s="7">
        <f t="shared" si="9"/>
        <v>0</v>
      </c>
      <c r="Q48" s="7">
        <f t="shared" si="10"/>
        <v>361.427941534909</v>
      </c>
      <c r="R48" s="7">
        <f t="shared" si="11"/>
        <v>804.35678662248324</v>
      </c>
    </row>
    <row r="49" spans="3:18" ht="14.5">
      <c r="C49" s="6">
        <v>19</v>
      </c>
      <c r="D49" s="23">
        <f>'Rent Costs'!E31</f>
        <v>1212</v>
      </c>
      <c r="E49" s="7">
        <f>'Car Loan'!F37</f>
        <v>415.82516934734025</v>
      </c>
      <c r="F49" s="7">
        <f>'Monthly Spending'!I39</f>
        <v>1551.032691300278</v>
      </c>
      <c r="G49" s="7">
        <f t="shared" si="0"/>
        <v>12.065351799337249</v>
      </c>
      <c r="H49" s="7">
        <f t="shared" si="1"/>
        <v>3190.9232124469559</v>
      </c>
      <c r="I49" s="7">
        <f t="shared" si="2"/>
        <v>2750</v>
      </c>
      <c r="J49" s="7">
        <f t="shared" si="3"/>
        <v>-440.92321244695586</v>
      </c>
      <c r="K49" s="7">
        <f t="shared" si="4"/>
        <v>0</v>
      </c>
      <c r="L49" s="7">
        <f t="shared" si="5"/>
        <v>0</v>
      </c>
      <c r="M49" s="7">
        <f t="shared" si="6"/>
        <v>0</v>
      </c>
      <c r="N49" s="7">
        <f t="shared" si="7"/>
        <v>440.92321244695586</v>
      </c>
      <c r="O49" s="7">
        <f t="shared" si="8"/>
        <v>0</v>
      </c>
      <c r="P49" s="7">
        <f t="shared" si="9"/>
        <v>0</v>
      </c>
      <c r="Q49" s="7">
        <f t="shared" si="10"/>
        <v>804.35678662248324</v>
      </c>
      <c r="R49" s="7">
        <f t="shared" si="11"/>
        <v>1245.2799990694391</v>
      </c>
    </row>
    <row r="50" spans="3:18" ht="14.5">
      <c r="C50" s="6">
        <v>20</v>
      </c>
      <c r="D50" s="23">
        <f>'Rent Costs'!E32</f>
        <v>1212</v>
      </c>
      <c r="E50" s="7">
        <f>'Car Loan'!F38</f>
        <v>415.82516934734025</v>
      </c>
      <c r="F50" s="7">
        <f>'Monthly Spending'!I40</f>
        <v>1458.9401252543237</v>
      </c>
      <c r="G50" s="7">
        <f t="shared" si="0"/>
        <v>18.679199986041585</v>
      </c>
      <c r="H50" s="7">
        <f t="shared" si="1"/>
        <v>3105.4444945877058</v>
      </c>
      <c r="I50" s="7">
        <f t="shared" si="2"/>
        <v>2750</v>
      </c>
      <c r="J50" s="7">
        <f t="shared" si="3"/>
        <v>-355.44449458770578</v>
      </c>
      <c r="K50" s="7">
        <f t="shared" si="4"/>
        <v>0</v>
      </c>
      <c r="L50" s="7">
        <f t="shared" si="5"/>
        <v>0</v>
      </c>
      <c r="M50" s="7">
        <f t="shared" si="6"/>
        <v>0</v>
      </c>
      <c r="N50" s="7">
        <f t="shared" si="7"/>
        <v>355.44449458770578</v>
      </c>
      <c r="O50" s="7">
        <f t="shared" si="8"/>
        <v>0</v>
      </c>
      <c r="P50" s="7">
        <f t="shared" si="9"/>
        <v>0</v>
      </c>
      <c r="Q50" s="7">
        <f t="shared" si="10"/>
        <v>1245.2799990694391</v>
      </c>
      <c r="R50" s="7">
        <f t="shared" si="11"/>
        <v>1600.7244936571449</v>
      </c>
    </row>
    <row r="51" spans="3:18" ht="14.5">
      <c r="C51" s="6">
        <v>21</v>
      </c>
      <c r="D51" s="23">
        <f>'Rent Costs'!E33</f>
        <v>1212</v>
      </c>
      <c r="E51" s="7">
        <f>'Car Loan'!F39</f>
        <v>415.82516934734025</v>
      </c>
      <c r="F51" s="7">
        <f>'Monthly Spending'!I41</f>
        <v>1143.1606403659434</v>
      </c>
      <c r="G51" s="7">
        <f t="shared" si="0"/>
        <v>24.010867404857173</v>
      </c>
      <c r="H51" s="7">
        <f t="shared" si="1"/>
        <v>2794.9966771181407</v>
      </c>
      <c r="I51" s="7">
        <f t="shared" si="2"/>
        <v>2750</v>
      </c>
      <c r="J51" s="7">
        <f t="shared" si="3"/>
        <v>-44.996677118140724</v>
      </c>
      <c r="K51" s="7">
        <f t="shared" si="4"/>
        <v>0</v>
      </c>
      <c r="L51" s="7">
        <f t="shared" si="5"/>
        <v>0</v>
      </c>
      <c r="M51" s="7">
        <f t="shared" si="6"/>
        <v>0</v>
      </c>
      <c r="N51" s="7">
        <f t="shared" si="7"/>
        <v>44.996677118140724</v>
      </c>
      <c r="O51" s="7">
        <f t="shared" si="8"/>
        <v>0</v>
      </c>
      <c r="P51" s="7">
        <f t="shared" si="9"/>
        <v>0</v>
      </c>
      <c r="Q51" s="7">
        <f t="shared" si="10"/>
        <v>1600.7244936571449</v>
      </c>
      <c r="R51" s="7">
        <f t="shared" si="11"/>
        <v>1645.7211707752856</v>
      </c>
    </row>
    <row r="52" spans="3:18" ht="14.5">
      <c r="C52" s="6">
        <v>22</v>
      </c>
      <c r="D52" s="23">
        <f>'Rent Costs'!E34</f>
        <v>1212</v>
      </c>
      <c r="E52" s="7">
        <f>'Car Loan'!F40</f>
        <v>415.82516934734025</v>
      </c>
      <c r="F52" s="7">
        <f>'Monthly Spending'!I42</f>
        <v>1216.9084426529662</v>
      </c>
      <c r="G52" s="7">
        <f t="shared" si="0"/>
        <v>24.685817561629282</v>
      </c>
      <c r="H52" s="7">
        <f t="shared" si="1"/>
        <v>2869.4194295619359</v>
      </c>
      <c r="I52" s="7">
        <f t="shared" si="2"/>
        <v>2750</v>
      </c>
      <c r="J52" s="7">
        <f t="shared" si="3"/>
        <v>-119.41942956193589</v>
      </c>
      <c r="K52" s="7">
        <f t="shared" si="4"/>
        <v>0</v>
      </c>
      <c r="L52" s="7">
        <f t="shared" si="5"/>
        <v>0</v>
      </c>
      <c r="M52" s="7">
        <f t="shared" si="6"/>
        <v>0</v>
      </c>
      <c r="N52" s="7">
        <f t="shared" si="7"/>
        <v>119.41942956193589</v>
      </c>
      <c r="O52" s="7">
        <f t="shared" si="8"/>
        <v>0</v>
      </c>
      <c r="P52" s="7">
        <f t="shared" si="9"/>
        <v>0</v>
      </c>
      <c r="Q52" s="7">
        <f t="shared" si="10"/>
        <v>1645.7211707752856</v>
      </c>
      <c r="R52" s="7">
        <f t="shared" si="11"/>
        <v>1765.1406003372215</v>
      </c>
    </row>
    <row r="53" spans="3:18" ht="14.5">
      <c r="C53" s="6">
        <v>23</v>
      </c>
      <c r="D53" s="23">
        <f>'Rent Costs'!E35</f>
        <v>1212</v>
      </c>
      <c r="E53" s="7">
        <f>'Car Loan'!F41</f>
        <v>415.82516934734025</v>
      </c>
      <c r="F53" s="7">
        <f>'Monthly Spending'!I43</f>
        <v>1361.3055862122089</v>
      </c>
      <c r="G53" s="7">
        <f t="shared" si="0"/>
        <v>26.47710900505832</v>
      </c>
      <c r="H53" s="7">
        <f t="shared" si="1"/>
        <v>3015.607864564608</v>
      </c>
      <c r="I53" s="7">
        <f t="shared" si="2"/>
        <v>2750</v>
      </c>
      <c r="J53" s="7">
        <f t="shared" si="3"/>
        <v>-265.60786456460801</v>
      </c>
      <c r="K53" s="7">
        <f t="shared" si="4"/>
        <v>0</v>
      </c>
      <c r="L53" s="7">
        <f t="shared" si="5"/>
        <v>0</v>
      </c>
      <c r="M53" s="7">
        <f t="shared" si="6"/>
        <v>0</v>
      </c>
      <c r="N53" s="7">
        <f t="shared" si="7"/>
        <v>265.60786456460801</v>
      </c>
      <c r="O53" s="7">
        <f t="shared" si="8"/>
        <v>0</v>
      </c>
      <c r="P53" s="7">
        <f t="shared" si="9"/>
        <v>0</v>
      </c>
      <c r="Q53" s="7">
        <f t="shared" si="10"/>
        <v>1765.1406003372215</v>
      </c>
      <c r="R53" s="7">
        <f t="shared" si="11"/>
        <v>2030.7484649018295</v>
      </c>
    </row>
    <row r="54" spans="3:18" ht="14.5">
      <c r="C54" s="6">
        <v>24</v>
      </c>
      <c r="D54" s="23">
        <f>'Rent Costs'!E36</f>
        <v>1212</v>
      </c>
      <c r="E54" s="7">
        <f>'Car Loan'!F42</f>
        <v>415.82516934734025</v>
      </c>
      <c r="F54" s="7">
        <f>'Monthly Spending'!I44</f>
        <v>1830.5116009788226</v>
      </c>
      <c r="G54" s="7">
        <f t="shared" si="0"/>
        <v>30.461226973527442</v>
      </c>
      <c r="H54" s="7">
        <f t="shared" si="1"/>
        <v>3488.7979972996905</v>
      </c>
      <c r="I54" s="7">
        <f t="shared" si="2"/>
        <v>2750</v>
      </c>
      <c r="J54" s="7">
        <f t="shared" si="3"/>
        <v>-738.79799729969045</v>
      </c>
      <c r="K54" s="7">
        <f t="shared" si="4"/>
        <v>0</v>
      </c>
      <c r="L54" s="7">
        <f t="shared" si="5"/>
        <v>0</v>
      </c>
      <c r="M54" s="7">
        <f t="shared" si="6"/>
        <v>0</v>
      </c>
      <c r="N54" s="7">
        <f t="shared" si="7"/>
        <v>738.79799729969045</v>
      </c>
      <c r="O54" s="7">
        <f t="shared" si="8"/>
        <v>0</v>
      </c>
      <c r="P54" s="7">
        <f t="shared" si="9"/>
        <v>0</v>
      </c>
      <c r="Q54" s="7">
        <f t="shared" si="10"/>
        <v>2030.7484649018295</v>
      </c>
      <c r="R54" s="7">
        <f t="shared" si="11"/>
        <v>2769.5464622015197</v>
      </c>
    </row>
    <row r="55" spans="3:18" ht="14.5">
      <c r="C55" s="6">
        <v>25</v>
      </c>
      <c r="D55" s="23">
        <f>'Rent Costs'!E37</f>
        <v>1224.1200000000001</v>
      </c>
      <c r="E55" s="7">
        <f>'Car Loan'!F43</f>
        <v>415.82516934734025</v>
      </c>
      <c r="F55" s="7">
        <f>'Monthly Spending'!I45</f>
        <v>1158.4791624451104</v>
      </c>
      <c r="G55" s="7">
        <f t="shared" si="0"/>
        <v>41.543196933022791</v>
      </c>
      <c r="H55" s="7">
        <f t="shared" si="1"/>
        <v>2839.967528725474</v>
      </c>
      <c r="I55" s="7">
        <f t="shared" si="2"/>
        <v>2750</v>
      </c>
      <c r="J55" s="7">
        <f t="shared" si="3"/>
        <v>-89.96752872547404</v>
      </c>
      <c r="K55" s="7">
        <f t="shared" si="4"/>
        <v>0</v>
      </c>
      <c r="L55" s="7">
        <f t="shared" si="5"/>
        <v>0</v>
      </c>
      <c r="M55" s="7">
        <f t="shared" si="6"/>
        <v>0</v>
      </c>
      <c r="N55" s="7">
        <f t="shared" si="7"/>
        <v>89.96752872547404</v>
      </c>
      <c r="O55" s="7">
        <f t="shared" si="8"/>
        <v>0</v>
      </c>
      <c r="P55" s="7">
        <f t="shared" si="9"/>
        <v>0</v>
      </c>
      <c r="Q55" s="7">
        <f t="shared" si="10"/>
        <v>2769.5464622015197</v>
      </c>
      <c r="R55" s="7">
        <f t="shared" si="11"/>
        <v>2859.5139909269938</v>
      </c>
    </row>
    <row r="56" spans="3:18" ht="14.5">
      <c r="C56" s="6">
        <v>26</v>
      </c>
      <c r="D56" s="23">
        <f>'Rent Costs'!E38</f>
        <v>1224.1200000000001</v>
      </c>
      <c r="E56" s="7">
        <f>'Car Loan'!F44</f>
        <v>415.82516934734025</v>
      </c>
      <c r="F56" s="7">
        <f>'Monthly Spending'!I46</f>
        <v>1332.4394074073964</v>
      </c>
      <c r="G56" s="7">
        <f t="shared" si="0"/>
        <v>42.892709863904905</v>
      </c>
      <c r="H56" s="7">
        <f t="shared" si="1"/>
        <v>3015.2772866186419</v>
      </c>
      <c r="I56" s="7">
        <f t="shared" si="2"/>
        <v>2750</v>
      </c>
      <c r="J56" s="7">
        <f t="shared" si="3"/>
        <v>-265.27728661864194</v>
      </c>
      <c r="K56" s="7">
        <f t="shared" si="4"/>
        <v>0</v>
      </c>
      <c r="L56" s="7">
        <f t="shared" si="5"/>
        <v>0</v>
      </c>
      <c r="M56" s="7">
        <f t="shared" si="6"/>
        <v>0</v>
      </c>
      <c r="N56" s="7">
        <f t="shared" si="7"/>
        <v>265.27728661864194</v>
      </c>
      <c r="O56" s="7">
        <f t="shared" si="8"/>
        <v>0</v>
      </c>
      <c r="P56" s="7">
        <f t="shared" si="9"/>
        <v>0</v>
      </c>
      <c r="Q56" s="7">
        <f t="shared" si="10"/>
        <v>2859.5139909269938</v>
      </c>
      <c r="R56" s="7">
        <f t="shared" si="11"/>
        <v>3124.7912775456357</v>
      </c>
    </row>
    <row r="57" spans="3:18" ht="14.5">
      <c r="C57" s="6">
        <v>27</v>
      </c>
      <c r="D57" s="23">
        <f>'Rent Costs'!E39</f>
        <v>1224.1200000000001</v>
      </c>
      <c r="E57" s="7">
        <f>'Car Loan'!F45</f>
        <v>415.82516934734025</v>
      </c>
      <c r="F57" s="7">
        <f>'Monthly Spending'!I47</f>
        <v>1450.6579675965211</v>
      </c>
      <c r="G57" s="7">
        <f t="shared" si="0"/>
        <v>46.871869163184535</v>
      </c>
      <c r="H57" s="7">
        <f t="shared" si="1"/>
        <v>3137.4750061070458</v>
      </c>
      <c r="I57" s="7">
        <f t="shared" si="2"/>
        <v>2750</v>
      </c>
      <c r="J57" s="7">
        <f t="shared" si="3"/>
        <v>-387.47500610704583</v>
      </c>
      <c r="K57" s="7">
        <f t="shared" si="4"/>
        <v>0</v>
      </c>
      <c r="L57" s="7">
        <f t="shared" si="5"/>
        <v>0</v>
      </c>
      <c r="M57" s="7">
        <f t="shared" si="6"/>
        <v>0</v>
      </c>
      <c r="N57" s="7">
        <f t="shared" si="7"/>
        <v>387.47500610704583</v>
      </c>
      <c r="O57" s="7">
        <f t="shared" si="8"/>
        <v>0</v>
      </c>
      <c r="P57" s="7">
        <f t="shared" si="9"/>
        <v>0</v>
      </c>
      <c r="Q57" s="7">
        <f t="shared" si="10"/>
        <v>3124.7912775456357</v>
      </c>
      <c r="R57" s="7">
        <f t="shared" si="11"/>
        <v>3512.2662836526815</v>
      </c>
    </row>
    <row r="58" spans="3:18" ht="14.5">
      <c r="C58" s="6">
        <v>28</v>
      </c>
      <c r="D58" s="23">
        <f>'Rent Costs'!E40</f>
        <v>1224.1200000000001</v>
      </c>
      <c r="E58" s="7">
        <f>'Car Loan'!F46</f>
        <v>415.82516934734025</v>
      </c>
      <c r="F58" s="7">
        <f>'Monthly Spending'!I48</f>
        <v>1355.6066857327623</v>
      </c>
      <c r="G58" s="7">
        <f t="shared" si="0"/>
        <v>52.683994254790221</v>
      </c>
      <c r="H58" s="7">
        <f t="shared" si="1"/>
        <v>3048.2358493348929</v>
      </c>
      <c r="I58" s="7">
        <f t="shared" si="2"/>
        <v>2750</v>
      </c>
      <c r="J58" s="7">
        <f t="shared" si="3"/>
        <v>-298.23584933489292</v>
      </c>
      <c r="K58" s="7">
        <f t="shared" si="4"/>
        <v>0</v>
      </c>
      <c r="L58" s="7">
        <f t="shared" si="5"/>
        <v>0</v>
      </c>
      <c r="M58" s="7">
        <f t="shared" si="6"/>
        <v>0</v>
      </c>
      <c r="N58" s="7">
        <f t="shared" si="7"/>
        <v>298.23584933489292</v>
      </c>
      <c r="O58" s="7">
        <f t="shared" si="8"/>
        <v>0</v>
      </c>
      <c r="P58" s="7">
        <f t="shared" si="9"/>
        <v>0</v>
      </c>
      <c r="Q58" s="7">
        <f t="shared" si="10"/>
        <v>3512.2662836526815</v>
      </c>
      <c r="R58" s="7">
        <f t="shared" si="11"/>
        <v>3810.5021329875744</v>
      </c>
    </row>
    <row r="59" spans="3:18" ht="14.5">
      <c r="C59" s="6">
        <v>29</v>
      </c>
      <c r="D59" s="23">
        <f>'Rent Costs'!E41</f>
        <v>1224.1200000000001</v>
      </c>
      <c r="E59" s="7">
        <f>'Car Loan'!F47</f>
        <v>415.82516934734025</v>
      </c>
      <c r="F59" s="7">
        <f>'Monthly Spending'!I49</f>
        <v>1446.0280299284807</v>
      </c>
      <c r="G59" s="7">
        <f t="shared" si="0"/>
        <v>57.157531994813617</v>
      </c>
      <c r="H59" s="7">
        <f t="shared" si="1"/>
        <v>3143.1307312706349</v>
      </c>
      <c r="I59" s="7">
        <f t="shared" si="2"/>
        <v>2750</v>
      </c>
      <c r="J59" s="7">
        <f t="shared" si="3"/>
        <v>-393.1307312706349</v>
      </c>
      <c r="K59" s="7">
        <f t="shared" si="4"/>
        <v>0</v>
      </c>
      <c r="L59" s="7">
        <f t="shared" si="5"/>
        <v>0</v>
      </c>
      <c r="M59" s="7">
        <f t="shared" si="6"/>
        <v>0</v>
      </c>
      <c r="N59" s="7">
        <f t="shared" si="7"/>
        <v>393.1307312706349</v>
      </c>
      <c r="O59" s="7">
        <f t="shared" si="8"/>
        <v>0</v>
      </c>
      <c r="P59" s="7">
        <f t="shared" si="9"/>
        <v>0</v>
      </c>
      <c r="Q59" s="7">
        <f t="shared" si="10"/>
        <v>3810.5021329875744</v>
      </c>
      <c r="R59" s="7">
        <f t="shared" si="11"/>
        <v>4203.6328642582093</v>
      </c>
    </row>
    <row r="60" spans="3:18" ht="14.5">
      <c r="C60" s="6">
        <v>30</v>
      </c>
      <c r="D60" s="23">
        <f>'Rent Costs'!E42</f>
        <v>1224.1200000000001</v>
      </c>
      <c r="E60" s="7">
        <f>'Car Loan'!F48</f>
        <v>415.82516934734025</v>
      </c>
      <c r="F60" s="7">
        <f>'Monthly Spending'!I50</f>
        <v>1623.2261182164164</v>
      </c>
      <c r="G60" s="7">
        <f t="shared" si="0"/>
        <v>63.054492963873138</v>
      </c>
      <c r="H60" s="7">
        <f t="shared" si="1"/>
        <v>3326.2257805276299</v>
      </c>
      <c r="I60" s="7">
        <f t="shared" si="2"/>
        <v>2750</v>
      </c>
      <c r="J60" s="7">
        <f t="shared" si="3"/>
        <v>-576.22578052762992</v>
      </c>
      <c r="K60" s="7">
        <f t="shared" si="4"/>
        <v>0</v>
      </c>
      <c r="L60" s="7">
        <f t="shared" si="5"/>
        <v>0</v>
      </c>
      <c r="M60" s="7">
        <f t="shared" si="6"/>
        <v>0</v>
      </c>
      <c r="N60" s="7">
        <f t="shared" si="7"/>
        <v>576.22578052762992</v>
      </c>
      <c r="O60" s="7">
        <f t="shared" si="8"/>
        <v>0</v>
      </c>
      <c r="P60" s="7">
        <f t="shared" si="9"/>
        <v>0</v>
      </c>
      <c r="Q60" s="7">
        <f t="shared" si="10"/>
        <v>4203.6328642582093</v>
      </c>
      <c r="R60" s="7">
        <f t="shared" si="11"/>
        <v>4779.8586447858397</v>
      </c>
    </row>
    <row r="61" spans="3:18" ht="14.5">
      <c r="C61" s="6">
        <v>31</v>
      </c>
      <c r="D61" s="23">
        <f>'Rent Costs'!E43</f>
        <v>1224.1200000000001</v>
      </c>
      <c r="E61" s="7">
        <f>'Car Loan'!F49</f>
        <v>415.82516934734025</v>
      </c>
      <c r="F61" s="7">
        <f>'Monthly Spending'!I51</f>
        <v>1614.2241562628865</v>
      </c>
      <c r="G61" s="7">
        <f t="shared" si="0"/>
        <v>71.697879671787589</v>
      </c>
      <c r="H61" s="7">
        <f t="shared" si="1"/>
        <v>3325.8672052820148</v>
      </c>
      <c r="I61" s="7">
        <f t="shared" si="2"/>
        <v>2750</v>
      </c>
      <c r="J61" s="7">
        <f t="shared" si="3"/>
        <v>-575.86720528201477</v>
      </c>
      <c r="K61" s="7">
        <f t="shared" si="4"/>
        <v>0</v>
      </c>
      <c r="L61" s="7">
        <f t="shared" si="5"/>
        <v>0</v>
      </c>
      <c r="M61" s="7">
        <f t="shared" si="6"/>
        <v>0</v>
      </c>
      <c r="N61" s="7">
        <f t="shared" si="7"/>
        <v>575.86720528201477</v>
      </c>
      <c r="O61" s="7">
        <f t="shared" si="8"/>
        <v>0</v>
      </c>
      <c r="P61" s="7">
        <f t="shared" si="9"/>
        <v>0</v>
      </c>
      <c r="Q61" s="7">
        <f t="shared" si="10"/>
        <v>4779.8586447858397</v>
      </c>
      <c r="R61" s="7">
        <f t="shared" si="11"/>
        <v>5355.7258500678545</v>
      </c>
    </row>
    <row r="62" spans="3:18" ht="14.5">
      <c r="C62" s="6">
        <v>32</v>
      </c>
      <c r="D62" s="23">
        <f>'Rent Costs'!E44</f>
        <v>1224.1200000000001</v>
      </c>
      <c r="E62" s="7">
        <f>'Car Loan'!F50</f>
        <v>415.82516934734025</v>
      </c>
      <c r="F62" s="7">
        <f>'Monthly Spending'!I52</f>
        <v>1518.3795969847777</v>
      </c>
      <c r="G62" s="7">
        <f t="shared" si="0"/>
        <v>80.335887751017808</v>
      </c>
      <c r="H62" s="7">
        <f t="shared" si="1"/>
        <v>3238.6606540831358</v>
      </c>
      <c r="I62" s="7">
        <f t="shared" si="2"/>
        <v>2750</v>
      </c>
      <c r="J62" s="7">
        <f t="shared" si="3"/>
        <v>-488.6606540831358</v>
      </c>
      <c r="K62" s="7">
        <f t="shared" si="4"/>
        <v>0</v>
      </c>
      <c r="L62" s="7">
        <f t="shared" si="5"/>
        <v>0</v>
      </c>
      <c r="M62" s="7">
        <f t="shared" si="6"/>
        <v>0</v>
      </c>
      <c r="N62" s="7">
        <f t="shared" si="7"/>
        <v>488.6606540831358</v>
      </c>
      <c r="O62" s="7">
        <f t="shared" si="8"/>
        <v>0</v>
      </c>
      <c r="P62" s="7">
        <f t="shared" si="9"/>
        <v>0</v>
      </c>
      <c r="Q62" s="7">
        <f t="shared" si="10"/>
        <v>5355.7258500678545</v>
      </c>
      <c r="R62" s="7">
        <f t="shared" si="11"/>
        <v>5844.3865041509907</v>
      </c>
    </row>
    <row r="63" spans="3:18" ht="14.5">
      <c r="C63" s="6">
        <v>33</v>
      </c>
      <c r="D63" s="23">
        <f>'Rent Costs'!E45</f>
        <v>1224.1200000000001</v>
      </c>
      <c r="E63" s="7">
        <f>'Car Loan'!F51</f>
        <v>415.82516934734025</v>
      </c>
      <c r="F63" s="7">
        <f>'Monthly Spending'!I53</f>
        <v>1189.7347686596281</v>
      </c>
      <c r="G63" s="7">
        <f t="shared" si="0"/>
        <v>87.665797562264856</v>
      </c>
      <c r="H63" s="7">
        <f t="shared" si="1"/>
        <v>2917.3457355692335</v>
      </c>
      <c r="I63" s="7">
        <f t="shared" si="2"/>
        <v>2750</v>
      </c>
      <c r="J63" s="7">
        <f t="shared" si="3"/>
        <v>-167.34573556923351</v>
      </c>
      <c r="K63" s="7">
        <f t="shared" si="4"/>
        <v>0</v>
      </c>
      <c r="L63" s="7">
        <f t="shared" si="5"/>
        <v>0</v>
      </c>
      <c r="M63" s="7">
        <f t="shared" si="6"/>
        <v>0</v>
      </c>
      <c r="N63" s="7">
        <f t="shared" si="7"/>
        <v>167.34573556923351</v>
      </c>
      <c r="O63" s="7">
        <f t="shared" si="8"/>
        <v>0</v>
      </c>
      <c r="P63" s="7">
        <f t="shared" si="9"/>
        <v>0</v>
      </c>
      <c r="Q63" s="7">
        <f t="shared" si="10"/>
        <v>5844.3865041509907</v>
      </c>
      <c r="R63" s="7">
        <f t="shared" si="11"/>
        <v>6011.7322397202242</v>
      </c>
    </row>
    <row r="64" spans="3:18" ht="14.5">
      <c r="C64" s="6">
        <v>34</v>
      </c>
      <c r="D64" s="23">
        <f>'Rent Costs'!E46</f>
        <v>1224.1200000000001</v>
      </c>
      <c r="E64" s="7">
        <f>'Car Loan'!F52</f>
        <v>415.82516934734025</v>
      </c>
      <c r="F64" s="7">
        <f>'Monthly Spending'!I54</f>
        <v>1266.4871701987677</v>
      </c>
      <c r="G64" s="7">
        <f t="shared" si="0"/>
        <v>90.175983595803359</v>
      </c>
      <c r="H64" s="7">
        <f t="shared" si="1"/>
        <v>2996.6083231419111</v>
      </c>
      <c r="I64" s="7">
        <f t="shared" si="2"/>
        <v>2750</v>
      </c>
      <c r="J64" s="7">
        <f t="shared" si="3"/>
        <v>-246.60832314191111</v>
      </c>
      <c r="K64" s="7">
        <f t="shared" si="4"/>
        <v>0</v>
      </c>
      <c r="L64" s="7">
        <f t="shared" si="5"/>
        <v>0</v>
      </c>
      <c r="M64" s="7">
        <f t="shared" si="6"/>
        <v>0</v>
      </c>
      <c r="N64" s="7">
        <f t="shared" si="7"/>
        <v>246.60832314191111</v>
      </c>
      <c r="O64" s="7">
        <f t="shared" si="8"/>
        <v>0</v>
      </c>
      <c r="P64" s="7">
        <f t="shared" si="9"/>
        <v>0</v>
      </c>
      <c r="Q64" s="7">
        <f t="shared" si="10"/>
        <v>6011.7322397202242</v>
      </c>
      <c r="R64" s="7">
        <f t="shared" si="11"/>
        <v>6258.3405628621349</v>
      </c>
    </row>
    <row r="65" spans="3:18" ht="14.5">
      <c r="C65" s="6">
        <v>35</v>
      </c>
      <c r="D65" s="23">
        <f>'Rent Costs'!E47</f>
        <v>1224.1200000000001</v>
      </c>
      <c r="E65" s="7">
        <f>'Car Loan'!F53</f>
        <v>415.82516934734025</v>
      </c>
      <c r="F65" s="7">
        <f>'Monthly Spending'!I55</f>
        <v>1416.7672761798249</v>
      </c>
      <c r="G65" s="7">
        <f t="shared" si="0"/>
        <v>93.875108442932017</v>
      </c>
      <c r="H65" s="7">
        <f t="shared" si="1"/>
        <v>3150.5875539700969</v>
      </c>
      <c r="I65" s="7">
        <f t="shared" si="2"/>
        <v>2750</v>
      </c>
      <c r="J65" s="7">
        <f t="shared" si="3"/>
        <v>-400.58755397009691</v>
      </c>
      <c r="K65" s="7">
        <f t="shared" si="4"/>
        <v>0</v>
      </c>
      <c r="L65" s="7">
        <f t="shared" si="5"/>
        <v>0</v>
      </c>
      <c r="M65" s="7">
        <f t="shared" si="6"/>
        <v>0</v>
      </c>
      <c r="N65" s="7">
        <f t="shared" si="7"/>
        <v>400.58755397009691</v>
      </c>
      <c r="O65" s="7">
        <f t="shared" si="8"/>
        <v>0</v>
      </c>
      <c r="P65" s="7">
        <f t="shared" si="9"/>
        <v>0</v>
      </c>
      <c r="Q65" s="7">
        <f t="shared" si="10"/>
        <v>6258.3405628621349</v>
      </c>
      <c r="R65" s="7">
        <f t="shared" si="11"/>
        <v>6658.9281168322323</v>
      </c>
    </row>
    <row r="66" spans="3:18" ht="14.5">
      <c r="C66" s="6">
        <v>36</v>
      </c>
      <c r="D66" s="23">
        <f>'Rent Costs'!E48</f>
        <v>1224.1200000000001</v>
      </c>
      <c r="E66" s="7">
        <f>'Car Loan'!F54</f>
        <v>415.82516934734025</v>
      </c>
      <c r="F66" s="7">
        <f>'Monthly Spending'!I56</f>
        <v>1905.0894679352762</v>
      </c>
      <c r="G66" s="7">
        <f t="shared" si="0"/>
        <v>99.883921752483474</v>
      </c>
      <c r="H66" s="7">
        <f t="shared" si="1"/>
        <v>3644.9185590350999</v>
      </c>
      <c r="I66" s="7">
        <f t="shared" si="2"/>
        <v>2750</v>
      </c>
      <c r="J66" s="7">
        <f t="shared" si="3"/>
        <v>-894.91855903509986</v>
      </c>
      <c r="K66" s="7">
        <f t="shared" si="4"/>
        <v>0</v>
      </c>
      <c r="L66" s="7">
        <f t="shared" si="5"/>
        <v>0</v>
      </c>
      <c r="M66" s="7">
        <f t="shared" si="6"/>
        <v>0</v>
      </c>
      <c r="N66" s="7">
        <f t="shared" si="7"/>
        <v>894.91855903509986</v>
      </c>
      <c r="O66" s="7">
        <f t="shared" si="8"/>
        <v>0</v>
      </c>
      <c r="P66" s="7">
        <f t="shared" si="9"/>
        <v>0</v>
      </c>
      <c r="Q66" s="7">
        <f t="shared" si="10"/>
        <v>6658.9281168322323</v>
      </c>
      <c r="R66" s="7">
        <f t="shared" si="11"/>
        <v>7553.8466758673321</v>
      </c>
    </row>
    <row r="67" spans="3:18" ht="14.5">
      <c r="C67" s="6">
        <v>37</v>
      </c>
      <c r="D67" s="23">
        <f>'Rent Costs'!E49</f>
        <v>1236.3612000000001</v>
      </c>
      <c r="E67" s="7">
        <f>'Car Loan'!F55</f>
        <v>415.82516934734025</v>
      </c>
      <c r="F67" s="7">
        <f>'Monthly Spending'!I57</f>
        <v>1205.677390963551</v>
      </c>
      <c r="G67" s="7">
        <f t="shared" si="0"/>
        <v>113.30770013800998</v>
      </c>
      <c r="H67" s="7">
        <f t="shared" si="1"/>
        <v>2971.1714604489016</v>
      </c>
      <c r="I67" s="7">
        <f t="shared" si="2"/>
        <v>2750</v>
      </c>
      <c r="J67" s="7">
        <f t="shared" si="3"/>
        <v>-221.1714604489016</v>
      </c>
      <c r="K67" s="7">
        <f t="shared" si="4"/>
        <v>0</v>
      </c>
      <c r="L67" s="7">
        <f t="shared" si="5"/>
        <v>0</v>
      </c>
      <c r="M67" s="7">
        <f t="shared" si="6"/>
        <v>0</v>
      </c>
      <c r="N67" s="7">
        <f t="shared" si="7"/>
        <v>221.1714604489016</v>
      </c>
      <c r="O67" s="7">
        <f t="shared" si="8"/>
        <v>0</v>
      </c>
      <c r="P67" s="7">
        <f t="shared" si="9"/>
        <v>0</v>
      </c>
      <c r="Q67" s="7">
        <f t="shared" si="10"/>
        <v>7553.8466758673321</v>
      </c>
      <c r="R67" s="7">
        <f t="shared" si="11"/>
        <v>7775.0181363162337</v>
      </c>
    </row>
    <row r="68" spans="3:18" ht="14.5">
      <c r="C68" s="6">
        <v>38</v>
      </c>
      <c r="D68" s="23">
        <f>'Rent Costs'!E50</f>
        <v>1236.3612000000001</v>
      </c>
      <c r="E68" s="7">
        <f>'Car Loan'!F56</f>
        <v>415.82516934734025</v>
      </c>
      <c r="F68" s="7">
        <f>'Monthly Spending'!I58</f>
        <v>1386.7250447123058</v>
      </c>
      <c r="G68" s="7">
        <f t="shared" si="0"/>
        <v>116.6252720447435</v>
      </c>
      <c r="H68" s="7">
        <f t="shared" si="1"/>
        <v>3155.5366861043894</v>
      </c>
      <c r="I68" s="7">
        <f t="shared" si="2"/>
        <v>2750</v>
      </c>
      <c r="J68" s="7">
        <f t="shared" si="3"/>
        <v>-405.53668610438945</v>
      </c>
      <c r="K68" s="7">
        <f t="shared" si="4"/>
        <v>0</v>
      </c>
      <c r="L68" s="7">
        <f t="shared" si="5"/>
        <v>0</v>
      </c>
      <c r="M68" s="7">
        <f t="shared" si="6"/>
        <v>0</v>
      </c>
      <c r="N68" s="7">
        <f t="shared" si="7"/>
        <v>405.53668610438945</v>
      </c>
      <c r="O68" s="7">
        <f t="shared" si="8"/>
        <v>0</v>
      </c>
      <c r="P68" s="7">
        <f t="shared" si="9"/>
        <v>0</v>
      </c>
      <c r="Q68" s="7">
        <f t="shared" si="10"/>
        <v>7775.0181363162337</v>
      </c>
      <c r="R68" s="7">
        <f t="shared" si="11"/>
        <v>8180.5548224206232</v>
      </c>
    </row>
    <row r="69" spans="3:18" ht="14.5">
      <c r="C69" s="6">
        <v>39</v>
      </c>
      <c r="D69" s="23">
        <f>'Rent Costs'!E51</f>
        <v>1236.3612000000001</v>
      </c>
      <c r="E69" s="7">
        <f>'Car Loan'!F57</f>
        <v>415.82516934734025</v>
      </c>
      <c r="F69" s="7">
        <f>'Monthly Spending'!I59</f>
        <v>1509.7600114452914</v>
      </c>
      <c r="G69" s="7">
        <f t="shared" si="0"/>
        <v>122.70832233630934</v>
      </c>
      <c r="H69" s="7">
        <f t="shared" si="1"/>
        <v>3284.654703128941</v>
      </c>
      <c r="I69" s="7">
        <f t="shared" si="2"/>
        <v>2750</v>
      </c>
      <c r="J69" s="7">
        <f t="shared" si="3"/>
        <v>-534.65470312894104</v>
      </c>
      <c r="K69" s="7">
        <f t="shared" si="4"/>
        <v>0</v>
      </c>
      <c r="L69" s="7">
        <f t="shared" si="5"/>
        <v>0</v>
      </c>
      <c r="M69" s="7">
        <f t="shared" si="6"/>
        <v>0</v>
      </c>
      <c r="N69" s="7">
        <f t="shared" si="7"/>
        <v>534.65470312894104</v>
      </c>
      <c r="O69" s="7">
        <f t="shared" si="8"/>
        <v>0</v>
      </c>
      <c r="P69" s="7">
        <f t="shared" si="9"/>
        <v>0</v>
      </c>
      <c r="Q69" s="7">
        <f t="shared" si="10"/>
        <v>8180.5548224206232</v>
      </c>
      <c r="R69" s="7">
        <f t="shared" si="11"/>
        <v>8715.2095255495642</v>
      </c>
    </row>
    <row r="70" spans="3:18" ht="14.5">
      <c r="C70" s="6">
        <v>40</v>
      </c>
      <c r="D70" s="23">
        <f>'Rent Costs'!E52</f>
        <v>1236.3612000000001</v>
      </c>
      <c r="E70" s="7">
        <f>'Car Loan'!F58</f>
        <v>415.82516934734025</v>
      </c>
      <c r="F70" s="7">
        <f>'Monthly Spending'!I60</f>
        <v>1410.8361937018988</v>
      </c>
      <c r="G70" s="7">
        <f t="shared" si="0"/>
        <v>130.72814288324346</v>
      </c>
      <c r="H70" s="7">
        <f t="shared" si="1"/>
        <v>3193.7507059324826</v>
      </c>
      <c r="I70" s="7">
        <f t="shared" si="2"/>
        <v>2750</v>
      </c>
      <c r="J70" s="7">
        <f t="shared" si="3"/>
        <v>-443.75070593248256</v>
      </c>
      <c r="K70" s="7">
        <f t="shared" si="4"/>
        <v>0</v>
      </c>
      <c r="L70" s="7">
        <f t="shared" si="5"/>
        <v>0</v>
      </c>
      <c r="M70" s="7">
        <f t="shared" si="6"/>
        <v>0</v>
      </c>
      <c r="N70" s="7">
        <f t="shared" si="7"/>
        <v>443.75070593248256</v>
      </c>
      <c r="O70" s="7">
        <f t="shared" si="8"/>
        <v>0</v>
      </c>
      <c r="P70" s="7">
        <f t="shared" si="9"/>
        <v>0</v>
      </c>
      <c r="Q70" s="7">
        <f t="shared" si="10"/>
        <v>8715.2095255495642</v>
      </c>
      <c r="R70" s="7">
        <f t="shared" si="11"/>
        <v>9158.9602314820477</v>
      </c>
    </row>
    <row r="71" spans="3:18" ht="14.5">
      <c r="C71" s="6">
        <v>41</v>
      </c>
      <c r="D71" s="23">
        <f>'Rent Costs'!E53</f>
        <v>1236.3612000000001</v>
      </c>
      <c r="E71" s="7">
        <f>'Car Loan'!F59</f>
        <v>415.82516934734025</v>
      </c>
      <c r="F71" s="7">
        <f>'Monthly Spending'!I61</f>
        <v>1504.9414429730325</v>
      </c>
      <c r="G71" s="7">
        <f t="shared" si="0"/>
        <v>137.3844034722307</v>
      </c>
      <c r="H71" s="7">
        <f t="shared" si="1"/>
        <v>3294.5122157926035</v>
      </c>
      <c r="I71" s="7">
        <f t="shared" si="2"/>
        <v>2750</v>
      </c>
      <c r="J71" s="7">
        <f t="shared" si="3"/>
        <v>-544.51221579260346</v>
      </c>
      <c r="K71" s="7">
        <f t="shared" si="4"/>
        <v>0</v>
      </c>
      <c r="L71" s="7">
        <f t="shared" si="5"/>
        <v>0</v>
      </c>
      <c r="M71" s="7">
        <f t="shared" si="6"/>
        <v>0</v>
      </c>
      <c r="N71" s="7">
        <f t="shared" si="7"/>
        <v>544.51221579260346</v>
      </c>
      <c r="O71" s="7">
        <f t="shared" si="8"/>
        <v>0</v>
      </c>
      <c r="P71" s="7">
        <f t="shared" si="9"/>
        <v>0</v>
      </c>
      <c r="Q71" s="7">
        <f t="shared" si="10"/>
        <v>9158.9602314820477</v>
      </c>
      <c r="R71" s="7">
        <f t="shared" si="11"/>
        <v>9703.4724472746511</v>
      </c>
    </row>
    <row r="72" spans="3:18" ht="14.5">
      <c r="C72" s="6">
        <v>42</v>
      </c>
      <c r="D72" s="23">
        <f>'Rent Costs'!E54</f>
        <v>1236.3612000000001</v>
      </c>
      <c r="E72" s="7">
        <f>'Car Loan'!F60</f>
        <v>415.82516934734025</v>
      </c>
      <c r="F72" s="7">
        <f>'Monthly Spending'!I62</f>
        <v>1689.358854780256</v>
      </c>
      <c r="G72" s="7">
        <f t="shared" si="0"/>
        <v>145.55208670911975</v>
      </c>
      <c r="H72" s="7">
        <f t="shared" si="1"/>
        <v>3487.0973108367161</v>
      </c>
      <c r="I72" s="7">
        <f t="shared" si="2"/>
        <v>2750</v>
      </c>
      <c r="J72" s="7">
        <f t="shared" si="3"/>
        <v>-737.09731083671613</v>
      </c>
      <c r="K72" s="7">
        <f t="shared" si="4"/>
        <v>0</v>
      </c>
      <c r="L72" s="7">
        <f t="shared" si="5"/>
        <v>0</v>
      </c>
      <c r="M72" s="7">
        <f t="shared" si="6"/>
        <v>0</v>
      </c>
      <c r="N72" s="7">
        <f t="shared" si="7"/>
        <v>737.09731083671613</v>
      </c>
      <c r="O72" s="7">
        <f t="shared" si="8"/>
        <v>0</v>
      </c>
      <c r="P72" s="7">
        <f t="shared" si="9"/>
        <v>0</v>
      </c>
      <c r="Q72" s="7">
        <f t="shared" si="10"/>
        <v>9703.4724472746511</v>
      </c>
      <c r="R72" s="7">
        <f t="shared" si="11"/>
        <v>10440.569758111367</v>
      </c>
    </row>
    <row r="73" spans="3:18" ht="14.5">
      <c r="C73" s="6">
        <v>43</v>
      </c>
      <c r="D73" s="23">
        <f>'Rent Costs'!E55</f>
        <v>1236.3612000000001</v>
      </c>
      <c r="E73" s="7">
        <f>'Car Loan'!F61</f>
        <v>415.82516934734025</v>
      </c>
      <c r="F73" s="7">
        <f>'Monthly Spending'!I63</f>
        <v>1679.9901390074342</v>
      </c>
      <c r="G73" s="7">
        <f t="shared" si="0"/>
        <v>156.60854637167051</v>
      </c>
      <c r="H73" s="7">
        <f t="shared" si="1"/>
        <v>3488.7850547264447</v>
      </c>
      <c r="I73" s="7">
        <f t="shared" si="2"/>
        <v>2750</v>
      </c>
      <c r="J73" s="7">
        <f t="shared" si="3"/>
        <v>-738.78505472644474</v>
      </c>
      <c r="K73" s="7">
        <f t="shared" si="4"/>
        <v>0</v>
      </c>
      <c r="L73" s="7">
        <f t="shared" si="5"/>
        <v>0</v>
      </c>
      <c r="M73" s="7">
        <f t="shared" si="6"/>
        <v>0</v>
      </c>
      <c r="N73" s="7">
        <f t="shared" si="7"/>
        <v>738.78505472644474</v>
      </c>
      <c r="O73" s="7">
        <f t="shared" si="8"/>
        <v>0</v>
      </c>
      <c r="P73" s="7">
        <f t="shared" si="9"/>
        <v>0</v>
      </c>
      <c r="Q73" s="7">
        <f t="shared" si="10"/>
        <v>10440.569758111367</v>
      </c>
      <c r="R73" s="7">
        <f t="shared" si="11"/>
        <v>11179.354812837812</v>
      </c>
    </row>
    <row r="74" spans="3:18" ht="14.5">
      <c r="C74" s="6">
        <v>44</v>
      </c>
      <c r="D74" s="23">
        <f>'Rent Costs'!E56</f>
        <v>1236.3612000000001</v>
      </c>
      <c r="E74" s="7">
        <f>'Car Loan'!F62</f>
        <v>415.82516934734025</v>
      </c>
      <c r="F74" s="7">
        <f>'Monthly Spending'!I64</f>
        <v>1580.2407245038676</v>
      </c>
      <c r="G74" s="7">
        <f t="shared" si="0"/>
        <v>167.69032219256718</v>
      </c>
      <c r="H74" s="7">
        <f t="shared" si="1"/>
        <v>3400.1174160437754</v>
      </c>
      <c r="I74" s="7">
        <f t="shared" si="2"/>
        <v>2750</v>
      </c>
      <c r="J74" s="7">
        <f t="shared" si="3"/>
        <v>-650.11741604377539</v>
      </c>
      <c r="K74" s="7">
        <f t="shared" si="4"/>
        <v>0</v>
      </c>
      <c r="L74" s="7">
        <f t="shared" si="5"/>
        <v>0</v>
      </c>
      <c r="M74" s="7">
        <f t="shared" si="6"/>
        <v>0</v>
      </c>
      <c r="N74" s="7">
        <f t="shared" si="7"/>
        <v>650.11741604377539</v>
      </c>
      <c r="O74" s="7">
        <f t="shared" si="8"/>
        <v>0</v>
      </c>
      <c r="P74" s="7">
        <f t="shared" si="9"/>
        <v>0</v>
      </c>
      <c r="Q74" s="7">
        <f t="shared" si="10"/>
        <v>11179.354812837812</v>
      </c>
      <c r="R74" s="7">
        <f t="shared" si="11"/>
        <v>11829.472228881586</v>
      </c>
    </row>
    <row r="75" spans="3:18" ht="14.5">
      <c r="C75" s="6">
        <v>45</v>
      </c>
      <c r="D75" s="23">
        <f>'Rent Costs'!E57</f>
        <v>1236.3612000000001</v>
      </c>
      <c r="E75" s="7">
        <f>'Car Loan'!F63</f>
        <v>415.82516934734025</v>
      </c>
      <c r="F75" s="7">
        <f>'Monthly Spending'!I65</f>
        <v>1238.2063988001414</v>
      </c>
      <c r="G75" s="7">
        <f t="shared" si="0"/>
        <v>177.44208343322379</v>
      </c>
      <c r="H75" s="7">
        <f t="shared" si="1"/>
        <v>3067.8348515807052</v>
      </c>
      <c r="I75" s="7">
        <f t="shared" si="2"/>
        <v>2750</v>
      </c>
      <c r="J75" s="7">
        <f t="shared" si="3"/>
        <v>-317.83485158070516</v>
      </c>
      <c r="K75" s="7">
        <f t="shared" si="4"/>
        <v>0</v>
      </c>
      <c r="L75" s="7">
        <f t="shared" si="5"/>
        <v>0</v>
      </c>
      <c r="M75" s="7">
        <f t="shared" si="6"/>
        <v>0</v>
      </c>
      <c r="N75" s="7">
        <f t="shared" si="7"/>
        <v>317.83485158070516</v>
      </c>
      <c r="O75" s="7">
        <f t="shared" si="8"/>
        <v>0</v>
      </c>
      <c r="P75" s="7">
        <f t="shared" si="9"/>
        <v>0</v>
      </c>
      <c r="Q75" s="7">
        <f t="shared" si="10"/>
        <v>11829.472228881586</v>
      </c>
      <c r="R75" s="7">
        <f t="shared" si="11"/>
        <v>12147.307080462291</v>
      </c>
    </row>
    <row r="76" spans="3:18" ht="14.5">
      <c r="C76" s="6">
        <v>46</v>
      </c>
      <c r="D76" s="23">
        <f>'Rent Costs'!E58</f>
        <v>1236.3612000000001</v>
      </c>
      <c r="E76" s="7">
        <f>'Car Loan'!F64</f>
        <v>415.82516934734025</v>
      </c>
      <c r="F76" s="7">
        <f>'Monthly Spending'!I66</f>
        <v>1318.0858116007851</v>
      </c>
      <c r="G76" s="7">
        <f t="shared" si="0"/>
        <v>182.20960620693435</v>
      </c>
      <c r="H76" s="7">
        <f t="shared" si="1"/>
        <v>3152.4817871550599</v>
      </c>
      <c r="I76" s="7">
        <f t="shared" si="2"/>
        <v>2750</v>
      </c>
      <c r="J76" s="7">
        <f t="shared" si="3"/>
        <v>-402.48178715505992</v>
      </c>
      <c r="K76" s="7">
        <f t="shared" si="4"/>
        <v>0</v>
      </c>
      <c r="L76" s="7">
        <f t="shared" si="5"/>
        <v>0</v>
      </c>
      <c r="M76" s="7">
        <f t="shared" si="6"/>
        <v>0</v>
      </c>
      <c r="N76" s="7">
        <f t="shared" si="7"/>
        <v>402.48178715505992</v>
      </c>
      <c r="O76" s="7">
        <f t="shared" si="8"/>
        <v>0</v>
      </c>
      <c r="P76" s="7">
        <f t="shared" si="9"/>
        <v>0</v>
      </c>
      <c r="Q76" s="7">
        <f t="shared" si="10"/>
        <v>12147.307080462291</v>
      </c>
      <c r="R76" s="7">
        <f t="shared" si="11"/>
        <v>12549.788867617352</v>
      </c>
    </row>
    <row r="77" spans="3:18" ht="14.5">
      <c r="C77" s="6">
        <v>47</v>
      </c>
      <c r="D77" s="23">
        <f>'Rent Costs'!E59</f>
        <v>1236.3612000000001</v>
      </c>
      <c r="E77" s="7">
        <f>'Car Loan'!F65</f>
        <v>415.82516934734025</v>
      </c>
      <c r="F77" s="7">
        <f>'Monthly Spending'!I67</f>
        <v>1474.4885609696601</v>
      </c>
      <c r="G77" s="7">
        <f t="shared" si="0"/>
        <v>188.24683301426026</v>
      </c>
      <c r="H77" s="7">
        <f t="shared" si="1"/>
        <v>3314.9217633312605</v>
      </c>
      <c r="I77" s="7">
        <f t="shared" si="2"/>
        <v>2750</v>
      </c>
      <c r="J77" s="7">
        <f t="shared" si="3"/>
        <v>-564.92176333126054</v>
      </c>
      <c r="K77" s="7">
        <f t="shared" si="4"/>
        <v>0</v>
      </c>
      <c r="L77" s="7">
        <f t="shared" si="5"/>
        <v>0</v>
      </c>
      <c r="M77" s="7">
        <f t="shared" si="6"/>
        <v>0</v>
      </c>
      <c r="N77" s="7">
        <f t="shared" si="7"/>
        <v>564.92176333126054</v>
      </c>
      <c r="O77" s="7">
        <f t="shared" si="8"/>
        <v>0</v>
      </c>
      <c r="P77" s="7">
        <f t="shared" si="9"/>
        <v>0</v>
      </c>
      <c r="Q77" s="7">
        <f t="shared" si="10"/>
        <v>12549.788867617352</v>
      </c>
      <c r="R77" s="7">
        <f t="shared" si="11"/>
        <v>13114.710630948612</v>
      </c>
    </row>
    <row r="78" spans="3:18" ht="14.5">
      <c r="C78" s="6">
        <v>48</v>
      </c>
      <c r="D78" s="23">
        <f>'Rent Costs'!E60</f>
        <v>1236.3612000000001</v>
      </c>
      <c r="E78" s="7">
        <f>'Car Loan'!F66</f>
        <v>415.82516934734025</v>
      </c>
      <c r="F78" s="7">
        <f>'Monthly Spending'!I68</f>
        <v>1982.7057522592029</v>
      </c>
      <c r="G78" s="7">
        <f t="shared" si="0"/>
        <v>196.72065946422916</v>
      </c>
      <c r="H78" s="7">
        <f t="shared" si="1"/>
        <v>3831.6127810707726</v>
      </c>
      <c r="I78" s="7">
        <f t="shared" si="2"/>
        <v>2750</v>
      </c>
      <c r="J78" s="7">
        <f t="shared" si="3"/>
        <v>-1081.6127810707726</v>
      </c>
      <c r="K78" s="7">
        <f t="shared" si="4"/>
        <v>0</v>
      </c>
      <c r="L78" s="7">
        <f t="shared" si="5"/>
        <v>0</v>
      </c>
      <c r="M78" s="7">
        <f t="shared" si="6"/>
        <v>0</v>
      </c>
      <c r="N78" s="7">
        <f t="shared" si="7"/>
        <v>1081.6127810707726</v>
      </c>
      <c r="O78" s="7">
        <f t="shared" si="8"/>
        <v>0</v>
      </c>
      <c r="P78" s="7">
        <f t="shared" si="9"/>
        <v>0</v>
      </c>
      <c r="Q78" s="7">
        <f t="shared" si="10"/>
        <v>13114.710630948612</v>
      </c>
      <c r="R78" s="7">
        <f t="shared" si="11"/>
        <v>14196.323412019385</v>
      </c>
    </row>
    <row r="79" spans="3:18" ht="14.5">
      <c r="C79" s="6">
        <v>49</v>
      </c>
      <c r="D79" s="23">
        <f>'Rent Costs'!E61</f>
        <v>1248.7248120000002</v>
      </c>
      <c r="E79" s="7">
        <f>'Car Loan'!F67</f>
        <v>415.82516934734025</v>
      </c>
      <c r="F79" s="7">
        <f>'Monthly Spending'!I69</f>
        <v>1254.798548134914</v>
      </c>
      <c r="G79" s="7">
        <f t="shared" si="0"/>
        <v>212.94485118029075</v>
      </c>
      <c r="H79" s="7">
        <f t="shared" si="1"/>
        <v>3132.2933806625451</v>
      </c>
      <c r="I79" s="7">
        <f t="shared" si="2"/>
        <v>2750</v>
      </c>
      <c r="J79" s="7">
        <f t="shared" si="3"/>
        <v>-382.29338066254513</v>
      </c>
      <c r="K79" s="7">
        <f t="shared" si="4"/>
        <v>0</v>
      </c>
      <c r="L79" s="7">
        <f t="shared" si="5"/>
        <v>0</v>
      </c>
      <c r="M79" s="7">
        <f t="shared" si="6"/>
        <v>0</v>
      </c>
      <c r="N79" s="7">
        <f t="shared" si="7"/>
        <v>382.29338066254513</v>
      </c>
      <c r="O79" s="7">
        <f t="shared" si="8"/>
        <v>0</v>
      </c>
      <c r="P79" s="7">
        <f t="shared" si="9"/>
        <v>0</v>
      </c>
      <c r="Q79" s="7">
        <f t="shared" si="10"/>
        <v>14196.323412019385</v>
      </c>
      <c r="R79" s="7">
        <f t="shared" si="11"/>
        <v>14578.616792681929</v>
      </c>
    </row>
    <row r="80" spans="3:18" ht="14.5">
      <c r="C80" s="6">
        <v>50</v>
      </c>
      <c r="D80" s="23">
        <f>'Rent Costs'!E62</f>
        <v>1248.7248120000002</v>
      </c>
      <c r="E80" s="7">
        <f>'Car Loan'!F68</f>
        <v>415.82516934734025</v>
      </c>
      <c r="F80" s="7">
        <f>'Monthly Spending'!I70</f>
        <v>1443.2223626394009</v>
      </c>
      <c r="G80" s="7">
        <f t="shared" si="0"/>
        <v>218.67925189022893</v>
      </c>
      <c r="H80" s="7">
        <f t="shared" si="1"/>
        <v>3326.4515958769703</v>
      </c>
      <c r="I80" s="7">
        <f t="shared" si="2"/>
        <v>2750</v>
      </c>
      <c r="J80" s="7">
        <f t="shared" si="3"/>
        <v>-576.45159587697026</v>
      </c>
      <c r="K80" s="7">
        <f t="shared" si="4"/>
        <v>0</v>
      </c>
      <c r="L80" s="7">
        <f t="shared" si="5"/>
        <v>0</v>
      </c>
      <c r="M80" s="7">
        <f t="shared" si="6"/>
        <v>0</v>
      </c>
      <c r="N80" s="7">
        <f t="shared" si="7"/>
        <v>576.45159587697026</v>
      </c>
      <c r="O80" s="7">
        <f t="shared" si="8"/>
        <v>0</v>
      </c>
      <c r="P80" s="7">
        <f t="shared" si="9"/>
        <v>0</v>
      </c>
      <c r="Q80" s="7">
        <f t="shared" si="10"/>
        <v>14578.616792681929</v>
      </c>
      <c r="R80" s="7">
        <f t="shared" si="11"/>
        <v>15155.068388558899</v>
      </c>
    </row>
    <row r="81" spans="3:18" ht="14.5">
      <c r="C81" s="6">
        <v>51</v>
      </c>
      <c r="D81" s="23">
        <f>'Rent Costs'!E63</f>
        <v>1248.7248120000002</v>
      </c>
      <c r="E81" s="7">
        <f>'Car Loan'!F69</f>
        <v>415.82516934734025</v>
      </c>
      <c r="F81" s="7">
        <f>'Monthly Spending'!I71</f>
        <v>1571.2699637501735</v>
      </c>
      <c r="G81" s="7">
        <f t="shared" si="0"/>
        <v>227.32602582838348</v>
      </c>
      <c r="H81" s="7">
        <f t="shared" si="1"/>
        <v>3463.1459709258975</v>
      </c>
      <c r="I81" s="7">
        <f t="shared" si="2"/>
        <v>2750</v>
      </c>
      <c r="J81" s="7">
        <f t="shared" si="3"/>
        <v>-713.14597092589747</v>
      </c>
      <c r="K81" s="7">
        <f t="shared" si="4"/>
        <v>0</v>
      </c>
      <c r="L81" s="7">
        <f t="shared" si="5"/>
        <v>0</v>
      </c>
      <c r="M81" s="7">
        <f t="shared" si="6"/>
        <v>0</v>
      </c>
      <c r="N81" s="7">
        <f t="shared" si="7"/>
        <v>713.14597092589747</v>
      </c>
      <c r="O81" s="7">
        <f t="shared" si="8"/>
        <v>0</v>
      </c>
      <c r="P81" s="7">
        <f t="shared" si="9"/>
        <v>0</v>
      </c>
      <c r="Q81" s="7">
        <f t="shared" si="10"/>
        <v>15155.068388558899</v>
      </c>
      <c r="R81" s="7">
        <f t="shared" si="11"/>
        <v>15868.214359484797</v>
      </c>
    </row>
    <row r="82" spans="3:18" ht="14.5">
      <c r="C82" s="6">
        <v>52</v>
      </c>
      <c r="D82" s="23">
        <f>'Rent Costs'!E64</f>
        <v>1248.7248120000002</v>
      </c>
      <c r="E82" s="7">
        <f>'Car Loan'!F70</f>
        <v>415.82516934734025</v>
      </c>
      <c r="F82" s="7">
        <f>'Monthly Spending'!I72</f>
        <v>1468.3158370403989</v>
      </c>
      <c r="G82" s="7">
        <f t="shared" si="0"/>
        <v>238.02321539227194</v>
      </c>
      <c r="H82" s="7">
        <f t="shared" si="1"/>
        <v>3370.8890337800117</v>
      </c>
      <c r="I82" s="7">
        <f t="shared" si="2"/>
        <v>2750</v>
      </c>
      <c r="J82" s="7">
        <f t="shared" si="3"/>
        <v>-620.88903378001169</v>
      </c>
      <c r="K82" s="7">
        <f t="shared" si="4"/>
        <v>0</v>
      </c>
      <c r="L82" s="7">
        <f t="shared" si="5"/>
        <v>0</v>
      </c>
      <c r="M82" s="7">
        <f t="shared" si="6"/>
        <v>0</v>
      </c>
      <c r="N82" s="7">
        <f t="shared" si="7"/>
        <v>620.88903378001169</v>
      </c>
      <c r="O82" s="7">
        <f t="shared" si="8"/>
        <v>0</v>
      </c>
      <c r="P82" s="7">
        <f t="shared" si="9"/>
        <v>0</v>
      </c>
      <c r="Q82" s="7">
        <f t="shared" si="10"/>
        <v>15868.214359484797</v>
      </c>
      <c r="R82" s="7">
        <f t="shared" si="11"/>
        <v>16489.10339326481</v>
      </c>
    </row>
    <row r="83" spans="3:18" ht="14.5">
      <c r="C83" s="6">
        <v>53</v>
      </c>
      <c r="D83" s="23">
        <f>'Rent Costs'!E65</f>
        <v>1248.7248120000002</v>
      </c>
      <c r="E83" s="7">
        <f>'Car Loan'!F71</f>
        <v>415.82516934734025</v>
      </c>
      <c r="F83" s="7">
        <f>'Monthly Spending'!I73</f>
        <v>1566.2550793636904</v>
      </c>
      <c r="G83" s="7">
        <f t="shared" si="0"/>
        <v>247.33655089897215</v>
      </c>
      <c r="H83" s="7">
        <f t="shared" si="1"/>
        <v>3478.1416116100031</v>
      </c>
      <c r="I83" s="7">
        <f t="shared" si="2"/>
        <v>2750</v>
      </c>
      <c r="J83" s="7">
        <f t="shared" si="3"/>
        <v>-728.14161161000311</v>
      </c>
      <c r="K83" s="7">
        <f t="shared" si="4"/>
        <v>0</v>
      </c>
      <c r="L83" s="7">
        <f t="shared" si="5"/>
        <v>0</v>
      </c>
      <c r="M83" s="7">
        <f t="shared" si="6"/>
        <v>0</v>
      </c>
      <c r="N83" s="7">
        <f t="shared" si="7"/>
        <v>728.14161161000311</v>
      </c>
      <c r="O83" s="7">
        <f t="shared" si="8"/>
        <v>0</v>
      </c>
      <c r="P83" s="7">
        <f t="shared" si="9"/>
        <v>0</v>
      </c>
      <c r="Q83" s="7">
        <f t="shared" si="10"/>
        <v>16489.10339326481</v>
      </c>
      <c r="R83" s="7">
        <f t="shared" si="11"/>
        <v>17217.245004874814</v>
      </c>
    </row>
    <row r="84" spans="3:18" ht="14.5">
      <c r="C84" s="6">
        <v>54</v>
      </c>
      <c r="D84" s="23">
        <f>'Rent Costs'!E66</f>
        <v>1248.7248120000002</v>
      </c>
      <c r="E84" s="7">
        <f>'Car Loan'!F72</f>
        <v>415.82516934734025</v>
      </c>
      <c r="F84" s="7">
        <f>'Monthly Spending'!I74</f>
        <v>1758.1859410692146</v>
      </c>
      <c r="G84" s="7">
        <f t="shared" si="0"/>
        <v>258.25867507312222</v>
      </c>
      <c r="H84" s="7">
        <f t="shared" si="1"/>
        <v>3680.9945974896768</v>
      </c>
      <c r="I84" s="7">
        <f t="shared" si="2"/>
        <v>2750</v>
      </c>
      <c r="J84" s="7">
        <f t="shared" si="3"/>
        <v>-930.99459748967683</v>
      </c>
      <c r="K84" s="7">
        <f t="shared" si="4"/>
        <v>0</v>
      </c>
      <c r="L84" s="7">
        <f t="shared" si="5"/>
        <v>0</v>
      </c>
      <c r="M84" s="7">
        <f t="shared" si="6"/>
        <v>0</v>
      </c>
      <c r="N84" s="7">
        <f t="shared" si="7"/>
        <v>930.99459748967683</v>
      </c>
      <c r="O84" s="7">
        <f t="shared" si="8"/>
        <v>0</v>
      </c>
      <c r="P84" s="7">
        <f t="shared" si="9"/>
        <v>0</v>
      </c>
      <c r="Q84" s="7">
        <f t="shared" si="10"/>
        <v>17217.245004874814</v>
      </c>
      <c r="R84" s="7">
        <f t="shared" si="11"/>
        <v>18148.239602364491</v>
      </c>
    </row>
    <row r="85" spans="3:18" ht="14.5">
      <c r="C85" s="6">
        <v>55</v>
      </c>
      <c r="D85" s="23">
        <f>'Rent Costs'!E67</f>
        <v>1248.7248120000002</v>
      </c>
      <c r="E85" s="7">
        <f>'Car Loan'!F73</f>
        <v>415.82516934734025</v>
      </c>
      <c r="F85" s="7">
        <f>'Monthly Spending'!I75</f>
        <v>1748.4355293606309</v>
      </c>
      <c r="G85" s="7">
        <f t="shared" si="0"/>
        <v>272.22359403546733</v>
      </c>
      <c r="H85" s="7">
        <f t="shared" si="1"/>
        <v>3685.2091047434383</v>
      </c>
      <c r="I85" s="7">
        <f t="shared" si="2"/>
        <v>2750</v>
      </c>
      <c r="J85" s="7">
        <f t="shared" si="3"/>
        <v>-935.20910474343827</v>
      </c>
      <c r="K85" s="7">
        <f t="shared" si="4"/>
        <v>0</v>
      </c>
      <c r="L85" s="7">
        <f t="shared" si="5"/>
        <v>0</v>
      </c>
      <c r="M85" s="7">
        <f t="shared" si="6"/>
        <v>0</v>
      </c>
      <c r="N85" s="7">
        <f t="shared" si="7"/>
        <v>935.20910474343827</v>
      </c>
      <c r="O85" s="7">
        <f t="shared" si="8"/>
        <v>0</v>
      </c>
      <c r="P85" s="7">
        <f t="shared" si="9"/>
        <v>0</v>
      </c>
      <c r="Q85" s="7">
        <f t="shared" si="10"/>
        <v>18148.239602364491</v>
      </c>
      <c r="R85" s="7">
        <f t="shared" si="11"/>
        <v>19083.448707107927</v>
      </c>
    </row>
    <row r="86" spans="3:18" ht="14.5">
      <c r="C86" s="6">
        <v>56</v>
      </c>
      <c r="D86" s="23">
        <f>'Rent Costs'!E68</f>
        <v>1248.7248120000002</v>
      </c>
      <c r="E86" s="7">
        <f>'Car Loan'!F74</f>
        <v>415.82516934734025</v>
      </c>
      <c r="F86" s="7">
        <f>'Monthly Spending'!I76</f>
        <v>1644.6221698048432</v>
      </c>
      <c r="G86" s="7">
        <f t="shared" si="0"/>
        <v>286.25173060661888</v>
      </c>
      <c r="H86" s="7">
        <f t="shared" si="1"/>
        <v>3595.4238817588025</v>
      </c>
      <c r="I86" s="7">
        <f t="shared" si="2"/>
        <v>2750</v>
      </c>
      <c r="J86" s="7">
        <f t="shared" si="3"/>
        <v>-845.42388175880251</v>
      </c>
      <c r="K86" s="7">
        <f t="shared" si="4"/>
        <v>0</v>
      </c>
      <c r="L86" s="7">
        <f t="shared" si="5"/>
        <v>0</v>
      </c>
      <c r="M86" s="7">
        <f t="shared" si="6"/>
        <v>0</v>
      </c>
      <c r="N86" s="7">
        <f t="shared" si="7"/>
        <v>845.42388175880251</v>
      </c>
      <c r="O86" s="7">
        <f t="shared" si="8"/>
        <v>0</v>
      </c>
      <c r="P86" s="7">
        <f t="shared" si="9"/>
        <v>0</v>
      </c>
      <c r="Q86" s="7">
        <f t="shared" si="10"/>
        <v>19083.448707107927</v>
      </c>
      <c r="R86" s="7">
        <f t="shared" si="11"/>
        <v>19928.872588866729</v>
      </c>
    </row>
    <row r="87" spans="3:18" ht="14.5">
      <c r="C87" s="6">
        <v>57</v>
      </c>
      <c r="D87" s="23">
        <f>'Rent Costs'!E69</f>
        <v>1248.7248120000002</v>
      </c>
      <c r="E87" s="7">
        <f>'Car Loan'!F75</f>
        <v>415.82516934734025</v>
      </c>
      <c r="F87" s="7">
        <f>'Monthly Spending'!I77</f>
        <v>1288.6528379404172</v>
      </c>
      <c r="G87" s="7">
        <f t="shared" si="0"/>
        <v>298.93308883300091</v>
      </c>
      <c r="H87" s="7">
        <f t="shared" si="1"/>
        <v>3252.1359081207588</v>
      </c>
      <c r="I87" s="7">
        <f t="shared" si="2"/>
        <v>2750</v>
      </c>
      <c r="J87" s="7">
        <f t="shared" si="3"/>
        <v>-502.13590812075881</v>
      </c>
      <c r="K87" s="7">
        <f t="shared" si="4"/>
        <v>0</v>
      </c>
      <c r="L87" s="7">
        <f t="shared" si="5"/>
        <v>0</v>
      </c>
      <c r="M87" s="7">
        <f t="shared" si="6"/>
        <v>0</v>
      </c>
      <c r="N87" s="7">
        <f t="shared" si="7"/>
        <v>502.13590812075881</v>
      </c>
      <c r="O87" s="7">
        <f t="shared" si="8"/>
        <v>0</v>
      </c>
      <c r="P87" s="7">
        <f t="shared" si="9"/>
        <v>0</v>
      </c>
      <c r="Q87" s="7">
        <f t="shared" si="10"/>
        <v>19928.872588866729</v>
      </c>
      <c r="R87" s="7">
        <f t="shared" si="11"/>
        <v>20431.008496987488</v>
      </c>
    </row>
    <row r="88" spans="3:18" ht="14.5">
      <c r="C88" s="6">
        <v>58</v>
      </c>
      <c r="D88" s="23">
        <f>'Rent Costs'!E70</f>
        <v>1248.7248120000002</v>
      </c>
      <c r="E88" s="7">
        <f>'Car Loan'!F76</f>
        <v>415.82516934734025</v>
      </c>
      <c r="F88" s="7">
        <f>'Monthly Spending'!I78</f>
        <v>1371.7866612660857</v>
      </c>
      <c r="G88" s="7">
        <f t="shared" si="0"/>
        <v>306.46512745481232</v>
      </c>
      <c r="H88" s="7">
        <f t="shared" si="1"/>
        <v>3342.8017700682385</v>
      </c>
      <c r="I88" s="7">
        <f t="shared" si="2"/>
        <v>2750</v>
      </c>
      <c r="J88" s="7">
        <f t="shared" si="3"/>
        <v>-592.80177006823851</v>
      </c>
      <c r="K88" s="7">
        <f t="shared" si="4"/>
        <v>0</v>
      </c>
      <c r="L88" s="7">
        <f t="shared" si="5"/>
        <v>0</v>
      </c>
      <c r="M88" s="7">
        <f t="shared" si="6"/>
        <v>0</v>
      </c>
      <c r="N88" s="7">
        <f t="shared" si="7"/>
        <v>592.80177006823851</v>
      </c>
      <c r="O88" s="7">
        <f t="shared" si="8"/>
        <v>0</v>
      </c>
      <c r="P88" s="7">
        <f t="shared" si="9"/>
        <v>0</v>
      </c>
      <c r="Q88" s="7">
        <f t="shared" si="10"/>
        <v>20431.008496987488</v>
      </c>
      <c r="R88" s="7">
        <f t="shared" si="11"/>
        <v>21023.810267055727</v>
      </c>
    </row>
    <row r="89" spans="3:18" ht="14.5">
      <c r="C89" s="6">
        <v>59</v>
      </c>
      <c r="D89" s="23">
        <f>'Rent Costs'!E71</f>
        <v>1248.7248120000002</v>
      </c>
      <c r="E89" s="7">
        <f>'Car Loan'!F77</f>
        <v>415.82516934734025</v>
      </c>
      <c r="F89" s="7">
        <f>'Monthly Spending'!I79</f>
        <v>1534.5614999611457</v>
      </c>
      <c r="G89" s="7">
        <f t="shared" si="0"/>
        <v>315.35715400583592</v>
      </c>
      <c r="H89" s="7">
        <f t="shared" si="1"/>
        <v>3514.468635314322</v>
      </c>
      <c r="I89" s="7">
        <f t="shared" si="2"/>
        <v>2750</v>
      </c>
      <c r="J89" s="7">
        <f t="shared" si="3"/>
        <v>-764.468635314322</v>
      </c>
      <c r="K89" s="7">
        <f t="shared" si="4"/>
        <v>0</v>
      </c>
      <c r="L89" s="7">
        <f t="shared" si="5"/>
        <v>0</v>
      </c>
      <c r="M89" s="7">
        <f t="shared" si="6"/>
        <v>0</v>
      </c>
      <c r="N89" s="7">
        <f t="shared" si="7"/>
        <v>764.468635314322</v>
      </c>
      <c r="O89" s="7">
        <f t="shared" si="8"/>
        <v>0</v>
      </c>
      <c r="P89" s="7">
        <f t="shared" si="9"/>
        <v>0</v>
      </c>
      <c r="Q89" s="7">
        <f t="shared" si="10"/>
        <v>21023.810267055727</v>
      </c>
      <c r="R89" s="7">
        <f t="shared" si="11"/>
        <v>21788.27890237005</v>
      </c>
    </row>
    <row r="90" spans="3:18" ht="14.5">
      <c r="C90" s="6">
        <v>60</v>
      </c>
      <c r="D90" s="23">
        <f>'Rent Costs'!E72</f>
        <v>1248.7248120000002</v>
      </c>
      <c r="E90" s="7">
        <f>'Car Loan'!F78</f>
        <v>415.82516934734025</v>
      </c>
      <c r="F90" s="7">
        <f>'Monthly Spending'!I80</f>
        <v>2063.4842437621874</v>
      </c>
      <c r="G90" s="7">
        <f t="shared" si="0"/>
        <v>326.82418353555073</v>
      </c>
      <c r="H90" s="7">
        <f t="shared" si="1"/>
        <v>4054.8584086450787</v>
      </c>
      <c r="I90" s="7">
        <f t="shared" si="2"/>
        <v>2750</v>
      </c>
      <c r="J90" s="7">
        <f t="shared" si="3"/>
        <v>-1304.8584086450787</v>
      </c>
      <c r="K90" s="7">
        <f t="shared" si="4"/>
        <v>0</v>
      </c>
      <c r="L90" s="7">
        <f t="shared" si="5"/>
        <v>0</v>
      </c>
      <c r="M90" s="7">
        <f t="shared" si="6"/>
        <v>0</v>
      </c>
      <c r="N90" s="7">
        <f t="shared" si="7"/>
        <v>1304.8584086450787</v>
      </c>
      <c r="O90" s="7">
        <f t="shared" si="8"/>
        <v>0</v>
      </c>
      <c r="P90" s="7">
        <f t="shared" si="9"/>
        <v>0</v>
      </c>
      <c r="Q90" s="7">
        <f t="shared" si="10"/>
        <v>21788.27890237005</v>
      </c>
      <c r="R90" s="7">
        <f t="shared" si="11"/>
        <v>23093.137311015129</v>
      </c>
    </row>
    <row r="91" spans="3:18" ht="14.5">
      <c r="C91" s="6"/>
      <c r="D91" s="23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</row>
    <row r="92" spans="3:18" ht="14.5" hidden="1">
      <c r="C92" s="6"/>
      <c r="D92" s="23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</row>
    <row r="93" spans="3:18" ht="14.5" hidden="1">
      <c r="C93" s="6"/>
      <c r="D93" s="23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</row>
    <row r="94" spans="3:18" ht="14.5" hidden="1">
      <c r="C94" s="6"/>
      <c r="D94" s="23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</row>
    <row r="95" spans="3:18" ht="14.5" hidden="1">
      <c r="C95" s="6"/>
      <c r="D95" s="23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</row>
    <row r="96" spans="3:18" ht="14.5" hidden="1">
      <c r="C96" s="6"/>
      <c r="D96" s="23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</row>
    <row r="97" spans="3:18" ht="14.5" hidden="1">
      <c r="C97" s="6"/>
      <c r="D97" s="23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</row>
    <row r="98" spans="3:18" ht="14.5" hidden="1">
      <c r="C98" s="6"/>
      <c r="D98" s="23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</row>
    <row r="99" spans="3:18" ht="14.5" hidden="1">
      <c r="C99" s="6"/>
      <c r="D99" s="23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</row>
    <row r="100" spans="3:18" ht="14.5" hidden="1">
      <c r="C100" s="6"/>
      <c r="D100" s="23"/>
      <c r="E100" s="7"/>
      <c r="F100" s="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7"/>
    </row>
    <row r="101" spans="3:18" ht="14.5" hidden="1">
      <c r="C101" s="6"/>
      <c r="D101" s="23"/>
      <c r="E101" s="7"/>
      <c r="F101" s="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7"/>
    </row>
    <row r="102" spans="3:18" ht="14.5" hidden="1">
      <c r="C102" s="6"/>
      <c r="D102" s="23"/>
      <c r="E102" s="7"/>
      <c r="F102" s="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7"/>
    </row>
    <row r="103" spans="3:18" ht="14.5" hidden="1">
      <c r="C103" s="6"/>
      <c r="D103" s="23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7"/>
    </row>
    <row r="104" spans="3:18" ht="14.5" hidden="1">
      <c r="C104" s="6"/>
      <c r="D104" s="23"/>
      <c r="E104" s="7"/>
      <c r="F104" s="7"/>
      <c r="G104" s="7"/>
      <c r="H104" s="7"/>
      <c r="I104" s="7"/>
      <c r="J104" s="7"/>
      <c r="K104" s="7"/>
      <c r="L104" s="7"/>
      <c r="M104" s="7"/>
      <c r="N104" s="7"/>
      <c r="O104" s="7"/>
      <c r="P104" s="7"/>
      <c r="Q104" s="7"/>
      <c r="R104" s="7"/>
    </row>
    <row r="105" spans="3:18" ht="14.5" hidden="1">
      <c r="C105" s="6"/>
      <c r="D105" s="23"/>
      <c r="E105" s="7"/>
      <c r="F105" s="7"/>
      <c r="G105" s="7"/>
      <c r="H105" s="7"/>
      <c r="I105" s="7"/>
      <c r="J105" s="7"/>
      <c r="K105" s="7"/>
      <c r="L105" s="7"/>
      <c r="M105" s="7"/>
      <c r="N105" s="7"/>
      <c r="O105" s="7"/>
      <c r="P105" s="7"/>
      <c r="Q105" s="7"/>
      <c r="R105" s="7"/>
    </row>
    <row r="106" spans="3:18" ht="14.5" hidden="1">
      <c r="C106" s="6"/>
      <c r="D106" s="23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  <row r="107" spans="3:18" ht="14.5" hidden="1">
      <c r="C107" s="6"/>
      <c r="D107" s="23"/>
      <c r="E107" s="7"/>
      <c r="F107" s="7"/>
      <c r="G107" s="7"/>
      <c r="H107" s="7"/>
      <c r="I107" s="7"/>
      <c r="J107" s="7"/>
      <c r="K107" s="7"/>
      <c r="L107" s="7"/>
      <c r="M107" s="7"/>
      <c r="N107" s="7"/>
      <c r="O107" s="7"/>
      <c r="P107" s="7"/>
      <c r="Q107" s="7"/>
      <c r="R107" s="7"/>
    </row>
    <row r="108" spans="3:18" ht="14.5" hidden="1">
      <c r="C108" s="6"/>
      <c r="D108" s="23"/>
      <c r="E108" s="7"/>
      <c r="F108" s="7"/>
      <c r="G108" s="7"/>
      <c r="H108" s="7"/>
      <c r="I108" s="7"/>
      <c r="J108" s="7"/>
      <c r="K108" s="7"/>
      <c r="L108" s="7"/>
      <c r="M108" s="7"/>
      <c r="N108" s="7"/>
      <c r="O108" s="7"/>
      <c r="P108" s="7"/>
      <c r="Q108" s="7"/>
      <c r="R108" s="7"/>
    </row>
    <row r="109" spans="3:18" ht="14.5" hidden="1">
      <c r="C109" s="6"/>
      <c r="D109" s="23"/>
      <c r="E109" s="7"/>
      <c r="F109" s="7"/>
      <c r="G109" s="7"/>
      <c r="H109" s="7"/>
      <c r="I109" s="7"/>
      <c r="J109" s="7"/>
      <c r="K109" s="7"/>
      <c r="L109" s="7"/>
      <c r="M109" s="7"/>
      <c r="N109" s="7"/>
      <c r="O109" s="7"/>
      <c r="P109" s="7"/>
      <c r="Q109" s="7"/>
      <c r="R109" s="7"/>
    </row>
    <row r="110" spans="3:18" ht="14.5" hidden="1">
      <c r="C110" s="6"/>
      <c r="D110" s="23"/>
      <c r="E110" s="7"/>
      <c r="F110" s="7"/>
      <c r="G110" s="7"/>
      <c r="H110" s="7"/>
      <c r="I110" s="7"/>
      <c r="J110" s="7"/>
      <c r="K110" s="7"/>
      <c r="L110" s="7"/>
      <c r="M110" s="7"/>
      <c r="N110" s="7"/>
      <c r="O110" s="7"/>
      <c r="P110" s="7"/>
      <c r="Q110" s="7"/>
      <c r="R110" s="7"/>
    </row>
    <row r="111" spans="3:18" ht="14.5" hidden="1">
      <c r="C111" s="6"/>
      <c r="D111" s="23"/>
      <c r="E111" s="7"/>
      <c r="F111" s="7"/>
      <c r="G111" s="7"/>
      <c r="H111" s="7"/>
      <c r="I111" s="7"/>
      <c r="J111" s="7"/>
      <c r="K111" s="7"/>
      <c r="L111" s="7"/>
      <c r="M111" s="7"/>
      <c r="N111" s="7"/>
      <c r="O111" s="7"/>
      <c r="P111" s="7"/>
      <c r="Q111" s="7"/>
      <c r="R111" s="7"/>
    </row>
    <row r="112" spans="3:18" ht="14.5" hidden="1">
      <c r="C112" s="6"/>
      <c r="D112" s="23"/>
      <c r="E112" s="7"/>
      <c r="F112" s="7"/>
      <c r="G112" s="7"/>
      <c r="H112" s="7"/>
      <c r="I112" s="7"/>
      <c r="J112" s="7"/>
      <c r="K112" s="7"/>
      <c r="L112" s="7"/>
      <c r="M112" s="7"/>
      <c r="N112" s="7"/>
      <c r="O112" s="7"/>
      <c r="P112" s="7"/>
      <c r="Q112" s="7"/>
      <c r="R112" s="7"/>
    </row>
    <row r="113" spans="3:18" ht="14.5" hidden="1">
      <c r="C113" s="6"/>
      <c r="D113" s="23"/>
      <c r="E113" s="7"/>
      <c r="F113" s="7"/>
      <c r="G113" s="7"/>
      <c r="H113" s="7"/>
      <c r="I113" s="7"/>
      <c r="J113" s="7"/>
      <c r="K113" s="7"/>
      <c r="L113" s="7"/>
      <c r="M113" s="7"/>
      <c r="N113" s="7"/>
      <c r="O113" s="7"/>
      <c r="P113" s="7"/>
      <c r="Q113" s="7"/>
      <c r="R113" s="7"/>
    </row>
    <row r="114" spans="3:18" ht="14.5" hidden="1">
      <c r="C114" s="6"/>
      <c r="D114" s="23"/>
      <c r="E114" s="7"/>
      <c r="F114" s="7"/>
      <c r="G114" s="7"/>
      <c r="H114" s="7"/>
      <c r="I114" s="7"/>
      <c r="J114" s="7"/>
      <c r="K114" s="7"/>
      <c r="L114" s="7"/>
      <c r="M114" s="7"/>
      <c r="N114" s="7"/>
      <c r="O114" s="7"/>
      <c r="P114" s="7"/>
      <c r="Q114" s="7"/>
      <c r="R114" s="7"/>
    </row>
    <row r="115" spans="3:18" ht="14.5" hidden="1">
      <c r="C115" s="6"/>
      <c r="D115" s="23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</row>
    <row r="116" spans="3:18" ht="14.5" hidden="1">
      <c r="C116" s="6"/>
      <c r="D116" s="23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</row>
    <row r="117" spans="3:18" ht="14.5" hidden="1">
      <c r="C117" s="6"/>
      <c r="D117" s="23"/>
      <c r="E117" s="7"/>
      <c r="F117" s="7"/>
      <c r="G117" s="7"/>
      <c r="H117" s="7"/>
      <c r="I117" s="7"/>
      <c r="J117" s="7"/>
      <c r="K117" s="7"/>
      <c r="L117" s="7"/>
      <c r="M117" s="7"/>
      <c r="N117" s="7"/>
      <c r="O117" s="7"/>
      <c r="P117" s="7"/>
      <c r="Q117" s="7"/>
      <c r="R117" s="7"/>
    </row>
    <row r="118" spans="3:18" ht="14.5" hidden="1">
      <c r="C118" s="6"/>
      <c r="D118" s="23"/>
      <c r="E118" s="7"/>
      <c r="F118" s="7"/>
      <c r="G118" s="7"/>
      <c r="H118" s="7"/>
      <c r="I118" s="7"/>
      <c r="J118" s="7"/>
      <c r="K118" s="7"/>
      <c r="L118" s="7"/>
      <c r="M118" s="7"/>
      <c r="N118" s="7"/>
      <c r="O118" s="7"/>
      <c r="P118" s="7"/>
      <c r="Q118" s="7"/>
      <c r="R118" s="7"/>
    </row>
    <row r="119" spans="3:18" ht="14.5" hidden="1">
      <c r="C119" s="6"/>
      <c r="D119" s="23"/>
      <c r="E119" s="7"/>
      <c r="F119" s="7"/>
      <c r="G119" s="7"/>
      <c r="H119" s="7"/>
      <c r="I119" s="7"/>
      <c r="J119" s="7"/>
      <c r="K119" s="7"/>
      <c r="L119" s="7"/>
      <c r="M119" s="7"/>
      <c r="N119" s="7"/>
      <c r="O119" s="7"/>
      <c r="P119" s="7"/>
      <c r="Q119" s="7"/>
      <c r="R119" s="7"/>
    </row>
    <row r="120" spans="3:18" ht="14.5" hidden="1">
      <c r="C120" s="6"/>
      <c r="D120" s="23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  <c r="P120" s="7"/>
      <c r="Q120" s="7"/>
      <c r="R120" s="7"/>
    </row>
    <row r="121" spans="3:18" ht="14.5" hidden="1">
      <c r="C121" s="6"/>
      <c r="D121" s="23"/>
      <c r="E121" s="7"/>
      <c r="F121" s="7"/>
      <c r="G121" s="7"/>
      <c r="H121" s="7"/>
      <c r="I121" s="7"/>
      <c r="J121" s="7"/>
      <c r="K121" s="7"/>
      <c r="L121" s="7"/>
      <c r="M121" s="7"/>
      <c r="N121" s="7"/>
      <c r="O121" s="7"/>
      <c r="P121" s="7"/>
      <c r="Q121" s="7"/>
      <c r="R121" s="7"/>
    </row>
    <row r="122" spans="3:18" ht="14.5" hidden="1">
      <c r="C122" s="6"/>
      <c r="D122" s="23"/>
      <c r="E122" s="7"/>
      <c r="F122" s="7"/>
      <c r="G122" s="7"/>
      <c r="H122" s="7"/>
      <c r="I122" s="7"/>
      <c r="J122" s="7"/>
      <c r="K122" s="7"/>
      <c r="L122" s="7"/>
      <c r="M122" s="7"/>
      <c r="N122" s="7"/>
      <c r="O122" s="7"/>
      <c r="P122" s="7"/>
      <c r="Q122" s="7"/>
      <c r="R122" s="7"/>
    </row>
    <row r="123" spans="3:18" ht="14.5" hidden="1">
      <c r="C123" s="6"/>
      <c r="D123" s="23"/>
      <c r="E123" s="7"/>
      <c r="F123" s="7"/>
      <c r="G123" s="7"/>
      <c r="H123" s="7"/>
      <c r="I123" s="7"/>
      <c r="J123" s="7"/>
      <c r="K123" s="7"/>
      <c r="L123" s="7"/>
      <c r="M123" s="7"/>
      <c r="N123" s="7"/>
      <c r="O123" s="7"/>
      <c r="P123" s="7"/>
      <c r="Q123" s="7"/>
      <c r="R123" s="7"/>
    </row>
    <row r="124" spans="3:18" ht="14.5" hidden="1">
      <c r="C124" s="6"/>
      <c r="D124" s="23"/>
      <c r="E124" s="7"/>
      <c r="F124" s="7"/>
      <c r="G124" s="7"/>
      <c r="H124" s="7"/>
      <c r="I124" s="7"/>
      <c r="J124" s="7"/>
      <c r="K124" s="7"/>
      <c r="L124" s="7"/>
      <c r="M124" s="7"/>
      <c r="N124" s="7"/>
      <c r="O124" s="7"/>
      <c r="P124" s="7"/>
      <c r="Q124" s="7"/>
      <c r="R124" s="7"/>
    </row>
    <row r="125" spans="3:18" ht="14.5" hidden="1">
      <c r="C125" s="6"/>
      <c r="D125" s="23"/>
      <c r="E125" s="7"/>
      <c r="F125" s="7"/>
      <c r="G125" s="7"/>
      <c r="H125" s="7"/>
      <c r="I125" s="7"/>
      <c r="J125" s="7"/>
      <c r="K125" s="7"/>
      <c r="L125" s="7"/>
      <c r="M125" s="7"/>
      <c r="N125" s="7"/>
      <c r="O125" s="7"/>
      <c r="P125" s="7"/>
      <c r="Q125" s="7"/>
      <c r="R125" s="7"/>
    </row>
    <row r="126" spans="3:18" ht="14.5" hidden="1">
      <c r="C126" s="6"/>
      <c r="D126" s="23"/>
      <c r="E126" s="7"/>
      <c r="F126" s="7"/>
      <c r="G126" s="7"/>
      <c r="H126" s="7"/>
      <c r="I126" s="7"/>
      <c r="J126" s="7"/>
      <c r="K126" s="7"/>
      <c r="L126" s="7"/>
      <c r="M126" s="7"/>
      <c r="N126" s="7"/>
      <c r="O126" s="7"/>
      <c r="P126" s="7"/>
      <c r="Q126" s="7"/>
      <c r="R126" s="7"/>
    </row>
    <row r="127" spans="3:18" ht="14.5" hidden="1">
      <c r="C127" s="6"/>
      <c r="D127" s="23"/>
      <c r="E127" s="7"/>
      <c r="F127" s="7"/>
      <c r="G127" s="7"/>
      <c r="H127" s="7"/>
      <c r="I127" s="7"/>
      <c r="J127" s="7"/>
      <c r="K127" s="7"/>
      <c r="L127" s="7"/>
      <c r="M127" s="7"/>
      <c r="N127" s="7"/>
      <c r="O127" s="7"/>
      <c r="P127" s="7"/>
      <c r="Q127" s="7"/>
      <c r="R127" s="7"/>
    </row>
    <row r="128" spans="3:18" ht="14.5" hidden="1">
      <c r="C128" s="6"/>
      <c r="D128" s="23"/>
      <c r="E128" s="7"/>
      <c r="F128" s="7"/>
      <c r="G128" s="7"/>
      <c r="H128" s="7"/>
      <c r="I128" s="7"/>
      <c r="J128" s="7"/>
      <c r="K128" s="7"/>
      <c r="L128" s="7"/>
      <c r="M128" s="7"/>
      <c r="N128" s="7"/>
      <c r="O128" s="7"/>
      <c r="P128" s="7"/>
      <c r="Q128" s="7"/>
      <c r="R128" s="7"/>
    </row>
    <row r="129" spans="3:18" ht="14.5" hidden="1">
      <c r="C129" s="6"/>
      <c r="D129" s="23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  <c r="P129" s="7"/>
      <c r="Q129" s="7"/>
      <c r="R129" s="7"/>
    </row>
    <row r="130" spans="3:18" ht="14.5" hidden="1">
      <c r="C130" s="6"/>
      <c r="D130" s="23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  <c r="Q130" s="7"/>
      <c r="R130" s="7"/>
    </row>
    <row r="131" spans="3:18" ht="14.5" hidden="1">
      <c r="C131" s="6"/>
      <c r="D131" s="23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</row>
    <row r="132" spans="3:18" ht="14.5" hidden="1">
      <c r="C132" s="6"/>
      <c r="D132" s="23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  <c r="Q132" s="7"/>
      <c r="R132" s="7"/>
    </row>
    <row r="133" spans="3:18" ht="14.5" hidden="1">
      <c r="C133" s="6"/>
      <c r="D133" s="23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  <c r="Q133" s="7"/>
      <c r="R133" s="7"/>
    </row>
    <row r="134" spans="3:18" ht="14.5" hidden="1">
      <c r="C134" s="6"/>
      <c r="D134" s="23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  <c r="Q134" s="7"/>
      <c r="R134" s="7"/>
    </row>
    <row r="135" spans="3:18" ht="14.5" hidden="1">
      <c r="C135" s="6"/>
      <c r="D135" s="23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  <c r="Q135" s="7"/>
      <c r="R135" s="7"/>
    </row>
    <row r="136" spans="3:18" ht="14.5" hidden="1">
      <c r="C136" s="6"/>
      <c r="D136" s="23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  <c r="Q136" s="7"/>
      <c r="R136" s="7"/>
    </row>
    <row r="137" spans="3:18" ht="14.5" hidden="1">
      <c r="C137" s="6"/>
      <c r="D137" s="23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  <c r="Q137" s="7"/>
      <c r="R137" s="7"/>
    </row>
    <row r="138" spans="3:18" ht="14.5" hidden="1">
      <c r="C138" s="6"/>
      <c r="D138" s="23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  <c r="Q138" s="7"/>
      <c r="R138" s="7"/>
    </row>
    <row r="139" spans="3:18" ht="14.5" hidden="1">
      <c r="C139" s="6"/>
      <c r="D139" s="23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  <c r="Q139" s="7"/>
      <c r="R139" s="7"/>
    </row>
    <row r="140" spans="3:18" ht="14.5" hidden="1">
      <c r="C140" s="6"/>
      <c r="D140" s="23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  <c r="Q140" s="7"/>
      <c r="R140" s="7"/>
    </row>
    <row r="141" spans="3:18" ht="14.5" hidden="1">
      <c r="C141" s="6"/>
      <c r="D141" s="23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  <c r="Q141" s="7"/>
      <c r="R141" s="7"/>
    </row>
    <row r="142" spans="3:18" ht="14.5" hidden="1">
      <c r="C142" s="6"/>
      <c r="D142" s="23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  <c r="P142" s="7"/>
      <c r="Q142" s="7"/>
      <c r="R142" s="7"/>
    </row>
    <row r="143" spans="3:18" ht="14.5" hidden="1">
      <c r="C143" s="6"/>
      <c r="D143" s="23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  <c r="P143" s="7"/>
      <c r="Q143" s="7"/>
      <c r="R143" s="7"/>
    </row>
    <row r="144" spans="3:18" ht="14.5" hidden="1">
      <c r="C144" s="6"/>
      <c r="D144" s="23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</row>
    <row r="145" spans="3:18" ht="14.5" hidden="1">
      <c r="C145" s="6"/>
      <c r="D145" s="23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</row>
    <row r="146" spans="3:18" ht="14.5" hidden="1">
      <c r="C146" s="6"/>
      <c r="D146" s="23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</row>
    <row r="147" spans="3:18" ht="14.5" hidden="1">
      <c r="C147" s="6"/>
      <c r="D147" s="23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</row>
    <row r="148" spans="3:18" ht="14.5" hidden="1">
      <c r="C148" s="6"/>
      <c r="D148" s="23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</row>
    <row r="149" spans="3:18" ht="14.5" hidden="1">
      <c r="C149" s="6"/>
      <c r="D149" s="23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</row>
    <row r="150" spans="3:18" ht="14.5" hidden="1">
      <c r="C150" s="6"/>
      <c r="D150" s="23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</row>
    <row r="151" spans="3:18" ht="14.5" hidden="1">
      <c r="C151" s="6"/>
      <c r="D151" s="23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</row>
    <row r="152" spans="3:18" ht="14.5" hidden="1">
      <c r="C152" s="6"/>
      <c r="D152" s="23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</row>
    <row r="153" spans="3:18" ht="14.5" hidden="1">
      <c r="C153" s="6"/>
      <c r="D153" s="23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</row>
    <row r="154" spans="3:18" ht="14.5" hidden="1">
      <c r="C154" s="6"/>
      <c r="D154" s="23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</row>
    <row r="155" spans="3:18" ht="14.5" hidden="1">
      <c r="C155" s="6"/>
      <c r="D155" s="23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</row>
    <row r="156" spans="3:18" ht="14.5" hidden="1">
      <c r="C156" s="6"/>
      <c r="D156" s="23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7"/>
      <c r="Q156" s="7"/>
      <c r="R156" s="7"/>
    </row>
    <row r="157" spans="3:18" ht="14.5" hidden="1">
      <c r="C157" s="6"/>
      <c r="D157" s="23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  <c r="P157" s="7"/>
      <c r="Q157" s="7"/>
      <c r="R157" s="7"/>
    </row>
    <row r="158" spans="3:18" ht="14.5" hidden="1">
      <c r="C158" s="6"/>
      <c r="D158" s="23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  <c r="P158" s="7"/>
      <c r="Q158" s="7"/>
      <c r="R158" s="7"/>
    </row>
    <row r="159" spans="3:18" ht="14.5" hidden="1">
      <c r="C159" s="6"/>
      <c r="D159" s="23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  <c r="P159" s="7"/>
      <c r="Q159" s="7"/>
      <c r="R159" s="7"/>
    </row>
    <row r="160" spans="3:18" ht="14.5" hidden="1">
      <c r="C160" s="6"/>
      <c r="D160" s="23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  <c r="P160" s="7"/>
      <c r="Q160" s="7"/>
      <c r="R160" s="7"/>
    </row>
    <row r="161" spans="3:18" ht="14.5" hidden="1">
      <c r="C161" s="6"/>
      <c r="D161" s="23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  <c r="P161" s="7"/>
      <c r="Q161" s="7"/>
      <c r="R161" s="7"/>
    </row>
    <row r="162" spans="3:18" ht="14.5" hidden="1">
      <c r="C162" s="6"/>
      <c r="D162" s="23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  <c r="P162" s="7"/>
      <c r="Q162" s="7"/>
      <c r="R162" s="7"/>
    </row>
    <row r="163" spans="3:18" ht="14.5" hidden="1">
      <c r="C163" s="6"/>
      <c r="D163" s="23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  <c r="P163" s="7"/>
      <c r="Q163" s="7"/>
      <c r="R163" s="7"/>
    </row>
    <row r="164" spans="3:18" ht="14.5" hidden="1">
      <c r="C164" s="6"/>
      <c r="D164" s="23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  <c r="P164" s="7"/>
      <c r="Q164" s="7"/>
      <c r="R164" s="7"/>
    </row>
    <row r="165" spans="3:18" ht="14.5" hidden="1">
      <c r="C165" s="6"/>
      <c r="D165" s="23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  <c r="P165" s="7"/>
      <c r="Q165" s="7"/>
      <c r="R165" s="7"/>
    </row>
    <row r="166" spans="3:18" ht="14.5" hidden="1">
      <c r="C166" s="6"/>
      <c r="D166" s="23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  <c r="P166" s="7"/>
      <c r="Q166" s="7"/>
      <c r="R166" s="7"/>
    </row>
    <row r="167" spans="3:18" ht="14.5" hidden="1">
      <c r="C167" s="6"/>
      <c r="D167" s="23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  <c r="P167" s="7"/>
      <c r="Q167" s="7"/>
      <c r="R167" s="7"/>
    </row>
    <row r="168" spans="3:18" ht="14.5" hidden="1">
      <c r="C168" s="6"/>
      <c r="D168" s="23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  <c r="P168" s="7"/>
      <c r="Q168" s="7"/>
      <c r="R168" s="7"/>
    </row>
    <row r="169" spans="3:18" ht="14.5" hidden="1">
      <c r="C169" s="6"/>
      <c r="D169" s="23"/>
      <c r="E169" s="7"/>
      <c r="F169" s="7"/>
      <c r="G169" s="7"/>
      <c r="H169" s="7"/>
      <c r="I169" s="7"/>
      <c r="J169" s="7"/>
      <c r="K169" s="7"/>
      <c r="L169" s="7"/>
      <c r="M169" s="7"/>
      <c r="N169" s="7"/>
      <c r="O169" s="7"/>
      <c r="P169" s="7"/>
      <c r="Q169" s="7"/>
      <c r="R169" s="7"/>
    </row>
    <row r="170" spans="3:18" ht="14.5" hidden="1">
      <c r="C170" s="6"/>
      <c r="D170" s="23"/>
      <c r="E170" s="7"/>
      <c r="F170" s="7"/>
      <c r="G170" s="7"/>
      <c r="H170" s="7"/>
      <c r="I170" s="7"/>
      <c r="J170" s="7"/>
      <c r="K170" s="7"/>
      <c r="L170" s="7"/>
      <c r="M170" s="7"/>
      <c r="N170" s="7"/>
      <c r="O170" s="7"/>
      <c r="P170" s="7"/>
      <c r="Q170" s="7"/>
      <c r="R170" s="7"/>
    </row>
    <row r="171" spans="3:18" ht="14.5" hidden="1">
      <c r="C171" s="6"/>
      <c r="D171" s="23"/>
      <c r="E171" s="7"/>
      <c r="F171" s="7"/>
      <c r="G171" s="7"/>
      <c r="H171" s="7"/>
      <c r="I171" s="7"/>
      <c r="J171" s="7"/>
      <c r="K171" s="7"/>
      <c r="L171" s="7"/>
      <c r="M171" s="7"/>
      <c r="N171" s="7"/>
      <c r="O171" s="7"/>
      <c r="P171" s="7"/>
      <c r="Q171" s="7"/>
      <c r="R171" s="7"/>
    </row>
    <row r="172" spans="3:18" ht="14.5" hidden="1">
      <c r="C172" s="6"/>
      <c r="D172" s="23"/>
      <c r="E172" s="7"/>
      <c r="F172" s="7"/>
      <c r="G172" s="7"/>
      <c r="H172" s="7"/>
      <c r="I172" s="7"/>
      <c r="J172" s="7"/>
      <c r="K172" s="7"/>
      <c r="L172" s="7"/>
      <c r="M172" s="7"/>
      <c r="N172" s="7"/>
      <c r="O172" s="7"/>
      <c r="P172" s="7"/>
      <c r="Q172" s="7"/>
      <c r="R172" s="7"/>
    </row>
    <row r="173" spans="3:18" ht="14.5" hidden="1">
      <c r="C173" s="6"/>
      <c r="D173" s="23"/>
      <c r="E173" s="7"/>
      <c r="F173" s="7"/>
      <c r="G173" s="7"/>
      <c r="H173" s="7"/>
      <c r="I173" s="7"/>
      <c r="J173" s="7"/>
      <c r="K173" s="7"/>
      <c r="L173" s="7"/>
      <c r="M173" s="7"/>
      <c r="N173" s="7"/>
      <c r="O173" s="7"/>
      <c r="P173" s="7"/>
      <c r="Q173" s="7"/>
      <c r="R173" s="7"/>
    </row>
    <row r="174" spans="3:18" ht="14.5" hidden="1">
      <c r="C174" s="6"/>
      <c r="D174" s="23"/>
      <c r="E174" s="7"/>
      <c r="F174" s="7"/>
      <c r="G174" s="7"/>
      <c r="H174" s="7"/>
      <c r="I174" s="7"/>
      <c r="J174" s="7"/>
      <c r="K174" s="7"/>
      <c r="L174" s="7"/>
      <c r="M174" s="7"/>
      <c r="N174" s="7"/>
      <c r="O174" s="7"/>
      <c r="P174" s="7"/>
      <c r="Q174" s="7"/>
      <c r="R174" s="7"/>
    </row>
    <row r="175" spans="3:18" ht="14.5" hidden="1">
      <c r="C175" s="6"/>
      <c r="D175" s="23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7"/>
      <c r="R175" s="7"/>
    </row>
    <row r="176" spans="3:18" ht="14.5" hidden="1">
      <c r="C176" s="6"/>
      <c r="D176" s="23"/>
      <c r="E176" s="7"/>
      <c r="F176" s="7"/>
      <c r="G176" s="7"/>
      <c r="H176" s="7"/>
      <c r="I176" s="7"/>
      <c r="J176" s="7"/>
      <c r="K176" s="7"/>
      <c r="L176" s="7"/>
      <c r="M176" s="7"/>
      <c r="N176" s="7"/>
      <c r="O176" s="7"/>
      <c r="P176" s="7"/>
      <c r="Q176" s="7"/>
      <c r="R176" s="7"/>
    </row>
    <row r="177" spans="3:18" ht="14.5" hidden="1">
      <c r="C177" s="6"/>
      <c r="D177" s="23"/>
      <c r="E177" s="7"/>
      <c r="F177" s="7"/>
      <c r="G177" s="7"/>
      <c r="H177" s="7"/>
      <c r="I177" s="7"/>
      <c r="J177" s="7"/>
      <c r="K177" s="7"/>
      <c r="L177" s="7"/>
      <c r="M177" s="7"/>
      <c r="N177" s="7"/>
      <c r="O177" s="7"/>
      <c r="P177" s="7"/>
      <c r="Q177" s="7"/>
      <c r="R177" s="7"/>
    </row>
    <row r="178" spans="3:18" ht="14.5" hidden="1">
      <c r="C178" s="6"/>
      <c r="D178" s="23"/>
      <c r="E178" s="7"/>
      <c r="F178" s="7"/>
      <c r="G178" s="7"/>
      <c r="H178" s="7"/>
      <c r="I178" s="7"/>
      <c r="J178" s="7"/>
      <c r="K178" s="7"/>
      <c r="L178" s="7"/>
      <c r="M178" s="7"/>
      <c r="N178" s="7"/>
      <c r="O178" s="7"/>
      <c r="P178" s="7"/>
      <c r="Q178" s="7"/>
      <c r="R178" s="7"/>
    </row>
    <row r="179" spans="3:18" ht="14.5" hidden="1">
      <c r="C179" s="6"/>
      <c r="D179" s="23"/>
      <c r="E179" s="7"/>
      <c r="F179" s="7"/>
      <c r="G179" s="7"/>
      <c r="H179" s="7"/>
      <c r="I179" s="7"/>
      <c r="J179" s="7"/>
      <c r="K179" s="7"/>
      <c r="L179" s="7"/>
      <c r="M179" s="7"/>
      <c r="N179" s="7"/>
      <c r="O179" s="7"/>
      <c r="P179" s="7"/>
      <c r="Q179" s="7"/>
      <c r="R179" s="7"/>
    </row>
    <row r="180" spans="3:18" ht="14.5" hidden="1">
      <c r="C180" s="6"/>
      <c r="D180" s="23"/>
      <c r="E180" s="7"/>
      <c r="F180" s="7"/>
      <c r="G180" s="7"/>
      <c r="H180" s="7"/>
      <c r="I180" s="7"/>
      <c r="J180" s="7"/>
      <c r="K180" s="7"/>
      <c r="L180" s="7"/>
      <c r="M180" s="7"/>
      <c r="N180" s="7"/>
      <c r="O180" s="7"/>
      <c r="P180" s="7"/>
      <c r="Q180" s="7"/>
      <c r="R180" s="7"/>
    </row>
    <row r="181" spans="3:18" ht="14.5" hidden="1">
      <c r="C181" s="6"/>
      <c r="D181" s="23"/>
      <c r="E181" s="7"/>
      <c r="F181" s="7"/>
      <c r="G181" s="7"/>
      <c r="H181" s="7"/>
      <c r="I181" s="7"/>
      <c r="J181" s="7"/>
      <c r="K181" s="7"/>
      <c r="L181" s="7"/>
      <c r="M181" s="7"/>
      <c r="N181" s="7"/>
      <c r="O181" s="7"/>
      <c r="P181" s="7"/>
      <c r="Q181" s="7"/>
      <c r="R181" s="7"/>
    </row>
    <row r="182" spans="3:18" ht="14.5" hidden="1">
      <c r="C182" s="6"/>
      <c r="D182" s="23"/>
      <c r="E182" s="7"/>
      <c r="F182" s="7"/>
      <c r="G182" s="7"/>
      <c r="H182" s="7"/>
      <c r="I182" s="7"/>
      <c r="J182" s="7"/>
      <c r="K182" s="7"/>
      <c r="L182" s="7"/>
      <c r="M182" s="7"/>
      <c r="N182" s="7"/>
      <c r="O182" s="7"/>
      <c r="P182" s="7"/>
      <c r="Q182" s="7"/>
      <c r="R182" s="7"/>
    </row>
    <row r="183" spans="3:18" ht="14.5" hidden="1">
      <c r="C183" s="6"/>
      <c r="D183" s="23"/>
      <c r="E183" s="7"/>
      <c r="F183" s="7"/>
      <c r="G183" s="7"/>
      <c r="H183" s="7"/>
      <c r="I183" s="7"/>
      <c r="J183" s="7"/>
      <c r="K183" s="7"/>
      <c r="L183" s="7"/>
      <c r="M183" s="7"/>
      <c r="N183" s="7"/>
      <c r="O183" s="7"/>
      <c r="P183" s="7"/>
      <c r="Q183" s="7"/>
      <c r="R183" s="7"/>
    </row>
    <row r="184" spans="3:18" ht="14.5" hidden="1">
      <c r="C184" s="6"/>
      <c r="D184" s="23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</row>
    <row r="185" spans="3:18" ht="14.5" hidden="1">
      <c r="C185" s="6"/>
      <c r="D185" s="23"/>
      <c r="E185" s="7"/>
      <c r="F185" s="7"/>
      <c r="G185" s="7"/>
      <c r="H185" s="7"/>
      <c r="I185" s="7"/>
      <c r="J185" s="7"/>
      <c r="K185" s="7"/>
      <c r="L185" s="7"/>
      <c r="M185" s="7"/>
      <c r="N185" s="7"/>
      <c r="O185" s="7"/>
      <c r="P185" s="7"/>
      <c r="Q185" s="7"/>
      <c r="R185" s="7"/>
    </row>
    <row r="186" spans="3:18" ht="14.5" hidden="1">
      <c r="C186" s="6"/>
      <c r="D186" s="23"/>
      <c r="E186" s="7"/>
      <c r="F186" s="7"/>
      <c r="G186" s="7"/>
      <c r="H186" s="7"/>
      <c r="I186" s="7"/>
      <c r="J186" s="7"/>
      <c r="K186" s="7"/>
      <c r="L186" s="7"/>
      <c r="M186" s="7"/>
      <c r="N186" s="7"/>
      <c r="O186" s="7"/>
      <c r="P186" s="7"/>
      <c r="Q186" s="7"/>
      <c r="R186" s="7"/>
    </row>
    <row r="187" spans="3:18" ht="14.5" hidden="1">
      <c r="C187" s="6"/>
      <c r="D187" s="23"/>
      <c r="E187" s="7"/>
      <c r="F187" s="7"/>
      <c r="G187" s="7"/>
      <c r="H187" s="7"/>
      <c r="I187" s="7"/>
      <c r="J187" s="7"/>
      <c r="K187" s="7"/>
      <c r="L187" s="7"/>
      <c r="M187" s="7"/>
      <c r="N187" s="7"/>
      <c r="O187" s="7"/>
      <c r="P187" s="7"/>
      <c r="Q187" s="7"/>
      <c r="R187" s="7"/>
    </row>
    <row r="188" spans="3:18" ht="14.5" hidden="1">
      <c r="C188" s="6"/>
      <c r="D188" s="23"/>
      <c r="E188" s="7"/>
      <c r="F188" s="7"/>
      <c r="G188" s="7"/>
      <c r="H188" s="7"/>
      <c r="I188" s="7"/>
      <c r="J188" s="7"/>
      <c r="K188" s="7"/>
      <c r="L188" s="7"/>
      <c r="M188" s="7"/>
      <c r="N188" s="7"/>
      <c r="O188" s="7"/>
      <c r="P188" s="7"/>
      <c r="Q188" s="7"/>
      <c r="R188" s="7"/>
    </row>
    <row r="189" spans="3:18" ht="14.5" hidden="1">
      <c r="C189" s="6"/>
      <c r="D189" s="23"/>
      <c r="E189" s="7"/>
      <c r="F189" s="7"/>
      <c r="G189" s="7"/>
      <c r="H189" s="7"/>
      <c r="I189" s="7"/>
      <c r="J189" s="7"/>
      <c r="K189" s="7"/>
      <c r="L189" s="7"/>
      <c r="M189" s="7"/>
      <c r="N189" s="7"/>
      <c r="O189" s="7"/>
      <c r="P189" s="7"/>
      <c r="Q189" s="7"/>
      <c r="R189" s="7"/>
    </row>
    <row r="190" spans="3:18" ht="14.5" hidden="1">
      <c r="C190" s="6"/>
      <c r="D190" s="23"/>
      <c r="E190" s="7"/>
      <c r="F190" s="7"/>
      <c r="G190" s="7"/>
      <c r="H190" s="7"/>
      <c r="I190" s="7"/>
      <c r="J190" s="7"/>
      <c r="K190" s="7"/>
      <c r="L190" s="7"/>
      <c r="M190" s="7"/>
      <c r="N190" s="7"/>
      <c r="O190" s="7"/>
      <c r="P190" s="7"/>
      <c r="Q190" s="7"/>
      <c r="R190" s="7"/>
    </row>
    <row r="191" spans="3:18" ht="14.5" hidden="1">
      <c r="C191" s="6"/>
      <c r="D191" s="23"/>
      <c r="E191" s="7"/>
      <c r="F191" s="7"/>
      <c r="G191" s="7"/>
      <c r="H191" s="7"/>
      <c r="I191" s="7"/>
      <c r="J191" s="7"/>
      <c r="K191" s="7"/>
      <c r="L191" s="7"/>
      <c r="M191" s="7"/>
      <c r="N191" s="7"/>
      <c r="O191" s="7"/>
      <c r="P191" s="7"/>
      <c r="Q191" s="7"/>
      <c r="R191" s="7"/>
    </row>
    <row r="192" spans="3:18" ht="14.5" hidden="1">
      <c r="C192" s="6"/>
      <c r="D192" s="23"/>
      <c r="E192" s="7"/>
      <c r="F192" s="7"/>
      <c r="G192" s="7"/>
      <c r="H192" s="7"/>
      <c r="I192" s="7"/>
      <c r="J192" s="7"/>
      <c r="K192" s="7"/>
      <c r="L192" s="7"/>
      <c r="M192" s="7"/>
      <c r="N192" s="7"/>
      <c r="O192" s="7"/>
      <c r="P192" s="7"/>
      <c r="Q192" s="7"/>
      <c r="R192" s="7"/>
    </row>
    <row r="193" spans="3:18" ht="14.5" hidden="1">
      <c r="C193" s="6"/>
      <c r="D193" s="23"/>
      <c r="E193" s="7"/>
      <c r="F193" s="7"/>
      <c r="G193" s="7"/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</row>
    <row r="194" spans="3:18" ht="14.5" hidden="1">
      <c r="C194" s="6"/>
      <c r="D194" s="23"/>
      <c r="E194" s="7"/>
      <c r="F194" s="7"/>
      <c r="G194" s="7"/>
      <c r="H194" s="7"/>
      <c r="I194" s="7"/>
      <c r="J194" s="7"/>
      <c r="K194" s="7"/>
      <c r="L194" s="7"/>
      <c r="M194" s="7"/>
      <c r="N194" s="7"/>
      <c r="O194" s="7"/>
      <c r="P194" s="7"/>
      <c r="Q194" s="7"/>
      <c r="R194" s="7"/>
    </row>
    <row r="195" spans="3:18" ht="14.5" hidden="1">
      <c r="C195" s="6"/>
      <c r="D195" s="23"/>
      <c r="E195" s="7"/>
      <c r="F195" s="7"/>
      <c r="G195" s="7"/>
      <c r="H195" s="7"/>
      <c r="I195" s="7"/>
      <c r="J195" s="7"/>
      <c r="K195" s="7"/>
      <c r="L195" s="7"/>
      <c r="M195" s="7"/>
      <c r="N195" s="7"/>
      <c r="O195" s="7"/>
      <c r="P195" s="7"/>
      <c r="Q195" s="7"/>
      <c r="R195" s="7"/>
    </row>
    <row r="196" spans="3:18" ht="14.5" hidden="1">
      <c r="C196" s="6"/>
      <c r="D196" s="23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</row>
    <row r="197" spans="3:18" ht="14.5" hidden="1">
      <c r="C197" s="6"/>
      <c r="D197" s="23"/>
      <c r="E197" s="7"/>
      <c r="F197" s="7"/>
      <c r="G197" s="7"/>
      <c r="H197" s="7"/>
      <c r="I197" s="7"/>
      <c r="J197" s="7"/>
      <c r="K197" s="7"/>
      <c r="L197" s="7"/>
      <c r="M197" s="7"/>
      <c r="N197" s="7"/>
      <c r="O197" s="7"/>
      <c r="P197" s="7"/>
      <c r="Q197" s="7"/>
      <c r="R197" s="7"/>
    </row>
    <row r="198" spans="3:18" ht="14.5" hidden="1">
      <c r="C198" s="6"/>
      <c r="D198" s="23"/>
      <c r="E198" s="7"/>
      <c r="F198" s="7"/>
      <c r="G198" s="7"/>
      <c r="H198" s="7"/>
      <c r="I198" s="7"/>
      <c r="J198" s="7"/>
      <c r="K198" s="7"/>
      <c r="L198" s="7"/>
      <c r="M198" s="7"/>
      <c r="N198" s="7"/>
      <c r="O198" s="7"/>
      <c r="P198" s="7"/>
      <c r="Q198" s="7"/>
      <c r="R198" s="7"/>
    </row>
    <row r="199" spans="3:18" ht="14.5" hidden="1">
      <c r="C199" s="6"/>
      <c r="D199" s="23"/>
      <c r="E199" s="7"/>
      <c r="F199" s="7"/>
      <c r="G199" s="7"/>
      <c r="H199" s="7"/>
      <c r="I199" s="7"/>
      <c r="J199" s="7"/>
      <c r="K199" s="7"/>
      <c r="L199" s="7"/>
      <c r="M199" s="7"/>
      <c r="N199" s="7"/>
      <c r="O199" s="7"/>
      <c r="P199" s="7"/>
      <c r="Q199" s="7"/>
      <c r="R199" s="7"/>
    </row>
    <row r="200" spans="3:18" ht="14.5" hidden="1">
      <c r="C200" s="6"/>
      <c r="D200" s="23"/>
      <c r="E200" s="7"/>
      <c r="F200" s="7"/>
      <c r="G200" s="7"/>
      <c r="H200" s="7"/>
      <c r="I200" s="7"/>
      <c r="J200" s="7"/>
      <c r="K200" s="7"/>
      <c r="L200" s="7"/>
      <c r="M200" s="7"/>
      <c r="N200" s="7"/>
      <c r="O200" s="7"/>
      <c r="P200" s="7"/>
      <c r="Q200" s="7"/>
      <c r="R200" s="7"/>
    </row>
    <row r="201" spans="3:18" ht="14.5" hidden="1">
      <c r="C201" s="6"/>
      <c r="D201" s="23"/>
      <c r="E201" s="7"/>
      <c r="F201" s="7"/>
      <c r="G201" s="7"/>
      <c r="H201" s="7"/>
      <c r="I201" s="7"/>
      <c r="J201" s="7"/>
      <c r="K201" s="7"/>
      <c r="L201" s="7"/>
      <c r="M201" s="7"/>
      <c r="N201" s="7"/>
      <c r="O201" s="7"/>
      <c r="P201" s="7"/>
      <c r="Q201" s="7"/>
      <c r="R201" s="7"/>
    </row>
    <row r="202" spans="3:18" ht="14.5" hidden="1">
      <c r="C202" s="6"/>
      <c r="D202" s="23"/>
      <c r="E202" s="7"/>
      <c r="F202" s="7"/>
      <c r="G202" s="7"/>
      <c r="H202" s="7"/>
      <c r="I202" s="7"/>
      <c r="J202" s="7"/>
      <c r="K202" s="7"/>
      <c r="L202" s="7"/>
      <c r="M202" s="7"/>
      <c r="N202" s="7"/>
      <c r="O202" s="7"/>
      <c r="P202" s="7"/>
      <c r="Q202" s="7"/>
      <c r="R202" s="7"/>
    </row>
    <row r="203" spans="3:18" ht="14.5" hidden="1">
      <c r="C203" s="6"/>
      <c r="D203" s="23"/>
      <c r="E203" s="7"/>
      <c r="F203" s="7"/>
      <c r="G203" s="7"/>
      <c r="H203" s="7"/>
      <c r="I203" s="7"/>
      <c r="J203" s="7"/>
      <c r="K203" s="7"/>
      <c r="L203" s="7"/>
      <c r="M203" s="7"/>
      <c r="N203" s="7"/>
      <c r="O203" s="7"/>
      <c r="P203" s="7"/>
      <c r="Q203" s="7"/>
      <c r="R203" s="7"/>
    </row>
    <row r="204" spans="3:18" ht="14.5" hidden="1">
      <c r="C204" s="6"/>
      <c r="D204" s="23"/>
      <c r="E204" s="7"/>
      <c r="F204" s="7"/>
      <c r="G204" s="7"/>
      <c r="H204" s="7"/>
      <c r="I204" s="7"/>
      <c r="J204" s="7"/>
      <c r="K204" s="7"/>
      <c r="L204" s="7"/>
      <c r="M204" s="7"/>
      <c r="N204" s="7"/>
      <c r="O204" s="7"/>
      <c r="P204" s="7"/>
      <c r="Q204" s="7"/>
      <c r="R204" s="7"/>
    </row>
    <row r="205" spans="3:18" ht="14.5" hidden="1">
      <c r="C205" s="6"/>
      <c r="D205" s="23"/>
      <c r="E205" s="7"/>
      <c r="F205" s="7"/>
      <c r="G205" s="7"/>
      <c r="H205" s="7"/>
      <c r="I205" s="7"/>
      <c r="J205" s="7"/>
      <c r="K205" s="7"/>
      <c r="L205" s="7"/>
      <c r="M205" s="7"/>
      <c r="N205" s="7"/>
      <c r="O205" s="7"/>
      <c r="P205" s="7"/>
      <c r="Q205" s="7"/>
      <c r="R205" s="7"/>
    </row>
    <row r="206" spans="3:18" ht="14.5" hidden="1">
      <c r="C206" s="6"/>
      <c r="D206" s="23"/>
      <c r="E206" s="7"/>
      <c r="F206" s="7"/>
      <c r="G206" s="7"/>
      <c r="H206" s="7"/>
      <c r="I206" s="7"/>
      <c r="J206" s="7"/>
      <c r="K206" s="7"/>
      <c r="L206" s="7"/>
      <c r="M206" s="7"/>
      <c r="N206" s="7"/>
      <c r="O206" s="7"/>
      <c r="P206" s="7"/>
      <c r="Q206" s="7"/>
      <c r="R206" s="7"/>
    </row>
    <row r="207" spans="3:18" ht="14.5" hidden="1">
      <c r="C207" s="6"/>
      <c r="D207" s="23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</row>
    <row r="208" spans="3:18" ht="14.5" hidden="1">
      <c r="C208" s="6"/>
      <c r="D208" s="23"/>
      <c r="E208" s="7"/>
      <c r="F208" s="7"/>
      <c r="G208" s="7"/>
      <c r="H208" s="7"/>
      <c r="I208" s="7"/>
      <c r="J208" s="7"/>
      <c r="K208" s="7"/>
      <c r="L208" s="7"/>
      <c r="M208" s="7"/>
      <c r="N208" s="7"/>
      <c r="O208" s="7"/>
      <c r="P208" s="7"/>
      <c r="Q208" s="7"/>
      <c r="R208" s="7"/>
    </row>
    <row r="209" spans="3:18" ht="14.5" hidden="1">
      <c r="C209" s="6"/>
      <c r="D209" s="23"/>
      <c r="E209" s="7"/>
      <c r="F209" s="7"/>
      <c r="G209" s="7"/>
      <c r="H209" s="7"/>
      <c r="I209" s="7"/>
      <c r="J209" s="7"/>
      <c r="K209" s="7"/>
      <c r="L209" s="7"/>
      <c r="M209" s="7"/>
      <c r="N209" s="7"/>
      <c r="O209" s="7"/>
      <c r="P209" s="7"/>
      <c r="Q209" s="7"/>
      <c r="R209" s="7"/>
    </row>
    <row r="210" spans="3:18" ht="14.5" hidden="1">
      <c r="C210" s="6"/>
      <c r="D210" s="23"/>
      <c r="E210" s="7"/>
      <c r="F210" s="7"/>
      <c r="G210" s="7"/>
      <c r="H210" s="7"/>
      <c r="I210" s="7"/>
      <c r="J210" s="7"/>
      <c r="K210" s="7"/>
      <c r="L210" s="7"/>
      <c r="M210" s="7"/>
      <c r="N210" s="7"/>
      <c r="O210" s="7"/>
      <c r="P210" s="7"/>
      <c r="Q210" s="7"/>
      <c r="R210" s="7"/>
    </row>
    <row r="211" spans="3:18" ht="14.5" hidden="1">
      <c r="C211" s="6"/>
      <c r="D211" s="23"/>
      <c r="E211" s="7"/>
      <c r="F211" s="7"/>
      <c r="G211" s="7"/>
      <c r="H211" s="7"/>
      <c r="I211" s="7"/>
      <c r="J211" s="7"/>
      <c r="K211" s="7"/>
      <c r="L211" s="7"/>
      <c r="M211" s="7"/>
      <c r="N211" s="7"/>
      <c r="O211" s="7"/>
      <c r="P211" s="7"/>
      <c r="Q211" s="7"/>
      <c r="R211" s="7"/>
    </row>
    <row r="212" spans="3:18" ht="14.5" hidden="1">
      <c r="C212" s="6"/>
      <c r="D212" s="23"/>
      <c r="E212" s="7"/>
      <c r="F212" s="7"/>
      <c r="G212" s="7"/>
      <c r="H212" s="7"/>
      <c r="I212" s="7"/>
      <c r="J212" s="7"/>
      <c r="K212" s="7"/>
      <c r="L212" s="7"/>
      <c r="M212" s="7"/>
      <c r="N212" s="7"/>
      <c r="O212" s="7"/>
      <c r="P212" s="7"/>
      <c r="Q212" s="7"/>
      <c r="R212" s="7"/>
    </row>
    <row r="213" spans="3:18" ht="14.5" hidden="1">
      <c r="C213" s="6"/>
      <c r="D213" s="23"/>
      <c r="E213" s="7"/>
      <c r="F213" s="7"/>
      <c r="G213" s="7"/>
      <c r="H213" s="7"/>
      <c r="I213" s="7"/>
      <c r="J213" s="7"/>
      <c r="K213" s="7"/>
      <c r="L213" s="7"/>
      <c r="M213" s="7"/>
      <c r="N213" s="7"/>
      <c r="O213" s="7"/>
      <c r="P213" s="7"/>
      <c r="Q213" s="7"/>
      <c r="R213" s="7"/>
    </row>
    <row r="214" spans="3:18" ht="14.5" hidden="1">
      <c r="C214" s="6"/>
      <c r="D214" s="23"/>
      <c r="E214" s="7"/>
      <c r="F214" s="7"/>
      <c r="G214" s="7"/>
      <c r="H214" s="7"/>
      <c r="I214" s="7"/>
      <c r="J214" s="7"/>
      <c r="K214" s="7"/>
      <c r="L214" s="7"/>
      <c r="M214" s="7"/>
      <c r="N214" s="7"/>
      <c r="O214" s="7"/>
      <c r="P214" s="7"/>
      <c r="Q214" s="7"/>
      <c r="R214" s="7"/>
    </row>
    <row r="215" spans="3:18" ht="14.5" hidden="1">
      <c r="C215" s="6"/>
      <c r="D215" s="23"/>
      <c r="E215" s="7"/>
      <c r="F215" s="7"/>
      <c r="G215" s="7"/>
      <c r="H215" s="7"/>
      <c r="I215" s="7"/>
      <c r="J215" s="7"/>
      <c r="K215" s="7"/>
      <c r="L215" s="7"/>
      <c r="M215" s="7"/>
      <c r="N215" s="7"/>
      <c r="O215" s="7"/>
      <c r="P215" s="7"/>
      <c r="Q215" s="7"/>
      <c r="R215" s="7"/>
    </row>
    <row r="216" spans="3:18" ht="14.5" hidden="1">
      <c r="C216" s="6"/>
      <c r="D216" s="23"/>
      <c r="E216" s="7"/>
      <c r="F216" s="7"/>
      <c r="G216" s="7"/>
      <c r="H216" s="7"/>
      <c r="I216" s="7"/>
      <c r="J216" s="7"/>
      <c r="K216" s="7"/>
      <c r="L216" s="7"/>
      <c r="M216" s="7"/>
      <c r="N216" s="7"/>
      <c r="O216" s="7"/>
      <c r="P216" s="7"/>
      <c r="Q216" s="7"/>
      <c r="R216" s="7"/>
    </row>
    <row r="217" spans="3:18" ht="14.5" hidden="1">
      <c r="C217" s="6"/>
      <c r="D217" s="23"/>
      <c r="E217" s="7"/>
      <c r="F217" s="7"/>
      <c r="G217" s="7"/>
      <c r="H217" s="7"/>
      <c r="I217" s="7"/>
      <c r="J217" s="7"/>
      <c r="K217" s="7"/>
      <c r="L217" s="7"/>
      <c r="M217" s="7"/>
      <c r="N217" s="7"/>
      <c r="O217" s="7"/>
      <c r="P217" s="7"/>
      <c r="Q217" s="7"/>
      <c r="R217" s="7"/>
    </row>
    <row r="218" spans="3:18" ht="14.5" hidden="1">
      <c r="C218" s="6"/>
      <c r="D218" s="23"/>
      <c r="E218" s="7"/>
      <c r="F218" s="7"/>
      <c r="G218" s="7"/>
      <c r="H218" s="7"/>
      <c r="I218" s="7"/>
      <c r="J218" s="7"/>
      <c r="K218" s="7"/>
      <c r="L218" s="7"/>
      <c r="M218" s="7"/>
      <c r="N218" s="7"/>
      <c r="O218" s="7"/>
      <c r="P218" s="7"/>
      <c r="Q218" s="7"/>
      <c r="R218" s="7"/>
    </row>
    <row r="219" spans="3:18" ht="14.5" hidden="1">
      <c r="C219" s="6"/>
      <c r="D219" s="23"/>
      <c r="E219" s="7"/>
      <c r="F219" s="7"/>
      <c r="G219" s="7"/>
      <c r="H219" s="7"/>
      <c r="I219" s="7"/>
      <c r="J219" s="7"/>
      <c r="K219" s="7"/>
      <c r="L219" s="7"/>
      <c r="M219" s="7"/>
      <c r="N219" s="7"/>
      <c r="O219" s="7"/>
      <c r="P219" s="7"/>
      <c r="Q219" s="7"/>
      <c r="R219" s="7"/>
    </row>
    <row r="220" spans="3:18" ht="14.5" hidden="1">
      <c r="C220" s="6"/>
      <c r="D220" s="23"/>
      <c r="E220" s="7"/>
      <c r="F220" s="7"/>
      <c r="G220" s="7"/>
      <c r="H220" s="7"/>
      <c r="I220" s="7"/>
      <c r="J220" s="7"/>
      <c r="K220" s="7"/>
      <c r="L220" s="7"/>
      <c r="M220" s="7"/>
      <c r="N220" s="7"/>
      <c r="O220" s="7"/>
      <c r="P220" s="7"/>
      <c r="Q220" s="7"/>
      <c r="R220" s="7"/>
    </row>
    <row r="221" spans="3:18" ht="14.5" hidden="1">
      <c r="C221" s="6"/>
      <c r="D221" s="23"/>
      <c r="E221" s="7"/>
      <c r="F221" s="7"/>
      <c r="G221" s="7"/>
      <c r="H221" s="7"/>
      <c r="I221" s="7"/>
      <c r="J221" s="7"/>
      <c r="K221" s="7"/>
      <c r="L221" s="7"/>
      <c r="M221" s="7"/>
      <c r="N221" s="7"/>
      <c r="O221" s="7"/>
      <c r="P221" s="7"/>
      <c r="Q221" s="7"/>
      <c r="R221" s="7"/>
    </row>
    <row r="222" spans="3:18" ht="14.5" hidden="1">
      <c r="C222" s="6"/>
      <c r="D222" s="23"/>
      <c r="E222" s="7"/>
      <c r="F222" s="7"/>
      <c r="G222" s="7"/>
      <c r="H222" s="7"/>
      <c r="I222" s="7"/>
      <c r="J222" s="7"/>
      <c r="K222" s="7"/>
      <c r="L222" s="7"/>
      <c r="M222" s="7"/>
      <c r="N222" s="7"/>
      <c r="O222" s="7"/>
      <c r="P222" s="7"/>
      <c r="Q222" s="7"/>
      <c r="R222" s="7"/>
    </row>
    <row r="223" spans="3:18" ht="14.5" hidden="1">
      <c r="C223" s="6"/>
      <c r="D223" s="23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</row>
    <row r="224" spans="3:18" ht="14.5" hidden="1">
      <c r="C224" s="6"/>
      <c r="D224" s="23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</row>
    <row r="225" spans="3:18" ht="14.5" hidden="1">
      <c r="C225" s="6"/>
      <c r="D225" s="23"/>
      <c r="E225" s="7"/>
      <c r="F225" s="7"/>
      <c r="G225" s="7"/>
      <c r="H225" s="7"/>
      <c r="I225" s="7"/>
      <c r="J225" s="7"/>
      <c r="K225" s="7"/>
      <c r="L225" s="7"/>
      <c r="M225" s="7"/>
      <c r="N225" s="7"/>
      <c r="O225" s="7"/>
      <c r="P225" s="7"/>
      <c r="Q225" s="7"/>
      <c r="R225" s="7"/>
    </row>
    <row r="226" spans="3:18" ht="14.5" hidden="1">
      <c r="C226" s="6"/>
      <c r="D226" s="23"/>
      <c r="E226" s="7"/>
      <c r="F226" s="7"/>
      <c r="G226" s="7"/>
      <c r="H226" s="7"/>
      <c r="I226" s="7"/>
      <c r="J226" s="7"/>
      <c r="K226" s="7"/>
      <c r="L226" s="7"/>
      <c r="M226" s="7"/>
      <c r="N226" s="7"/>
      <c r="O226" s="7"/>
      <c r="P226" s="7"/>
      <c r="Q226" s="7"/>
      <c r="R226" s="7"/>
    </row>
    <row r="227" spans="3:18" ht="14.5" hidden="1">
      <c r="C227" s="6"/>
      <c r="D227" s="23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7"/>
      <c r="P227" s="7"/>
      <c r="Q227" s="7"/>
      <c r="R227" s="7"/>
    </row>
    <row r="228" spans="3:18" ht="14.5" hidden="1">
      <c r="C228" s="6"/>
      <c r="D228" s="23"/>
      <c r="E228" s="7"/>
      <c r="F228" s="7"/>
      <c r="G228" s="7"/>
      <c r="H228" s="7"/>
      <c r="I228" s="7"/>
      <c r="J228" s="7"/>
      <c r="K228" s="7"/>
      <c r="L228" s="7"/>
      <c r="M228" s="7"/>
      <c r="N228" s="7"/>
      <c r="O228" s="7"/>
      <c r="P228" s="7"/>
      <c r="Q228" s="7"/>
      <c r="R228" s="7"/>
    </row>
    <row r="229" spans="3:18" ht="14.5" hidden="1">
      <c r="C229" s="6"/>
      <c r="D229" s="23"/>
      <c r="E229" s="7"/>
      <c r="F229" s="7"/>
      <c r="G229" s="7"/>
      <c r="H229" s="7"/>
      <c r="I229" s="7"/>
      <c r="J229" s="7"/>
      <c r="K229" s="7"/>
      <c r="L229" s="7"/>
      <c r="M229" s="7"/>
      <c r="N229" s="7"/>
      <c r="O229" s="7"/>
      <c r="P229" s="7"/>
      <c r="Q229" s="7"/>
      <c r="R229" s="7"/>
    </row>
    <row r="230" spans="3:18" ht="14.5" hidden="1">
      <c r="C230" s="6"/>
      <c r="D230" s="23"/>
      <c r="E230" s="7"/>
      <c r="F230" s="7"/>
      <c r="G230" s="7"/>
      <c r="H230" s="7"/>
      <c r="I230" s="7"/>
      <c r="J230" s="7"/>
      <c r="K230" s="7"/>
      <c r="L230" s="7"/>
      <c r="M230" s="7"/>
      <c r="N230" s="7"/>
      <c r="O230" s="7"/>
      <c r="P230" s="7"/>
      <c r="Q230" s="7"/>
      <c r="R230" s="7"/>
    </row>
    <row r="231" spans="3:18" ht="14.5" hidden="1">
      <c r="C231" s="6"/>
      <c r="D231" s="23"/>
      <c r="E231" s="7"/>
      <c r="F231" s="7"/>
      <c r="G231" s="7"/>
      <c r="H231" s="7"/>
      <c r="I231" s="7"/>
      <c r="J231" s="7"/>
      <c r="K231" s="7"/>
      <c r="L231" s="7"/>
      <c r="M231" s="7"/>
      <c r="N231" s="7"/>
      <c r="O231" s="7"/>
      <c r="P231" s="7"/>
      <c r="Q231" s="7"/>
      <c r="R231" s="7"/>
    </row>
    <row r="232" spans="3:18" ht="14.5" hidden="1">
      <c r="C232" s="6"/>
      <c r="D232" s="23"/>
      <c r="E232" s="7"/>
      <c r="F232" s="7"/>
      <c r="G232" s="7"/>
      <c r="H232" s="7"/>
      <c r="I232" s="7"/>
      <c r="J232" s="7"/>
      <c r="K232" s="7"/>
      <c r="L232" s="7"/>
      <c r="M232" s="7"/>
      <c r="N232" s="7"/>
      <c r="O232" s="7"/>
      <c r="P232" s="7"/>
      <c r="Q232" s="7"/>
      <c r="R232" s="7"/>
    </row>
    <row r="233" spans="3:18" ht="14.5" hidden="1">
      <c r="C233" s="6"/>
      <c r="D233" s="23"/>
      <c r="E233" s="7"/>
      <c r="F233" s="7"/>
      <c r="G233" s="7"/>
      <c r="H233" s="7"/>
      <c r="I233" s="7"/>
      <c r="J233" s="7"/>
      <c r="K233" s="7"/>
      <c r="L233" s="7"/>
      <c r="M233" s="7"/>
      <c r="N233" s="7"/>
      <c r="O233" s="7"/>
      <c r="P233" s="7"/>
      <c r="Q233" s="7"/>
      <c r="R233" s="7"/>
    </row>
    <row r="234" spans="3:18" ht="14.5" hidden="1">
      <c r="C234" s="6"/>
      <c r="D234" s="23"/>
      <c r="E234" s="7"/>
      <c r="F234" s="7"/>
      <c r="G234" s="7"/>
      <c r="H234" s="7"/>
      <c r="I234" s="7"/>
      <c r="J234" s="7"/>
      <c r="K234" s="7"/>
      <c r="L234" s="7"/>
      <c r="M234" s="7"/>
      <c r="N234" s="7"/>
      <c r="O234" s="7"/>
      <c r="P234" s="7"/>
      <c r="Q234" s="7"/>
      <c r="R234" s="7"/>
    </row>
    <row r="235" spans="3:18" ht="14.5" hidden="1">
      <c r="C235" s="6"/>
      <c r="D235" s="23"/>
      <c r="E235" s="7"/>
      <c r="F235" s="7"/>
      <c r="G235" s="7"/>
      <c r="H235" s="7"/>
      <c r="I235" s="7"/>
      <c r="J235" s="7"/>
      <c r="K235" s="7"/>
      <c r="L235" s="7"/>
      <c r="M235" s="7"/>
      <c r="N235" s="7"/>
      <c r="O235" s="7"/>
      <c r="P235" s="7"/>
      <c r="Q235" s="7"/>
      <c r="R235" s="7"/>
    </row>
    <row r="236" spans="3:18" ht="14.5" hidden="1">
      <c r="C236" s="6"/>
      <c r="D236" s="23"/>
      <c r="E236" s="7"/>
      <c r="F236" s="7"/>
      <c r="G236" s="7"/>
      <c r="H236" s="7"/>
      <c r="I236" s="7"/>
      <c r="J236" s="7"/>
      <c r="K236" s="7"/>
      <c r="L236" s="7"/>
      <c r="M236" s="7"/>
      <c r="N236" s="7"/>
      <c r="O236" s="7"/>
      <c r="P236" s="7"/>
      <c r="Q236" s="7"/>
      <c r="R236" s="7"/>
    </row>
    <row r="237" spans="3:18" ht="14.5" hidden="1">
      <c r="C237" s="6"/>
      <c r="D237" s="23"/>
      <c r="E237" s="7"/>
      <c r="F237" s="7"/>
      <c r="G237" s="7"/>
      <c r="H237" s="7"/>
      <c r="I237" s="7"/>
      <c r="J237" s="7"/>
      <c r="K237" s="7"/>
      <c r="L237" s="7"/>
      <c r="M237" s="7"/>
      <c r="N237" s="7"/>
      <c r="O237" s="7"/>
      <c r="P237" s="7"/>
      <c r="Q237" s="7"/>
      <c r="R237" s="7"/>
    </row>
    <row r="238" spans="3:18" ht="14.5" hidden="1">
      <c r="C238" s="6"/>
      <c r="D238" s="23"/>
      <c r="E238" s="7"/>
      <c r="F238" s="7"/>
      <c r="G238" s="7"/>
      <c r="H238" s="7"/>
      <c r="I238" s="7"/>
      <c r="J238" s="7"/>
      <c r="K238" s="7"/>
      <c r="L238" s="7"/>
      <c r="M238" s="7"/>
      <c r="N238" s="7"/>
      <c r="O238" s="7"/>
      <c r="P238" s="7"/>
      <c r="Q238" s="7"/>
      <c r="R238" s="7"/>
    </row>
    <row r="239" spans="3:18" ht="14.5" hidden="1">
      <c r="C239" s="6"/>
      <c r="D239" s="23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</row>
    <row r="240" spans="3:18" ht="14.5" hidden="1">
      <c r="C240" s="6"/>
      <c r="D240" s="23"/>
      <c r="E240" s="7"/>
      <c r="F240" s="7"/>
      <c r="G240" s="7"/>
      <c r="H240" s="7"/>
      <c r="I240" s="7"/>
      <c r="J240" s="7"/>
      <c r="K240" s="7"/>
      <c r="L240" s="7"/>
      <c r="M240" s="7"/>
      <c r="N240" s="7"/>
      <c r="O240" s="7"/>
      <c r="P240" s="7"/>
      <c r="Q240" s="7"/>
      <c r="R240" s="7"/>
    </row>
    <row r="241" spans="3:18" ht="14.5" hidden="1">
      <c r="C241" s="6"/>
      <c r="D241" s="23"/>
      <c r="E241" s="7"/>
      <c r="F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</row>
    <row r="242" spans="3:18" ht="14.5" hidden="1">
      <c r="C242" s="6"/>
      <c r="D242" s="23"/>
      <c r="E242" s="7"/>
      <c r="F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</row>
    <row r="243" spans="3:18" ht="14.5" hidden="1">
      <c r="C243" s="6"/>
      <c r="D243" s="23"/>
      <c r="E243" s="7"/>
      <c r="F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</row>
    <row r="244" spans="3:18" ht="14.5" hidden="1">
      <c r="C244" s="6"/>
      <c r="D244" s="23"/>
      <c r="E244" s="7"/>
      <c r="F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</row>
    <row r="245" spans="3:18" ht="14.5" hidden="1">
      <c r="C245" s="6"/>
      <c r="D245" s="23"/>
      <c r="E245" s="7"/>
      <c r="F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</row>
    <row r="246" spans="3:18" ht="14.5" hidden="1">
      <c r="C246" s="6"/>
      <c r="D246" s="23"/>
      <c r="E246" s="7"/>
      <c r="F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</row>
    <row r="247" spans="3:18" ht="14.5" hidden="1">
      <c r="C247" s="6"/>
      <c r="D247" s="23"/>
      <c r="E247" s="7"/>
      <c r="F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</row>
    <row r="248" spans="3:18" ht="14.5" hidden="1">
      <c r="C248" s="6"/>
      <c r="D248" s="23"/>
      <c r="E248" s="7"/>
      <c r="F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</row>
    <row r="249" spans="3:18" ht="14.5" hidden="1">
      <c r="C249" s="6"/>
      <c r="D249" s="23"/>
      <c r="E249" s="7"/>
      <c r="F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</row>
    <row r="250" spans="3:18" ht="14.5" hidden="1">
      <c r="C250" s="6"/>
      <c r="D250" s="23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</row>
    <row r="251" spans="3:18" ht="14.5" hidden="1">
      <c r="C251" s="6"/>
      <c r="D251" s="23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</row>
    <row r="252" spans="3:18" ht="14.5" hidden="1">
      <c r="C252" s="6"/>
      <c r="D252" s="23"/>
      <c r="E252" s="7"/>
      <c r="F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</row>
    <row r="253" spans="3:18" ht="14.5" hidden="1">
      <c r="C253" s="6"/>
      <c r="D253" s="23"/>
      <c r="E253" s="7"/>
      <c r="F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</row>
    <row r="254" spans="3:18" ht="14.5" hidden="1">
      <c r="C254" s="6"/>
      <c r="D254" s="23"/>
      <c r="E254" s="7"/>
      <c r="F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</row>
    <row r="255" spans="3:18" ht="14.5" hidden="1">
      <c r="C255" s="6"/>
      <c r="D255" s="23"/>
      <c r="E255" s="7"/>
      <c r="F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</row>
    <row r="256" spans="3:18" ht="14.5" hidden="1">
      <c r="C256" s="6"/>
      <c r="D256" s="23"/>
      <c r="E256" s="7"/>
      <c r="F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</row>
    <row r="257" spans="3:18" ht="14.5" hidden="1">
      <c r="C257" s="6"/>
      <c r="D257" s="2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</row>
    <row r="258" spans="3:18" ht="14.5" hidden="1">
      <c r="C258" s="6"/>
      <c r="D258" s="23"/>
      <c r="E258" s="7"/>
      <c r="F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</row>
    <row r="259" spans="3:18" ht="14.5" hidden="1">
      <c r="C259" s="6"/>
      <c r="D259" s="23"/>
      <c r="E259" s="7"/>
      <c r="F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</row>
    <row r="260" spans="3:18" ht="14.5" hidden="1">
      <c r="C260" s="6"/>
      <c r="D260" s="23"/>
      <c r="E260" s="7"/>
      <c r="F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</row>
    <row r="261" spans="3:18" ht="14.5" hidden="1">
      <c r="C261" s="6"/>
      <c r="D261" s="23"/>
      <c r="E261" s="7"/>
      <c r="F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</row>
    <row r="262" spans="3:18" ht="14.5" hidden="1">
      <c r="C262" s="6"/>
      <c r="D262" s="23"/>
      <c r="E262" s="7"/>
      <c r="F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</row>
    <row r="263" spans="3:18" ht="14.5" hidden="1">
      <c r="C263" s="6"/>
      <c r="D263" s="23"/>
      <c r="E263" s="7"/>
      <c r="F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</row>
    <row r="264" spans="3:18" ht="14.5" hidden="1">
      <c r="C264" s="6"/>
      <c r="D264" s="23"/>
      <c r="E264" s="7"/>
      <c r="F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</row>
    <row r="265" spans="3:18" ht="14.5" hidden="1">
      <c r="C265" s="6"/>
      <c r="D265" s="23"/>
      <c r="E265" s="7"/>
      <c r="F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</row>
    <row r="266" spans="3:18" ht="14.5" hidden="1">
      <c r="C266" s="6"/>
      <c r="D266" s="23"/>
      <c r="E266" s="7"/>
      <c r="F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</row>
    <row r="267" spans="3:18" ht="14.5" hidden="1">
      <c r="C267" s="6"/>
      <c r="D267" s="23"/>
      <c r="E267" s="7"/>
      <c r="F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</row>
    <row r="268" spans="3:18" ht="14.5" hidden="1">
      <c r="C268" s="6"/>
      <c r="D268" s="23"/>
      <c r="E268" s="7"/>
      <c r="F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</row>
    <row r="269" spans="3:18" ht="14.5" hidden="1">
      <c r="C269" s="6"/>
      <c r="D269" s="23"/>
      <c r="E269" s="7"/>
      <c r="F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</row>
    <row r="270" spans="3:18" ht="14.5" hidden="1">
      <c r="C270" s="6"/>
      <c r="D270" s="23"/>
      <c r="E270" s="7"/>
      <c r="F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</row>
    <row r="271" spans="3:18" ht="14.5" hidden="1">
      <c r="C271" s="6"/>
      <c r="D271" s="23"/>
      <c r="E271" s="7"/>
      <c r="F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</row>
    <row r="272" spans="3:18" ht="14.9" hidden="1" customHeight="1">
      <c r="C272" s="6"/>
      <c r="D272" s="23"/>
      <c r="E272" s="7"/>
      <c r="F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</row>
    <row r="273" spans="4:18" ht="0" hidden="1" customHeight="1">
      <c r="D273" s="23"/>
      <c r="E273" s="7"/>
      <c r="F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</row>
    <row r="274" spans="4:18" ht="0" hidden="1" customHeight="1">
      <c r="D274" s="23"/>
      <c r="E274" s="7"/>
      <c r="F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</row>
    <row r="275" spans="4:18" ht="0" hidden="1" customHeight="1">
      <c r="D275" s="23"/>
      <c r="E275" s="7"/>
      <c r="F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</row>
    <row r="276" spans="4:18" ht="0" hidden="1" customHeight="1">
      <c r="D276" s="23"/>
      <c r="E276" s="7"/>
      <c r="F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</row>
    <row r="277" spans="4:18" ht="0" hidden="1" customHeight="1">
      <c r="D277" s="23"/>
      <c r="E277" s="7"/>
      <c r="F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</row>
    <row r="278" spans="4:18" ht="0" hidden="1" customHeight="1">
      <c r="D278" s="23"/>
      <c r="E278" s="7"/>
      <c r="F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</row>
    <row r="279" spans="4:18" ht="0" hidden="1" customHeight="1">
      <c r="D279" s="23"/>
      <c r="E279" s="7"/>
      <c r="F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</row>
    <row r="280" spans="4:18" ht="0" hidden="1" customHeight="1">
      <c r="D280" s="23"/>
      <c r="E280" s="7"/>
      <c r="F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</row>
    <row r="281" spans="4:18" ht="0" hidden="1" customHeight="1">
      <c r="D281" s="23"/>
      <c r="E281" s="7"/>
      <c r="F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</row>
    <row r="282" spans="4:18" ht="0" hidden="1" customHeight="1">
      <c r="D282" s="23"/>
      <c r="E282" s="7"/>
      <c r="F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</row>
    <row r="283" spans="4:18" ht="0" hidden="1" customHeight="1">
      <c r="D283" s="23"/>
      <c r="E283" s="7"/>
      <c r="F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</row>
    <row r="284" spans="4:18" ht="0" hidden="1" customHeight="1">
      <c r="D284" s="23"/>
      <c r="E284" s="7"/>
      <c r="F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</row>
    <row r="285" spans="4:18" ht="0" hidden="1" customHeight="1">
      <c r="D285" s="23"/>
      <c r="E285" s="7"/>
      <c r="F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</row>
    <row r="286" spans="4:18" ht="0" hidden="1" customHeight="1">
      <c r="D286" s="23"/>
      <c r="E286" s="7"/>
      <c r="F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</row>
    <row r="287" spans="4:18" ht="0" hidden="1" customHeight="1">
      <c r="D287" s="23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</row>
    <row r="288" spans="4:18" ht="0" hidden="1" customHeight="1">
      <c r="D288" s="23"/>
      <c r="E288" s="7"/>
      <c r="F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</row>
    <row r="289" spans="4:18" ht="0" hidden="1" customHeight="1">
      <c r="D289" s="23"/>
      <c r="E289" s="7"/>
      <c r="F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</row>
    <row r="290" spans="4:18" ht="0" hidden="1" customHeight="1">
      <c r="D290" s="23"/>
      <c r="E290" s="7"/>
      <c r="F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</row>
    <row r="291" spans="4:18" ht="0" hidden="1" customHeight="1">
      <c r="D291" s="23"/>
      <c r="E291" s="7"/>
      <c r="F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</row>
    <row r="292" spans="4:18" ht="0" hidden="1" customHeight="1">
      <c r="D292" s="23"/>
      <c r="E292" s="7"/>
      <c r="F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</row>
    <row r="293" spans="4:18" ht="0" hidden="1" customHeight="1">
      <c r="D293" s="23"/>
      <c r="E293" s="7"/>
      <c r="F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</row>
    <row r="294" spans="4:18" ht="0" hidden="1" customHeight="1">
      <c r="D294" s="23"/>
      <c r="E294" s="7"/>
      <c r="F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</row>
    <row r="295" spans="4:18" ht="0" hidden="1" customHeight="1">
      <c r="D295" s="23"/>
      <c r="E295" s="7"/>
      <c r="F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</row>
    <row r="296" spans="4:18" ht="0" hidden="1" customHeight="1">
      <c r="D296" s="23"/>
      <c r="E296" s="7"/>
      <c r="F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</row>
    <row r="297" spans="4:18" ht="0" hidden="1" customHeight="1">
      <c r="D297" s="23"/>
      <c r="E297" s="7"/>
      <c r="F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</row>
    <row r="298" spans="4:18" ht="0" hidden="1" customHeight="1">
      <c r="D298" s="23"/>
      <c r="E298" s="7"/>
      <c r="F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</row>
    <row r="299" spans="4:18" ht="0" hidden="1" customHeight="1">
      <c r="D299" s="23"/>
      <c r="E299" s="7"/>
      <c r="F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</row>
    <row r="300" spans="4:18" ht="0" hidden="1" customHeight="1">
      <c r="D300" s="23"/>
      <c r="E300" s="7"/>
      <c r="F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</row>
    <row r="301" spans="4:18" ht="0" hidden="1" customHeight="1">
      <c r="D301" s="23"/>
      <c r="E301" s="7"/>
      <c r="F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</row>
    <row r="302" spans="4:18" ht="0" hidden="1" customHeight="1">
      <c r="D302" s="23"/>
      <c r="E302" s="7"/>
      <c r="F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</row>
    <row r="303" spans="4:18" ht="0" hidden="1" customHeight="1">
      <c r="D303" s="23"/>
      <c r="E303" s="7"/>
      <c r="F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</row>
    <row r="304" spans="4:18" ht="0" hidden="1" customHeight="1">
      <c r="D304" s="23"/>
      <c r="E304" s="7"/>
      <c r="F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</row>
    <row r="305" spans="4:18" ht="0" hidden="1" customHeight="1">
      <c r="D305" s="23"/>
      <c r="E305" s="7"/>
      <c r="F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</row>
    <row r="306" spans="4:18" ht="0" hidden="1" customHeight="1">
      <c r="D306" s="23"/>
      <c r="E306" s="7"/>
      <c r="F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</row>
    <row r="307" spans="4:18" ht="0" hidden="1" customHeight="1">
      <c r="D307" s="23"/>
      <c r="E307" s="7"/>
      <c r="F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</row>
    <row r="308" spans="4:18" ht="0" hidden="1" customHeight="1">
      <c r="D308" s="23"/>
      <c r="E308" s="7"/>
      <c r="F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</row>
    <row r="309" spans="4:18" ht="0" hidden="1" customHeight="1">
      <c r="D309" s="23"/>
      <c r="E309" s="7"/>
      <c r="F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</row>
    <row r="310" spans="4:18" ht="0" hidden="1" customHeight="1">
      <c r="D310" s="23"/>
      <c r="E310" s="7"/>
      <c r="F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</row>
    <row r="311" spans="4:18" ht="0" hidden="1" customHeight="1">
      <c r="D311" s="23"/>
      <c r="E311" s="7"/>
      <c r="F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</row>
    <row r="312" spans="4:18" ht="0" hidden="1" customHeight="1">
      <c r="D312" s="23"/>
      <c r="E312" s="7"/>
      <c r="F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</row>
    <row r="313" spans="4:18" ht="0" hidden="1" customHeight="1">
      <c r="D313" s="23"/>
      <c r="E313" s="7"/>
      <c r="F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</row>
    <row r="314" spans="4:18" ht="0" hidden="1" customHeight="1">
      <c r="D314" s="23"/>
      <c r="E314" s="7"/>
      <c r="F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</row>
    <row r="315" spans="4:18" ht="0" hidden="1" customHeight="1">
      <c r="D315" s="23"/>
      <c r="E315" s="7"/>
      <c r="F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</row>
    <row r="316" spans="4:18" ht="0" hidden="1" customHeight="1">
      <c r="D316" s="23"/>
      <c r="E316" s="7"/>
      <c r="F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</row>
    <row r="317" spans="4:18" ht="0" hidden="1" customHeight="1">
      <c r="D317" s="23"/>
      <c r="E317" s="7"/>
      <c r="F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</row>
    <row r="318" spans="4:18" ht="0" hidden="1" customHeight="1">
      <c r="D318" s="23"/>
      <c r="E318" s="7"/>
      <c r="F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</row>
    <row r="319" spans="4:18" ht="0" hidden="1" customHeight="1">
      <c r="D319" s="23"/>
      <c r="E319" s="7"/>
      <c r="F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</row>
    <row r="320" spans="4:18" ht="0" hidden="1" customHeight="1">
      <c r="D320" s="23"/>
      <c r="E320" s="7"/>
      <c r="F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</row>
    <row r="321" spans="4:18" ht="0" hidden="1" customHeight="1">
      <c r="D321" s="23"/>
      <c r="E321" s="7"/>
      <c r="F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</row>
    <row r="322" spans="4:18" ht="0" hidden="1" customHeight="1">
      <c r="D322" s="23"/>
      <c r="E322" s="7"/>
      <c r="F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</row>
    <row r="323" spans="4:18" ht="0" hidden="1" customHeight="1">
      <c r="D323" s="23"/>
      <c r="E323" s="7"/>
      <c r="F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</row>
    <row r="324" spans="4:18" ht="0" hidden="1" customHeight="1">
      <c r="D324" s="23"/>
      <c r="E324" s="7"/>
      <c r="F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</row>
    <row r="325" spans="4:18" ht="0" hidden="1" customHeight="1">
      <c r="D325" s="23"/>
      <c r="E325" s="7"/>
      <c r="F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</row>
    <row r="326" spans="4:18" ht="0" hidden="1" customHeight="1">
      <c r="D326" s="23"/>
      <c r="E326" s="7"/>
      <c r="F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</row>
    <row r="327" spans="4:18" ht="0" hidden="1" customHeight="1">
      <c r="D327" s="23"/>
      <c r="E327" s="7"/>
      <c r="F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</row>
    <row r="328" spans="4:18" ht="0" hidden="1" customHeight="1">
      <c r="D328" s="23"/>
      <c r="E328" s="7"/>
      <c r="F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</row>
    <row r="329" spans="4:18" ht="0" hidden="1" customHeight="1">
      <c r="D329" s="23"/>
      <c r="E329" s="7"/>
      <c r="F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</row>
    <row r="330" spans="4:18" ht="0" hidden="1" customHeight="1">
      <c r="D330" s="23"/>
      <c r="E330" s="7"/>
      <c r="F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</row>
    <row r="331" spans="4:18" ht="0" hidden="1" customHeight="1">
      <c r="D331" s="23"/>
      <c r="E331" s="7"/>
      <c r="F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</row>
    <row r="332" spans="4:18" ht="0" hidden="1" customHeight="1">
      <c r="D332" s="23"/>
      <c r="E332" s="7"/>
      <c r="F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</row>
    <row r="333" spans="4:18" ht="0" hidden="1" customHeight="1">
      <c r="D333" s="23"/>
      <c r="E333" s="7"/>
      <c r="F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</row>
    <row r="334" spans="4:18" ht="0" hidden="1" customHeight="1">
      <c r="D334" s="23"/>
      <c r="E334" s="7"/>
      <c r="F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</row>
    <row r="335" spans="4:18" ht="0" hidden="1" customHeight="1">
      <c r="D335" s="23"/>
      <c r="E335" s="7"/>
      <c r="F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</row>
    <row r="336" spans="4:18" ht="0" hidden="1" customHeight="1">
      <c r="D336" s="23"/>
      <c r="E336" s="7"/>
      <c r="F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</row>
    <row r="337" spans="4:18" ht="0" hidden="1" customHeight="1">
      <c r="D337" s="23"/>
      <c r="E337" s="7"/>
      <c r="F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</row>
    <row r="338" spans="4:18" ht="0" hidden="1" customHeight="1">
      <c r="D338" s="23"/>
      <c r="E338" s="7"/>
      <c r="F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</row>
    <row r="339" spans="4:18" ht="0" hidden="1" customHeight="1">
      <c r="D339" s="23"/>
      <c r="E339" s="7"/>
      <c r="F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</row>
    <row r="340" spans="4:18" ht="0" hidden="1" customHeight="1">
      <c r="D340" s="23"/>
      <c r="E340" s="7"/>
      <c r="F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</row>
    <row r="341" spans="4:18" ht="0" hidden="1" customHeight="1">
      <c r="D341" s="23"/>
      <c r="E341" s="7"/>
      <c r="F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</row>
    <row r="342" spans="4:18" ht="0" hidden="1" customHeight="1">
      <c r="D342" s="23"/>
      <c r="E342" s="7"/>
      <c r="F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</row>
    <row r="343" spans="4:18" ht="0" hidden="1" customHeight="1">
      <c r="D343" s="23"/>
      <c r="E343" s="7"/>
      <c r="F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</row>
    <row r="344" spans="4:18" ht="0" hidden="1" customHeight="1">
      <c r="D344" s="23"/>
      <c r="E344" s="7"/>
      <c r="F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</row>
    <row r="345" spans="4:18" ht="0" hidden="1" customHeight="1">
      <c r="D345" s="23"/>
      <c r="E345" s="7"/>
      <c r="F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</row>
    <row r="346" spans="4:18" ht="0" hidden="1" customHeight="1">
      <c r="D346" s="23"/>
      <c r="E346" s="7"/>
      <c r="F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</row>
    <row r="347" spans="4:18" ht="0" hidden="1" customHeight="1">
      <c r="D347" s="23"/>
      <c r="E347" s="7"/>
      <c r="F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</row>
    <row r="348" spans="4:18" ht="0" hidden="1" customHeight="1">
      <c r="D348" s="23"/>
      <c r="E348" s="7"/>
      <c r="F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</row>
    <row r="349" spans="4:18" ht="0" hidden="1" customHeight="1">
      <c r="D349" s="23"/>
      <c r="E349" s="7"/>
      <c r="F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</row>
    <row r="350" spans="4:18" ht="0" hidden="1" customHeight="1">
      <c r="D350" s="23"/>
      <c r="E350" s="7"/>
      <c r="F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</row>
    <row r="351" spans="4:18" ht="0" hidden="1" customHeight="1">
      <c r="D351" s="23"/>
      <c r="E351" s="7"/>
      <c r="F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</row>
    <row r="352" spans="4:18" ht="0" hidden="1" customHeight="1">
      <c r="D352" s="23"/>
      <c r="E352" s="7"/>
      <c r="F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</row>
    <row r="353" spans="4:18" ht="0" hidden="1" customHeight="1">
      <c r="D353" s="23"/>
      <c r="E353" s="7"/>
      <c r="F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</row>
    <row r="354" spans="4:18" ht="0" hidden="1" customHeight="1">
      <c r="D354" s="23"/>
      <c r="E354" s="7"/>
      <c r="F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</row>
    <row r="355" spans="4:18" ht="0" hidden="1" customHeight="1">
      <c r="D355" s="23"/>
      <c r="E355" s="7"/>
      <c r="F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</row>
    <row r="356" spans="4:18" ht="0" hidden="1" customHeight="1">
      <c r="D356" s="23"/>
      <c r="E356" s="7"/>
      <c r="F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</row>
    <row r="357" spans="4:18" ht="0" hidden="1" customHeight="1">
      <c r="D357" s="23"/>
      <c r="E357" s="7"/>
      <c r="F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</row>
    <row r="358" spans="4:18" ht="0" hidden="1" customHeight="1">
      <c r="D358" s="23"/>
      <c r="E358" s="7"/>
      <c r="F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</row>
    <row r="359" spans="4:18" ht="0" hidden="1" customHeight="1">
      <c r="D359" s="23"/>
      <c r="E359" s="7"/>
      <c r="F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</row>
    <row r="360" spans="4:18" ht="0" hidden="1" customHeight="1">
      <c r="D360" s="23"/>
      <c r="E360" s="7"/>
      <c r="F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</row>
    <row r="361" spans="4:18" ht="0" hidden="1" customHeight="1">
      <c r="D361" s="23"/>
      <c r="E361" s="7"/>
      <c r="F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</row>
    <row r="362" spans="4:18" ht="0" hidden="1" customHeight="1">
      <c r="D362" s="23"/>
      <c r="E362" s="7"/>
      <c r="F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</row>
    <row r="363" spans="4:18" ht="0" hidden="1" customHeight="1">
      <c r="D363" s="23"/>
      <c r="E363" s="7"/>
      <c r="F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</row>
    <row r="364" spans="4:18" ht="0" hidden="1" customHeight="1">
      <c r="D364" s="23"/>
      <c r="E364" s="7"/>
      <c r="F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</row>
    <row r="365" spans="4:18" ht="0" hidden="1" customHeight="1">
      <c r="D365" s="23"/>
      <c r="E365" s="7"/>
      <c r="F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</row>
    <row r="366" spans="4:18" ht="0" hidden="1" customHeight="1">
      <c r="D366" s="23"/>
      <c r="E366" s="7"/>
      <c r="F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</row>
    <row r="367" spans="4:18" ht="0" hidden="1" customHeight="1">
      <c r="D367" s="23"/>
      <c r="E367" s="7"/>
      <c r="F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</row>
    <row r="368" spans="4:18" ht="0" hidden="1" customHeight="1">
      <c r="D368" s="23"/>
      <c r="E368" s="7"/>
      <c r="F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</row>
    <row r="369" spans="4:18" ht="0" hidden="1" customHeight="1">
      <c r="D369" s="23"/>
      <c r="E369" s="7"/>
      <c r="F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</row>
    <row r="370" spans="4:18" ht="0" hidden="1" customHeight="1">
      <c r="D370" s="23"/>
      <c r="E370" s="7"/>
      <c r="F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</row>
    <row r="371" spans="4:18" ht="0" hidden="1" customHeight="1">
      <c r="D371" s="23"/>
      <c r="E371" s="7"/>
      <c r="F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</row>
    <row r="372" spans="4:18" ht="0" hidden="1" customHeight="1">
      <c r="D372" s="23"/>
      <c r="E372" s="7"/>
      <c r="F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</row>
    <row r="373" spans="4:18" ht="0" hidden="1" customHeight="1">
      <c r="D373" s="23"/>
      <c r="E373" s="7"/>
      <c r="F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</row>
    <row r="374" spans="4:18" ht="0" hidden="1" customHeight="1">
      <c r="D374" s="23"/>
      <c r="E374" s="7"/>
      <c r="F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</row>
    <row r="375" spans="4:18" ht="0" hidden="1" customHeight="1">
      <c r="D375" s="23"/>
      <c r="E375" s="7"/>
      <c r="F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</row>
    <row r="376" spans="4:18" ht="0" hidden="1" customHeight="1">
      <c r="D376" s="23"/>
      <c r="E376" s="7"/>
      <c r="F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</row>
    <row r="377" spans="4:18" ht="0" hidden="1" customHeight="1">
      <c r="D377" s="23"/>
      <c r="E377" s="7"/>
      <c r="F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</row>
    <row r="378" spans="4:18" ht="0" hidden="1" customHeight="1">
      <c r="D378" s="23"/>
      <c r="E378" s="7"/>
      <c r="F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</row>
    <row r="379" spans="4:18" ht="0" hidden="1" customHeight="1">
      <c r="D379" s="23"/>
      <c r="E379" s="7"/>
      <c r="F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</row>
    <row r="380" spans="4:18" ht="0" hidden="1" customHeight="1">
      <c r="D380" s="23"/>
      <c r="E380" s="7"/>
      <c r="F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</row>
    <row r="381" spans="4:18" ht="0" hidden="1" customHeight="1">
      <c r="D381" s="23"/>
      <c r="E381" s="7"/>
      <c r="F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</row>
    <row r="382" spans="4:18" ht="0" hidden="1" customHeight="1">
      <c r="D382" s="23"/>
      <c r="E382" s="7"/>
      <c r="F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</row>
    <row r="383" spans="4:18" ht="0" hidden="1" customHeight="1">
      <c r="D383" s="23"/>
      <c r="E383" s="7"/>
      <c r="F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</row>
    <row r="384" spans="4:18" ht="0" hidden="1" customHeight="1">
      <c r="D384" s="23"/>
      <c r="E384" s="7"/>
      <c r="F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</row>
    <row r="385" spans="4:18" ht="0" hidden="1" customHeight="1">
      <c r="D385" s="23"/>
      <c r="E385" s="7"/>
      <c r="F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</row>
    <row r="386" spans="4:18" ht="0" hidden="1" customHeight="1">
      <c r="D386" s="23"/>
      <c r="E386" s="7"/>
      <c r="F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</row>
    <row r="387" spans="4:18" ht="0" hidden="1" customHeight="1">
      <c r="D387" s="23"/>
      <c r="E387" s="7"/>
      <c r="F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</row>
    <row r="388" spans="4:18" ht="0" hidden="1" customHeight="1">
      <c r="D388" s="23"/>
      <c r="E388" s="7"/>
      <c r="F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</row>
    <row r="389" spans="4:18" ht="0" hidden="1" customHeight="1">
      <c r="D389" s="23"/>
      <c r="E389" s="7"/>
      <c r="F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</row>
    <row r="390" spans="4:18" ht="0" hidden="1" customHeight="1">
      <c r="D390" s="23"/>
      <c r="E390" s="7"/>
      <c r="F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</row>
    <row r="391" spans="4:18" ht="0" hidden="1" customHeight="1">
      <c r="D391" s="23"/>
      <c r="E391" s="7"/>
      <c r="F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</row>
    <row r="392" spans="4:18" ht="0" hidden="1" customHeight="1">
      <c r="D392" s="23"/>
      <c r="E392" s="7"/>
      <c r="F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</row>
    <row r="393" spans="4:18" ht="0" hidden="1" customHeight="1">
      <c r="D393" s="23"/>
      <c r="E393" s="7"/>
      <c r="F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</row>
    <row r="394" spans="4:18" ht="0" hidden="1" customHeight="1">
      <c r="D394" s="23"/>
      <c r="E394" s="7"/>
      <c r="F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</row>
    <row r="395" spans="4:18" ht="0" hidden="1" customHeight="1">
      <c r="D395" s="23"/>
      <c r="E395" s="7"/>
      <c r="F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</row>
    <row r="396" spans="4:18" ht="0" hidden="1" customHeight="1">
      <c r="D396" s="23"/>
      <c r="E396" s="7"/>
      <c r="F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</row>
    <row r="397" spans="4:18" ht="0" hidden="1" customHeight="1">
      <c r="D397" s="23"/>
      <c r="E397" s="7"/>
      <c r="F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</row>
    <row r="398" spans="4:18" ht="0" hidden="1" customHeight="1">
      <c r="D398" s="23"/>
      <c r="E398" s="7"/>
      <c r="F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</row>
    <row r="399" spans="4:18" ht="0" hidden="1" customHeight="1">
      <c r="D399" s="23"/>
      <c r="E399" s="7"/>
      <c r="F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</row>
    <row r="400" spans="4:18" ht="0" hidden="1" customHeight="1">
      <c r="D400" s="23"/>
      <c r="E400" s="7"/>
      <c r="F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</row>
    <row r="401" spans="4:18" ht="0" hidden="1" customHeight="1">
      <c r="D401" s="23"/>
      <c r="E401" s="7"/>
      <c r="F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</row>
    <row r="402" spans="4:18" ht="0" hidden="1" customHeight="1">
      <c r="D402" s="23"/>
      <c r="E402" s="7"/>
      <c r="F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</row>
    <row r="403" spans="4:18" ht="0" hidden="1" customHeight="1">
      <c r="D403" s="23"/>
      <c r="E403" s="7"/>
      <c r="F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</row>
    <row r="404" spans="4:18" ht="0" hidden="1" customHeight="1">
      <c r="D404" s="23"/>
      <c r="E404" s="7"/>
      <c r="F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</row>
    <row r="405" spans="4:18" ht="0" hidden="1" customHeight="1">
      <c r="D405" s="23"/>
      <c r="E405" s="7"/>
      <c r="F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</row>
    <row r="406" spans="4:18" ht="0" hidden="1" customHeight="1">
      <c r="D406" s="23"/>
      <c r="E406" s="7"/>
      <c r="F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</row>
    <row r="407" spans="4:18" ht="0" hidden="1" customHeight="1">
      <c r="D407" s="23"/>
      <c r="E407" s="7"/>
      <c r="F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</row>
    <row r="408" spans="4:18" ht="0" hidden="1" customHeight="1">
      <c r="D408" s="23"/>
      <c r="E408" s="7"/>
      <c r="F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</row>
    <row r="409" spans="4:18" ht="0" hidden="1" customHeight="1">
      <c r="D409" s="23"/>
      <c r="E409" s="7"/>
      <c r="F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</row>
    <row r="410" spans="4:18" ht="0" hidden="1" customHeight="1">
      <c r="D410" s="23"/>
      <c r="E410" s="7"/>
      <c r="F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</row>
    <row r="411" spans="4:18" ht="0" hidden="1" customHeight="1">
      <c r="D411" s="23"/>
      <c r="E411" s="7"/>
      <c r="F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</row>
    <row r="412" spans="4:18" ht="0" hidden="1" customHeight="1">
      <c r="D412" s="23"/>
      <c r="E412" s="7"/>
      <c r="F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</row>
    <row r="413" spans="4:18" ht="0" hidden="1" customHeight="1">
      <c r="D413" s="23"/>
      <c r="E413" s="7"/>
      <c r="F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</row>
    <row r="414" spans="4:18" ht="0" hidden="1" customHeight="1">
      <c r="D414" s="23"/>
      <c r="E414" s="7"/>
      <c r="F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</row>
    <row r="415" spans="4:18" ht="0" hidden="1" customHeight="1">
      <c r="D415" s="23"/>
      <c r="E415" s="7"/>
      <c r="F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</row>
    <row r="416" spans="4:18" ht="0" hidden="1" customHeight="1">
      <c r="D416" s="23"/>
      <c r="E416" s="7"/>
      <c r="F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</row>
    <row r="417" spans="4:18" ht="0" hidden="1" customHeight="1">
      <c r="D417" s="23"/>
      <c r="E417" s="7"/>
      <c r="F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</row>
    <row r="418" spans="4:18" ht="0" hidden="1" customHeight="1">
      <c r="D418" s="23"/>
      <c r="E418" s="7"/>
      <c r="F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</row>
    <row r="419" spans="4:18" ht="0" hidden="1" customHeight="1">
      <c r="D419" s="23"/>
      <c r="E419" s="7"/>
      <c r="F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</row>
    <row r="420" spans="4:18" ht="0" hidden="1" customHeight="1">
      <c r="D420" s="23"/>
      <c r="E420" s="7"/>
      <c r="F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</row>
    <row r="421" spans="4:18" ht="0" hidden="1" customHeight="1">
      <c r="D421" s="23"/>
      <c r="E421" s="7"/>
      <c r="F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</row>
    <row r="422" spans="4:18" ht="0" hidden="1" customHeight="1">
      <c r="D422" s="23"/>
      <c r="E422" s="7"/>
      <c r="F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</row>
    <row r="423" spans="4:18" ht="0" hidden="1" customHeight="1">
      <c r="D423" s="23"/>
      <c r="E423" s="7"/>
      <c r="F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</row>
    <row r="424" spans="4:18" ht="0" hidden="1" customHeight="1">
      <c r="D424" s="23"/>
      <c r="E424" s="7"/>
      <c r="F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</row>
    <row r="425" spans="4:18" ht="0" hidden="1" customHeight="1">
      <c r="D425" s="23"/>
      <c r="E425" s="7"/>
      <c r="F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</row>
    <row r="426" spans="4:18" ht="0" hidden="1" customHeight="1">
      <c r="D426" s="23"/>
      <c r="E426" s="7"/>
      <c r="F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</row>
    <row r="427" spans="4:18" ht="0" hidden="1" customHeight="1">
      <c r="D427" s="23"/>
      <c r="E427" s="7"/>
      <c r="F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</row>
    <row r="428" spans="4:18" ht="0" hidden="1" customHeight="1">
      <c r="D428" s="23"/>
      <c r="E428" s="7"/>
      <c r="F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</row>
    <row r="429" spans="4:18" ht="0" hidden="1" customHeight="1">
      <c r="D429" s="23"/>
      <c r="E429" s="7"/>
      <c r="F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</row>
    <row r="430" spans="4:18" ht="0" hidden="1" customHeight="1">
      <c r="D430" s="23"/>
      <c r="E430" s="7"/>
      <c r="F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</row>
    <row r="431" spans="4:18" ht="0" hidden="1" customHeight="1">
      <c r="D431" s="23"/>
      <c r="E431" s="7"/>
      <c r="F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</row>
    <row r="432" spans="4:18" ht="0" hidden="1" customHeight="1">
      <c r="D432" s="23"/>
      <c r="E432" s="7"/>
      <c r="F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</row>
    <row r="433" spans="4:18" ht="0" hidden="1" customHeight="1">
      <c r="D433" s="23"/>
      <c r="E433" s="7"/>
      <c r="F433" s="7"/>
      <c r="G433" s="7"/>
      <c r="H433" s="7"/>
      <c r="I433" s="7"/>
      <c r="J433" s="7"/>
      <c r="K433" s="7"/>
      <c r="L433" s="7"/>
      <c r="M433" s="7"/>
      <c r="N433" s="7"/>
      <c r="O433" s="7"/>
      <c r="P433" s="7"/>
      <c r="Q433" s="7"/>
      <c r="R433" s="7"/>
    </row>
    <row r="434" spans="4:18" ht="0" hidden="1" customHeight="1">
      <c r="D434" s="23"/>
      <c r="E434" s="7"/>
      <c r="F434" s="7"/>
      <c r="G434" s="7"/>
      <c r="H434" s="7"/>
      <c r="I434" s="7"/>
      <c r="J434" s="7"/>
      <c r="K434" s="7"/>
      <c r="L434" s="7"/>
      <c r="M434" s="7"/>
      <c r="N434" s="7"/>
      <c r="O434" s="7"/>
      <c r="P434" s="7"/>
      <c r="Q434" s="7"/>
      <c r="R434" s="7"/>
    </row>
    <row r="435" spans="4:18" ht="0" hidden="1" customHeight="1">
      <c r="D435" s="23"/>
      <c r="E435" s="7"/>
      <c r="F435" s="7"/>
      <c r="G435" s="7"/>
      <c r="H435" s="7"/>
      <c r="I435" s="7"/>
      <c r="J435" s="7"/>
      <c r="K435" s="7"/>
      <c r="L435" s="7"/>
      <c r="M435" s="7"/>
      <c r="N435" s="7"/>
      <c r="O435" s="7"/>
      <c r="P435" s="7"/>
      <c r="Q435" s="7"/>
      <c r="R435" s="7"/>
    </row>
    <row r="436" spans="4:18" ht="0" hidden="1" customHeight="1">
      <c r="D436" s="23"/>
      <c r="E436" s="7"/>
      <c r="F436" s="7"/>
      <c r="G436" s="7"/>
      <c r="H436" s="7"/>
      <c r="I436" s="7"/>
      <c r="J436" s="7"/>
      <c r="K436" s="7"/>
      <c r="L436" s="7"/>
      <c r="M436" s="7"/>
      <c r="N436" s="7"/>
      <c r="O436" s="7"/>
      <c r="P436" s="7"/>
      <c r="Q436" s="7"/>
      <c r="R436" s="7"/>
    </row>
    <row r="437" spans="4:18" ht="0" hidden="1" customHeight="1">
      <c r="D437" s="23"/>
      <c r="E437" s="7"/>
      <c r="F437" s="7"/>
      <c r="G437" s="7"/>
      <c r="H437" s="7"/>
      <c r="I437" s="7"/>
      <c r="J437" s="7"/>
      <c r="K437" s="7"/>
      <c r="L437" s="7"/>
      <c r="M437" s="7"/>
      <c r="N437" s="7"/>
      <c r="O437" s="7"/>
      <c r="P437" s="7"/>
      <c r="Q437" s="7"/>
      <c r="R437" s="7"/>
    </row>
    <row r="438" spans="4:18" ht="0" hidden="1" customHeight="1">
      <c r="D438" s="23"/>
      <c r="E438" s="7"/>
      <c r="F438" s="7"/>
      <c r="G438" s="7"/>
      <c r="H438" s="7"/>
      <c r="I438" s="7"/>
      <c r="J438" s="7"/>
      <c r="K438" s="7"/>
      <c r="L438" s="7"/>
      <c r="M438" s="7"/>
      <c r="N438" s="7"/>
      <c r="O438" s="7"/>
      <c r="P438" s="7"/>
      <c r="Q438" s="7"/>
      <c r="R438" s="7"/>
    </row>
    <row r="439" spans="4:18" ht="0" hidden="1" customHeight="1">
      <c r="D439" s="23"/>
      <c r="E439" s="7"/>
      <c r="F439" s="7"/>
      <c r="G439" s="7"/>
      <c r="H439" s="7"/>
      <c r="I439" s="7"/>
      <c r="J439" s="7"/>
      <c r="K439" s="7"/>
      <c r="L439" s="7"/>
      <c r="M439" s="7"/>
      <c r="N439" s="7"/>
      <c r="O439" s="7"/>
      <c r="P439" s="7"/>
      <c r="Q439" s="7"/>
      <c r="R439" s="7"/>
    </row>
    <row r="440" spans="4:18" ht="0" hidden="1" customHeight="1">
      <c r="D440" s="23"/>
      <c r="E440" s="7"/>
      <c r="F440" s="7"/>
      <c r="G440" s="7"/>
      <c r="H440" s="7"/>
      <c r="I440" s="7"/>
      <c r="J440" s="7"/>
      <c r="K440" s="7"/>
      <c r="L440" s="7"/>
      <c r="M440" s="7"/>
      <c r="N440" s="7"/>
      <c r="O440" s="7"/>
      <c r="P440" s="7"/>
      <c r="Q440" s="7"/>
      <c r="R440" s="7"/>
    </row>
    <row r="441" spans="4:18" ht="0" hidden="1" customHeight="1">
      <c r="D441" s="23"/>
      <c r="E441" s="7"/>
      <c r="F441" s="7"/>
      <c r="G441" s="7"/>
      <c r="H441" s="7"/>
      <c r="I441" s="7"/>
      <c r="J441" s="7"/>
      <c r="K441" s="7"/>
      <c r="L441" s="7"/>
      <c r="M441" s="7"/>
      <c r="N441" s="7"/>
      <c r="O441" s="7"/>
      <c r="P441" s="7"/>
      <c r="Q441" s="7"/>
      <c r="R441" s="7"/>
    </row>
    <row r="442" spans="4:18" ht="0" hidden="1" customHeight="1">
      <c r="D442" s="23"/>
      <c r="E442" s="7"/>
      <c r="F442" s="7"/>
      <c r="G442" s="7"/>
      <c r="H442" s="7"/>
      <c r="I442" s="7"/>
      <c r="J442" s="7"/>
      <c r="K442" s="7"/>
      <c r="L442" s="7"/>
      <c r="M442" s="7"/>
      <c r="N442" s="7"/>
      <c r="O442" s="7"/>
      <c r="P442" s="7"/>
      <c r="Q442" s="7"/>
      <c r="R442" s="7"/>
    </row>
    <row r="443" spans="4:18" ht="0" hidden="1" customHeight="1">
      <c r="D443" s="23"/>
      <c r="E443" s="7"/>
      <c r="F443" s="7"/>
      <c r="G443" s="7"/>
      <c r="H443" s="7"/>
      <c r="I443" s="7"/>
      <c r="J443" s="7"/>
      <c r="K443" s="7"/>
      <c r="L443" s="7"/>
      <c r="M443" s="7"/>
      <c r="N443" s="7"/>
      <c r="O443" s="7"/>
      <c r="P443" s="7"/>
      <c r="Q443" s="7"/>
      <c r="R443" s="7"/>
    </row>
    <row r="444" spans="4:18" ht="0" hidden="1" customHeight="1">
      <c r="D444" s="23"/>
      <c r="E444" s="7"/>
      <c r="F444" s="7"/>
      <c r="G444" s="7"/>
      <c r="H444" s="7"/>
      <c r="I444" s="7"/>
      <c r="J444" s="7"/>
      <c r="K444" s="7"/>
      <c r="L444" s="7"/>
      <c r="M444" s="7"/>
      <c r="N444" s="7"/>
      <c r="O444" s="7"/>
      <c r="P444" s="7"/>
      <c r="Q444" s="7"/>
      <c r="R444" s="7"/>
    </row>
    <row r="445" spans="4:18" ht="0" hidden="1" customHeight="1">
      <c r="D445" s="23"/>
      <c r="E445" s="7"/>
      <c r="F445" s="7"/>
      <c r="G445" s="7"/>
      <c r="H445" s="7"/>
      <c r="I445" s="7"/>
      <c r="J445" s="7"/>
      <c r="K445" s="7"/>
      <c r="L445" s="7"/>
      <c r="M445" s="7"/>
      <c r="N445" s="7"/>
      <c r="O445" s="7"/>
      <c r="P445" s="7"/>
      <c r="Q445" s="7"/>
      <c r="R445" s="7"/>
    </row>
    <row r="446" spans="4:18" ht="0" hidden="1" customHeight="1">
      <c r="D446" s="23"/>
      <c r="E446" s="7"/>
      <c r="F446" s="7"/>
      <c r="G446" s="7"/>
      <c r="H446" s="7"/>
      <c r="I446" s="7"/>
      <c r="J446" s="7"/>
      <c r="K446" s="7"/>
      <c r="L446" s="7"/>
      <c r="M446" s="7"/>
      <c r="N446" s="7"/>
      <c r="O446" s="7"/>
      <c r="P446" s="7"/>
      <c r="Q446" s="7"/>
      <c r="R446" s="7"/>
    </row>
    <row r="447" spans="4:18" ht="0" hidden="1" customHeight="1">
      <c r="D447" s="23"/>
      <c r="E447" s="7"/>
      <c r="F447" s="7"/>
      <c r="G447" s="7"/>
      <c r="H447" s="7"/>
      <c r="I447" s="7"/>
      <c r="J447" s="7"/>
      <c r="K447" s="7"/>
      <c r="L447" s="7"/>
      <c r="M447" s="7"/>
      <c r="N447" s="7"/>
      <c r="O447" s="7"/>
      <c r="P447" s="7"/>
      <c r="Q447" s="7"/>
      <c r="R447" s="7"/>
    </row>
    <row r="448" spans="4:18" ht="0" hidden="1" customHeight="1">
      <c r="D448" s="23"/>
      <c r="E448" s="7"/>
      <c r="F448" s="7"/>
      <c r="G448" s="7"/>
      <c r="H448" s="7"/>
      <c r="I448" s="7"/>
      <c r="J448" s="7"/>
      <c r="K448" s="7"/>
      <c r="L448" s="7"/>
      <c r="M448" s="7"/>
      <c r="N448" s="7"/>
      <c r="O448" s="7"/>
      <c r="P448" s="7"/>
      <c r="Q448" s="7"/>
      <c r="R448" s="7"/>
    </row>
    <row r="449" spans="4:18" ht="0" hidden="1" customHeight="1">
      <c r="D449" s="23"/>
      <c r="E449" s="7"/>
      <c r="F449" s="7"/>
      <c r="G449" s="7"/>
      <c r="H449" s="7"/>
      <c r="I449" s="7"/>
      <c r="J449" s="7"/>
      <c r="K449" s="7"/>
      <c r="L449" s="7"/>
      <c r="M449" s="7"/>
      <c r="N449" s="7"/>
      <c r="O449" s="7"/>
      <c r="P449" s="7"/>
      <c r="Q449" s="7"/>
      <c r="R449" s="7"/>
    </row>
    <row r="450" spans="4:18" ht="0" hidden="1" customHeight="1">
      <c r="D450" s="23"/>
      <c r="E450" s="7"/>
      <c r="F450" s="7"/>
      <c r="G450" s="7"/>
      <c r="H450" s="7"/>
      <c r="I450" s="7"/>
      <c r="J450" s="7"/>
      <c r="K450" s="7"/>
      <c r="L450" s="7"/>
      <c r="M450" s="7"/>
      <c r="N450" s="7"/>
      <c r="O450" s="7"/>
      <c r="P450" s="7"/>
      <c r="Q450" s="7"/>
      <c r="R450" s="7"/>
    </row>
    <row r="451" spans="4:18" ht="0" hidden="1" customHeight="1">
      <c r="D451" s="23"/>
      <c r="E451" s="7"/>
      <c r="F451" s="7"/>
      <c r="G451" s="7"/>
      <c r="H451" s="7"/>
      <c r="I451" s="7"/>
      <c r="J451" s="7"/>
      <c r="K451" s="7"/>
      <c r="L451" s="7"/>
      <c r="M451" s="7"/>
      <c r="N451" s="7"/>
      <c r="O451" s="7"/>
      <c r="P451" s="7"/>
      <c r="Q451" s="7"/>
      <c r="R451" s="7"/>
    </row>
    <row r="452" spans="4:18" ht="0" hidden="1" customHeight="1">
      <c r="D452" s="23"/>
      <c r="E452" s="7"/>
      <c r="F452" s="7"/>
      <c r="G452" s="7"/>
      <c r="H452" s="7"/>
      <c r="I452" s="7"/>
      <c r="J452" s="7"/>
      <c r="K452" s="7"/>
      <c r="L452" s="7"/>
      <c r="M452" s="7"/>
      <c r="N452" s="7"/>
      <c r="O452" s="7"/>
      <c r="P452" s="7"/>
      <c r="Q452" s="7"/>
      <c r="R452" s="7"/>
    </row>
    <row r="453" spans="4:18" ht="0" hidden="1" customHeight="1">
      <c r="D453" s="23"/>
      <c r="E453" s="7"/>
      <c r="F453" s="7"/>
      <c r="G453" s="7"/>
      <c r="H453" s="7"/>
      <c r="I453" s="7"/>
      <c r="J453" s="7"/>
      <c r="K453" s="7"/>
      <c r="L453" s="7"/>
      <c r="M453" s="7"/>
      <c r="N453" s="7"/>
      <c r="O453" s="7"/>
      <c r="P453" s="7"/>
      <c r="Q453" s="7"/>
      <c r="R453" s="7"/>
    </row>
    <row r="454" spans="4:18" ht="0" hidden="1" customHeight="1">
      <c r="D454" s="23"/>
      <c r="E454" s="7"/>
      <c r="F454" s="7"/>
      <c r="G454" s="7"/>
      <c r="H454" s="7"/>
      <c r="I454" s="7"/>
      <c r="J454" s="7"/>
      <c r="K454" s="7"/>
      <c r="L454" s="7"/>
      <c r="M454" s="7"/>
      <c r="N454" s="7"/>
      <c r="O454" s="7"/>
      <c r="P454" s="7"/>
      <c r="Q454" s="7"/>
      <c r="R454" s="7"/>
    </row>
    <row r="455" spans="4:18" ht="0" hidden="1" customHeight="1">
      <c r="D455" s="23"/>
      <c r="E455" s="7"/>
      <c r="F455" s="7"/>
      <c r="G455" s="7"/>
      <c r="H455" s="7"/>
      <c r="I455" s="7"/>
      <c r="J455" s="7"/>
      <c r="K455" s="7"/>
      <c r="L455" s="7"/>
      <c r="M455" s="7"/>
      <c r="N455" s="7"/>
      <c r="O455" s="7"/>
      <c r="P455" s="7"/>
      <c r="Q455" s="7"/>
      <c r="R455" s="7"/>
    </row>
    <row r="456" spans="4:18" ht="0" hidden="1" customHeight="1">
      <c r="D456" s="23"/>
      <c r="E456" s="7"/>
      <c r="F456" s="7"/>
      <c r="G456" s="7"/>
      <c r="H456" s="7"/>
      <c r="I456" s="7"/>
      <c r="J456" s="7"/>
      <c r="K456" s="7"/>
      <c r="L456" s="7"/>
      <c r="M456" s="7"/>
      <c r="N456" s="7"/>
      <c r="O456" s="7"/>
      <c r="P456" s="7"/>
      <c r="Q456" s="7"/>
      <c r="R456" s="7"/>
    </row>
    <row r="457" spans="4:18" ht="0" hidden="1" customHeight="1">
      <c r="D457" s="23"/>
      <c r="E457" s="7"/>
      <c r="F457" s="7"/>
      <c r="G457" s="7"/>
      <c r="H457" s="7"/>
      <c r="I457" s="7"/>
      <c r="J457" s="7"/>
      <c r="K457" s="7"/>
      <c r="L457" s="7"/>
      <c r="M457" s="7"/>
      <c r="N457" s="7"/>
      <c r="O457" s="7"/>
      <c r="P457" s="7"/>
      <c r="Q457" s="7"/>
      <c r="R457" s="7"/>
    </row>
    <row r="458" spans="4:18" ht="0" hidden="1" customHeight="1">
      <c r="D458" s="23"/>
      <c r="E458" s="7"/>
      <c r="F458" s="7"/>
      <c r="G458" s="7"/>
      <c r="H458" s="7"/>
      <c r="I458" s="7"/>
      <c r="J458" s="7"/>
      <c r="K458" s="7"/>
      <c r="L458" s="7"/>
      <c r="M458" s="7"/>
      <c r="N458" s="7"/>
      <c r="O458" s="7"/>
      <c r="P458" s="7"/>
      <c r="Q458" s="7"/>
      <c r="R458" s="7"/>
    </row>
    <row r="459" spans="4:18" ht="0" hidden="1" customHeight="1">
      <c r="D459" s="23"/>
      <c r="E459" s="7"/>
      <c r="F459" s="7"/>
      <c r="G459" s="7"/>
      <c r="H459" s="7"/>
      <c r="I459" s="7"/>
      <c r="J459" s="7"/>
      <c r="K459" s="7"/>
      <c r="L459" s="7"/>
      <c r="M459" s="7"/>
      <c r="N459" s="7"/>
      <c r="O459" s="7"/>
      <c r="P459" s="7"/>
      <c r="Q459" s="7"/>
      <c r="R459" s="7"/>
    </row>
    <row r="460" spans="4:18" ht="0" hidden="1" customHeight="1">
      <c r="D460" s="23"/>
      <c r="E460" s="7"/>
      <c r="F460" s="7"/>
      <c r="G460" s="7"/>
      <c r="H460" s="7"/>
      <c r="I460" s="7"/>
      <c r="J460" s="7"/>
      <c r="K460" s="7"/>
      <c r="L460" s="7"/>
      <c r="M460" s="7"/>
      <c r="N460" s="7"/>
      <c r="O460" s="7"/>
      <c r="P460" s="7"/>
      <c r="Q460" s="7"/>
      <c r="R460" s="7"/>
    </row>
    <row r="461" spans="4:18" ht="0" hidden="1" customHeight="1">
      <c r="D461" s="23"/>
      <c r="E461" s="7"/>
      <c r="F461" s="7"/>
      <c r="G461" s="7"/>
      <c r="H461" s="7"/>
      <c r="I461" s="7"/>
      <c r="J461" s="7"/>
      <c r="K461" s="7"/>
      <c r="L461" s="7"/>
      <c r="M461" s="7"/>
      <c r="N461" s="7"/>
      <c r="O461" s="7"/>
      <c r="P461" s="7"/>
      <c r="Q461" s="7"/>
      <c r="R461" s="7"/>
    </row>
    <row r="462" spans="4:18" ht="0" hidden="1" customHeight="1">
      <c r="D462" s="23"/>
      <c r="E462" s="7"/>
      <c r="F462" s="7"/>
      <c r="G462" s="7"/>
      <c r="H462" s="7"/>
      <c r="I462" s="7"/>
      <c r="J462" s="7"/>
      <c r="K462" s="7"/>
      <c r="L462" s="7"/>
      <c r="M462" s="7"/>
      <c r="N462" s="7"/>
      <c r="O462" s="7"/>
      <c r="P462" s="7"/>
      <c r="Q462" s="7"/>
      <c r="R462" s="7"/>
    </row>
    <row r="463" spans="4:18" ht="0" hidden="1" customHeight="1">
      <c r="D463" s="23"/>
      <c r="E463" s="7"/>
      <c r="F463" s="7"/>
      <c r="G463" s="7"/>
      <c r="H463" s="7"/>
      <c r="I463" s="7"/>
      <c r="J463" s="7"/>
      <c r="K463" s="7"/>
      <c r="L463" s="7"/>
      <c r="M463" s="7"/>
      <c r="N463" s="7"/>
      <c r="O463" s="7"/>
      <c r="P463" s="7"/>
      <c r="Q463" s="7"/>
      <c r="R463" s="7"/>
    </row>
    <row r="464" spans="4:18" ht="0" hidden="1" customHeight="1">
      <c r="D464" s="23"/>
      <c r="E464" s="7"/>
      <c r="F464" s="7"/>
      <c r="G464" s="7"/>
      <c r="H464" s="7"/>
      <c r="I464" s="7"/>
      <c r="J464" s="7"/>
      <c r="K464" s="7"/>
      <c r="L464" s="7"/>
      <c r="M464" s="7"/>
      <c r="N464" s="7"/>
      <c r="O464" s="7"/>
      <c r="P464" s="7"/>
      <c r="Q464" s="7"/>
      <c r="R464" s="7"/>
    </row>
    <row r="465" spans="4:18" ht="0" hidden="1" customHeight="1">
      <c r="D465" s="23"/>
      <c r="E465" s="7"/>
      <c r="F465" s="7"/>
      <c r="G465" s="7"/>
      <c r="H465" s="7"/>
      <c r="I465" s="7"/>
      <c r="J465" s="7"/>
      <c r="K465" s="7"/>
      <c r="L465" s="7"/>
      <c r="M465" s="7"/>
      <c r="N465" s="7"/>
      <c r="O465" s="7"/>
      <c r="P465" s="7"/>
      <c r="Q465" s="7"/>
      <c r="R465" s="7"/>
    </row>
    <row r="466" spans="4:18" ht="0" hidden="1" customHeight="1">
      <c r="D466" s="23"/>
      <c r="E466" s="7"/>
      <c r="F466" s="7"/>
      <c r="G466" s="7"/>
      <c r="H466" s="7"/>
      <c r="I466" s="7"/>
      <c r="J466" s="7"/>
      <c r="K466" s="7"/>
      <c r="L466" s="7"/>
      <c r="M466" s="7"/>
      <c r="N466" s="7"/>
      <c r="O466" s="7"/>
      <c r="P466" s="7"/>
      <c r="Q466" s="7"/>
      <c r="R466" s="7"/>
    </row>
    <row r="467" spans="4:18" ht="0" hidden="1" customHeight="1">
      <c r="D467" s="23"/>
      <c r="E467" s="7"/>
      <c r="F467" s="7"/>
      <c r="G467" s="7"/>
      <c r="H467" s="7"/>
      <c r="I467" s="7"/>
      <c r="J467" s="7"/>
      <c r="K467" s="7"/>
      <c r="L467" s="7"/>
      <c r="M467" s="7"/>
      <c r="N467" s="7"/>
      <c r="O467" s="7"/>
      <c r="P467" s="7"/>
      <c r="Q467" s="7"/>
      <c r="R467" s="7"/>
    </row>
    <row r="468" spans="4:18" ht="0" hidden="1" customHeight="1">
      <c r="D468" s="23"/>
      <c r="E468" s="7"/>
      <c r="F468" s="7"/>
      <c r="G468" s="7"/>
      <c r="H468" s="7"/>
      <c r="I468" s="7"/>
      <c r="J468" s="7"/>
      <c r="K468" s="7"/>
      <c r="L468" s="7"/>
      <c r="M468" s="7"/>
      <c r="N468" s="7"/>
      <c r="O468" s="7"/>
      <c r="P468" s="7"/>
      <c r="Q468" s="7"/>
      <c r="R468" s="7"/>
    </row>
    <row r="469" spans="4:18" ht="0" hidden="1" customHeight="1">
      <c r="D469" s="23"/>
      <c r="E469" s="7"/>
      <c r="F469" s="7"/>
      <c r="G469" s="7"/>
      <c r="H469" s="7"/>
      <c r="I469" s="7"/>
      <c r="J469" s="7"/>
      <c r="K469" s="7"/>
      <c r="L469" s="7"/>
      <c r="M469" s="7"/>
      <c r="N469" s="7"/>
      <c r="O469" s="7"/>
      <c r="P469" s="7"/>
      <c r="Q469" s="7"/>
      <c r="R469" s="7"/>
    </row>
    <row r="470" spans="4:18" ht="0" hidden="1" customHeight="1">
      <c r="D470" s="23"/>
      <c r="E470" s="7"/>
      <c r="F470" s="7"/>
      <c r="G470" s="7"/>
      <c r="H470" s="7"/>
      <c r="I470" s="7"/>
      <c r="J470" s="7"/>
      <c r="K470" s="7"/>
      <c r="L470" s="7"/>
      <c r="M470" s="7"/>
      <c r="N470" s="7"/>
      <c r="O470" s="7"/>
      <c r="P470" s="7"/>
      <c r="Q470" s="7"/>
      <c r="R470" s="7"/>
    </row>
    <row r="471" spans="4:18" ht="0" hidden="1" customHeight="1">
      <c r="D471" s="23"/>
      <c r="E471" s="7"/>
      <c r="F471" s="7"/>
      <c r="G471" s="7"/>
      <c r="H471" s="7"/>
      <c r="I471" s="7"/>
      <c r="J471" s="7"/>
      <c r="K471" s="7"/>
      <c r="L471" s="7"/>
      <c r="M471" s="7"/>
      <c r="N471" s="7"/>
      <c r="O471" s="7"/>
      <c r="P471" s="7"/>
      <c r="Q471" s="7"/>
      <c r="R471" s="7"/>
    </row>
    <row r="472" spans="4:18" ht="0" hidden="1" customHeight="1">
      <c r="D472" s="23"/>
      <c r="E472" s="7"/>
      <c r="F472" s="7"/>
      <c r="G472" s="7"/>
      <c r="H472" s="7"/>
      <c r="I472" s="7"/>
      <c r="J472" s="7"/>
      <c r="K472" s="7"/>
      <c r="L472" s="7"/>
      <c r="M472" s="7"/>
      <c r="N472" s="7"/>
      <c r="O472" s="7"/>
      <c r="P472" s="7"/>
      <c r="Q472" s="7"/>
      <c r="R472" s="7"/>
    </row>
    <row r="473" spans="4:18" ht="0" hidden="1" customHeight="1">
      <c r="D473" s="23"/>
      <c r="E473" s="7"/>
      <c r="F473" s="7"/>
      <c r="G473" s="7"/>
      <c r="H473" s="7"/>
      <c r="I473" s="7"/>
      <c r="J473" s="7"/>
      <c r="K473" s="7"/>
      <c r="L473" s="7"/>
      <c r="M473" s="7"/>
      <c r="N473" s="7"/>
      <c r="O473" s="7"/>
      <c r="P473" s="7"/>
      <c r="Q473" s="7"/>
      <c r="R473" s="7"/>
    </row>
    <row r="474" spans="4:18" ht="0" hidden="1" customHeight="1">
      <c r="D474" s="23"/>
      <c r="E474" s="7"/>
      <c r="F474" s="7"/>
      <c r="G474" s="7"/>
      <c r="H474" s="7"/>
      <c r="I474" s="7"/>
      <c r="J474" s="7"/>
      <c r="K474" s="7"/>
      <c r="L474" s="7"/>
      <c r="M474" s="7"/>
      <c r="N474" s="7"/>
      <c r="O474" s="7"/>
      <c r="P474" s="7"/>
      <c r="Q474" s="7"/>
      <c r="R474" s="7"/>
    </row>
    <row r="475" spans="4:18" ht="0" hidden="1" customHeight="1">
      <c r="D475" s="23"/>
      <c r="E475" s="7"/>
      <c r="F475" s="7"/>
      <c r="G475" s="7"/>
      <c r="H475" s="7"/>
      <c r="I475" s="7"/>
      <c r="J475" s="7"/>
      <c r="K475" s="7"/>
      <c r="L475" s="7"/>
      <c r="M475" s="7"/>
      <c r="N475" s="7"/>
      <c r="O475" s="7"/>
      <c r="P475" s="7"/>
      <c r="Q475" s="7"/>
      <c r="R475" s="7"/>
    </row>
    <row r="476" spans="4:18" ht="0" hidden="1" customHeight="1">
      <c r="D476" s="23"/>
      <c r="E476" s="7"/>
      <c r="F476" s="7"/>
      <c r="G476" s="7"/>
      <c r="H476" s="7"/>
      <c r="I476" s="7"/>
      <c r="J476" s="7"/>
      <c r="K476" s="7"/>
      <c r="L476" s="7"/>
      <c r="M476" s="7"/>
      <c r="N476" s="7"/>
      <c r="O476" s="7"/>
      <c r="P476" s="7"/>
      <c r="Q476" s="7"/>
      <c r="R476" s="7"/>
    </row>
    <row r="477" spans="4:18" ht="0" hidden="1" customHeight="1">
      <c r="D477" s="23"/>
      <c r="E477" s="7"/>
      <c r="F477" s="7"/>
      <c r="G477" s="7"/>
      <c r="H477" s="7"/>
      <c r="I477" s="7"/>
      <c r="J477" s="7"/>
      <c r="K477" s="7"/>
      <c r="L477" s="7"/>
      <c r="M477" s="7"/>
      <c r="N477" s="7"/>
      <c r="O477" s="7"/>
      <c r="P477" s="7"/>
      <c r="Q477" s="7"/>
      <c r="R477" s="7"/>
    </row>
    <row r="478" spans="4:18" ht="0" hidden="1" customHeight="1">
      <c r="D478" s="23"/>
      <c r="E478" s="7"/>
      <c r="F478" s="7"/>
      <c r="G478" s="7"/>
      <c r="H478" s="7"/>
      <c r="I478" s="7"/>
      <c r="J478" s="7"/>
      <c r="K478" s="7"/>
      <c r="L478" s="7"/>
      <c r="M478" s="7"/>
      <c r="N478" s="7"/>
      <c r="O478" s="7"/>
      <c r="P478" s="7"/>
      <c r="Q478" s="7"/>
      <c r="R478" s="7"/>
    </row>
    <row r="479" spans="4:18" ht="0" hidden="1" customHeight="1">
      <c r="D479" s="23"/>
      <c r="E479" s="7"/>
      <c r="F479" s="7"/>
      <c r="G479" s="7"/>
      <c r="H479" s="7"/>
      <c r="I479" s="7"/>
      <c r="J479" s="7"/>
      <c r="K479" s="7"/>
      <c r="L479" s="7"/>
      <c r="M479" s="7"/>
      <c r="N479" s="7"/>
      <c r="O479" s="7"/>
      <c r="P479" s="7"/>
      <c r="Q479" s="7"/>
      <c r="R479" s="7"/>
    </row>
    <row r="480" spans="4:18" ht="0" hidden="1" customHeight="1">
      <c r="D480" s="23"/>
      <c r="E480" s="7"/>
      <c r="F480" s="7"/>
      <c r="G480" s="7"/>
      <c r="H480" s="7"/>
      <c r="I480" s="7"/>
      <c r="J480" s="7"/>
      <c r="K480" s="7"/>
      <c r="L480" s="7"/>
      <c r="M480" s="7"/>
      <c r="N480" s="7"/>
      <c r="O480" s="7"/>
      <c r="P480" s="7"/>
      <c r="Q480" s="7"/>
      <c r="R480" s="7"/>
    </row>
    <row r="481" spans="4:18" ht="0" hidden="1" customHeight="1">
      <c r="D481" s="23"/>
      <c r="E481" s="7"/>
      <c r="F481" s="7"/>
      <c r="G481" s="7"/>
      <c r="H481" s="7"/>
      <c r="I481" s="7"/>
      <c r="J481" s="7"/>
      <c r="K481" s="7"/>
      <c r="L481" s="7"/>
      <c r="M481" s="7"/>
      <c r="N481" s="7"/>
      <c r="O481" s="7"/>
      <c r="P481" s="7"/>
      <c r="Q481" s="7"/>
      <c r="R481" s="7"/>
    </row>
    <row r="482" spans="4:18" ht="0" hidden="1" customHeight="1">
      <c r="D482" s="23"/>
      <c r="E482" s="7"/>
      <c r="F482" s="7"/>
      <c r="G482" s="7"/>
      <c r="H482" s="7"/>
      <c r="I482" s="7"/>
      <c r="J482" s="7"/>
      <c r="K482" s="7"/>
      <c r="L482" s="7"/>
      <c r="M482" s="7"/>
      <c r="N482" s="7"/>
      <c r="O482" s="7"/>
      <c r="P482" s="7"/>
      <c r="Q482" s="7"/>
      <c r="R482" s="7"/>
    </row>
    <row r="483" spans="4:18" ht="0" hidden="1" customHeight="1">
      <c r="D483" s="23"/>
      <c r="E483" s="7"/>
      <c r="F483" s="7"/>
      <c r="G483" s="7"/>
      <c r="H483" s="7"/>
      <c r="I483" s="7"/>
      <c r="J483" s="7"/>
      <c r="K483" s="7"/>
      <c r="L483" s="7"/>
      <c r="M483" s="7"/>
      <c r="N483" s="7"/>
      <c r="O483" s="7"/>
      <c r="P483" s="7"/>
      <c r="Q483" s="7"/>
      <c r="R483" s="7"/>
    </row>
    <row r="484" spans="4:18" ht="0" hidden="1" customHeight="1">
      <c r="D484" s="23"/>
      <c r="E484" s="7"/>
      <c r="F484" s="7"/>
      <c r="G484" s="7"/>
      <c r="H484" s="7"/>
      <c r="I484" s="7"/>
      <c r="J484" s="7"/>
      <c r="K484" s="7"/>
      <c r="L484" s="7"/>
      <c r="M484" s="7"/>
      <c r="N484" s="7"/>
      <c r="O484" s="7"/>
      <c r="P484" s="7"/>
      <c r="Q484" s="7"/>
      <c r="R484" s="7"/>
    </row>
    <row r="485" spans="4:18" ht="0" hidden="1" customHeight="1">
      <c r="D485" s="23"/>
      <c r="E485" s="7"/>
      <c r="F485" s="7"/>
      <c r="G485" s="7"/>
      <c r="H485" s="7"/>
      <c r="I485" s="7"/>
      <c r="J485" s="7"/>
      <c r="K485" s="7"/>
      <c r="L485" s="7"/>
      <c r="M485" s="7"/>
      <c r="N485" s="7"/>
      <c r="O485" s="7"/>
      <c r="P485" s="7"/>
      <c r="Q485" s="7"/>
      <c r="R485" s="7"/>
    </row>
    <row r="486" spans="4:18" ht="0" hidden="1" customHeight="1">
      <c r="D486" s="23"/>
      <c r="E486" s="7"/>
      <c r="F486" s="7"/>
      <c r="G486" s="7"/>
      <c r="H486" s="7"/>
      <c r="I486" s="7"/>
      <c r="J486" s="7"/>
      <c r="K486" s="7"/>
      <c r="L486" s="7"/>
      <c r="M486" s="7"/>
      <c r="N486" s="7"/>
      <c r="O486" s="7"/>
      <c r="P486" s="7"/>
      <c r="Q486" s="7"/>
      <c r="R486" s="7"/>
    </row>
    <row r="487" spans="4:18" ht="0" hidden="1" customHeight="1">
      <c r="D487" s="23"/>
      <c r="E487" s="7"/>
      <c r="F487" s="7"/>
      <c r="G487" s="7"/>
      <c r="H487" s="7"/>
      <c r="I487" s="7"/>
      <c r="J487" s="7"/>
      <c r="K487" s="7"/>
      <c r="L487" s="7"/>
      <c r="M487" s="7"/>
      <c r="N487" s="7"/>
      <c r="O487" s="7"/>
      <c r="P487" s="7"/>
      <c r="Q487" s="7"/>
      <c r="R487" s="7"/>
    </row>
    <row r="488" spans="4:18" ht="0" hidden="1" customHeight="1">
      <c r="D488" s="23"/>
      <c r="E488" s="7"/>
      <c r="F488" s="7"/>
      <c r="G488" s="7"/>
      <c r="H488" s="7"/>
      <c r="I488" s="7"/>
      <c r="J488" s="7"/>
      <c r="K488" s="7"/>
      <c r="L488" s="7"/>
      <c r="M488" s="7"/>
      <c r="N488" s="7"/>
      <c r="O488" s="7"/>
      <c r="P488" s="7"/>
      <c r="Q488" s="7"/>
      <c r="R488" s="7"/>
    </row>
    <row r="489" spans="4:18" ht="0" hidden="1" customHeight="1">
      <c r="D489" s="23"/>
      <c r="E489" s="7"/>
      <c r="F489" s="7"/>
      <c r="G489" s="7"/>
      <c r="H489" s="7"/>
      <c r="I489" s="7"/>
      <c r="J489" s="7"/>
      <c r="K489" s="7"/>
      <c r="L489" s="7"/>
      <c r="M489" s="7"/>
      <c r="N489" s="7"/>
      <c r="O489" s="7"/>
      <c r="P489" s="7"/>
      <c r="Q489" s="7"/>
      <c r="R489" s="7"/>
    </row>
    <row r="490" spans="4:18" ht="0" hidden="1" customHeight="1">
      <c r="D490" s="23"/>
      <c r="E490" s="7"/>
      <c r="F490" s="7"/>
      <c r="G490" s="7"/>
      <c r="H490" s="7"/>
      <c r="I490" s="7"/>
      <c r="J490" s="7"/>
      <c r="K490" s="7"/>
      <c r="L490" s="7"/>
      <c r="M490" s="7"/>
      <c r="N490" s="7"/>
      <c r="O490" s="7"/>
      <c r="P490" s="7"/>
      <c r="Q490" s="7"/>
      <c r="R490" s="7"/>
    </row>
    <row r="491" spans="4:18" ht="0" hidden="1" customHeight="1">
      <c r="D491" s="23"/>
      <c r="E491" s="7"/>
      <c r="F491" s="7"/>
      <c r="G491" s="7"/>
      <c r="H491" s="7"/>
      <c r="I491" s="7"/>
      <c r="J491" s="7"/>
      <c r="K491" s="7"/>
      <c r="L491" s="7"/>
      <c r="M491" s="7"/>
      <c r="N491" s="7"/>
      <c r="O491" s="7"/>
      <c r="P491" s="7"/>
      <c r="Q491" s="7"/>
      <c r="R491" s="7"/>
    </row>
    <row r="492" spans="4:18" ht="0" hidden="1" customHeight="1">
      <c r="D492" s="23"/>
      <c r="E492" s="7"/>
      <c r="F492" s="7"/>
      <c r="G492" s="7"/>
      <c r="H492" s="7"/>
      <c r="I492" s="7"/>
      <c r="J492" s="7"/>
      <c r="K492" s="7"/>
      <c r="L492" s="7"/>
      <c r="M492" s="7"/>
      <c r="N492" s="7"/>
      <c r="O492" s="7"/>
      <c r="P492" s="7"/>
      <c r="Q492" s="7"/>
      <c r="R492" s="7"/>
    </row>
    <row r="493" spans="4:18" ht="0" hidden="1" customHeight="1">
      <c r="D493" s="23"/>
      <c r="E493" s="7"/>
      <c r="F493" s="7"/>
      <c r="G493" s="7"/>
      <c r="H493" s="7"/>
      <c r="I493" s="7"/>
      <c r="J493" s="7"/>
      <c r="K493" s="7"/>
      <c r="L493" s="7"/>
      <c r="M493" s="7"/>
      <c r="N493" s="7"/>
      <c r="O493" s="7"/>
      <c r="P493" s="7"/>
      <c r="Q493" s="7"/>
      <c r="R493" s="7"/>
    </row>
    <row r="494" spans="4:18" ht="0" hidden="1" customHeight="1">
      <c r="D494" s="23"/>
      <c r="E494" s="7"/>
      <c r="F494" s="7"/>
      <c r="G494" s="7"/>
      <c r="H494" s="7"/>
      <c r="I494" s="7"/>
      <c r="J494" s="7"/>
      <c r="K494" s="7"/>
      <c r="L494" s="7"/>
      <c r="M494" s="7"/>
      <c r="N494" s="7"/>
      <c r="O494" s="7"/>
      <c r="P494" s="7"/>
      <c r="Q494" s="7"/>
      <c r="R494" s="7"/>
    </row>
    <row r="495" spans="4:18" ht="0" hidden="1" customHeight="1">
      <c r="D495" s="23"/>
      <c r="E495" s="7"/>
      <c r="F495" s="7"/>
      <c r="G495" s="7"/>
      <c r="H495" s="7"/>
      <c r="I495" s="7"/>
      <c r="J495" s="7"/>
      <c r="K495" s="7"/>
      <c r="L495" s="7"/>
      <c r="M495" s="7"/>
      <c r="N495" s="7"/>
      <c r="O495" s="7"/>
      <c r="P495" s="7"/>
      <c r="Q495" s="7"/>
      <c r="R495" s="7"/>
    </row>
    <row r="496" spans="4:18" ht="0" hidden="1" customHeight="1">
      <c r="D496" s="23"/>
      <c r="E496" s="7"/>
      <c r="F496" s="7"/>
      <c r="G496" s="7"/>
      <c r="H496" s="7"/>
      <c r="I496" s="7"/>
      <c r="J496" s="7"/>
      <c r="K496" s="7"/>
      <c r="L496" s="7"/>
      <c r="M496" s="7"/>
      <c r="N496" s="7"/>
      <c r="O496" s="7"/>
      <c r="P496" s="7"/>
      <c r="Q496" s="7"/>
      <c r="R496" s="7"/>
    </row>
    <row r="497" spans="4:18" ht="0" hidden="1" customHeight="1">
      <c r="D497" s="23"/>
      <c r="E497" s="7"/>
      <c r="F497" s="7"/>
      <c r="G497" s="7"/>
      <c r="H497" s="7"/>
      <c r="I497" s="7"/>
      <c r="J497" s="7"/>
      <c r="K497" s="7"/>
      <c r="L497" s="7"/>
      <c r="M497" s="7"/>
      <c r="N497" s="7"/>
      <c r="O497" s="7"/>
      <c r="P497" s="7"/>
      <c r="Q497" s="7"/>
      <c r="R497" s="7"/>
    </row>
    <row r="498" spans="4:18" ht="0" hidden="1" customHeight="1">
      <c r="D498" s="23"/>
      <c r="E498" s="7"/>
      <c r="F498" s="7"/>
      <c r="G498" s="7"/>
      <c r="H498" s="7"/>
      <c r="I498" s="7"/>
      <c r="J498" s="7"/>
      <c r="K498" s="7"/>
      <c r="L498" s="7"/>
      <c r="M498" s="7"/>
      <c r="N498" s="7"/>
      <c r="O498" s="7"/>
      <c r="P498" s="7"/>
      <c r="Q498" s="7"/>
      <c r="R498" s="7"/>
    </row>
    <row r="499" spans="4:18" ht="0" hidden="1" customHeight="1">
      <c r="D499" s="23"/>
      <c r="E499" s="7"/>
      <c r="F499" s="7"/>
      <c r="G499" s="7"/>
      <c r="H499" s="7"/>
      <c r="I499" s="7"/>
      <c r="J499" s="7"/>
      <c r="K499" s="7"/>
      <c r="L499" s="7"/>
      <c r="M499" s="7"/>
      <c r="N499" s="7"/>
      <c r="O499" s="7"/>
      <c r="P499" s="7"/>
      <c r="Q499" s="7"/>
      <c r="R499" s="7"/>
    </row>
    <row r="500" spans="4:18" ht="0" hidden="1" customHeight="1">
      <c r="D500" s="23"/>
      <c r="E500" s="7"/>
      <c r="F500" s="7"/>
      <c r="G500" s="7"/>
      <c r="H500" s="7"/>
      <c r="I500" s="7"/>
      <c r="J500" s="7"/>
      <c r="K500" s="7"/>
      <c r="L500" s="7"/>
      <c r="M500" s="7"/>
      <c r="N500" s="7"/>
      <c r="O500" s="7"/>
      <c r="P500" s="7"/>
      <c r="Q500" s="7"/>
      <c r="R500" s="7"/>
    </row>
    <row r="501" spans="4:18" ht="0" hidden="1" customHeight="1">
      <c r="D501" s="23"/>
      <c r="E501" s="7"/>
      <c r="F501" s="7"/>
      <c r="G501" s="7"/>
      <c r="H501" s="7"/>
      <c r="I501" s="7"/>
      <c r="J501" s="7"/>
      <c r="K501" s="7"/>
      <c r="L501" s="7"/>
      <c r="M501" s="7"/>
      <c r="N501" s="7"/>
      <c r="O501" s="7"/>
      <c r="P501" s="7"/>
      <c r="Q501" s="7"/>
      <c r="R501" s="7"/>
    </row>
    <row r="502" spans="4:18" ht="0" hidden="1" customHeight="1">
      <c r="D502" s="23"/>
      <c r="E502" s="7"/>
      <c r="F502" s="7"/>
      <c r="G502" s="7"/>
      <c r="H502" s="7"/>
      <c r="I502" s="7"/>
      <c r="J502" s="7"/>
      <c r="K502" s="7"/>
      <c r="L502" s="7"/>
      <c r="M502" s="7"/>
      <c r="N502" s="7"/>
      <c r="O502" s="7"/>
      <c r="P502" s="7"/>
      <c r="Q502" s="7"/>
      <c r="R502" s="7"/>
    </row>
    <row r="503" spans="4:18" ht="0" hidden="1" customHeight="1">
      <c r="D503" s="23"/>
      <c r="E503" s="7"/>
      <c r="F503" s="7"/>
      <c r="G503" s="7"/>
      <c r="H503" s="7"/>
      <c r="I503" s="7"/>
      <c r="J503" s="7"/>
      <c r="K503" s="7"/>
      <c r="L503" s="7"/>
      <c r="M503" s="7"/>
      <c r="N503" s="7"/>
      <c r="O503" s="7"/>
      <c r="P503" s="7"/>
      <c r="Q503" s="7"/>
      <c r="R503" s="7"/>
    </row>
    <row r="504" spans="4:18" ht="0" hidden="1" customHeight="1">
      <c r="D504" s="23"/>
      <c r="E504" s="7"/>
      <c r="F504" s="7"/>
      <c r="G504" s="7"/>
      <c r="H504" s="7"/>
      <c r="I504" s="7"/>
      <c r="J504" s="7"/>
      <c r="K504" s="7"/>
      <c r="L504" s="7"/>
      <c r="M504" s="7"/>
      <c r="N504" s="7"/>
      <c r="O504" s="7"/>
      <c r="P504" s="7"/>
      <c r="Q504" s="7"/>
      <c r="R504" s="7"/>
    </row>
    <row r="505" spans="4:18" ht="0" hidden="1" customHeight="1">
      <c r="D505" s="23"/>
      <c r="E505" s="7"/>
      <c r="F505" s="7"/>
      <c r="G505" s="7"/>
      <c r="H505" s="7"/>
      <c r="I505" s="7"/>
      <c r="J505" s="7"/>
      <c r="K505" s="7"/>
      <c r="L505" s="7"/>
      <c r="M505" s="7"/>
      <c r="N505" s="7"/>
      <c r="O505" s="7"/>
      <c r="P505" s="7"/>
      <c r="Q505" s="7"/>
      <c r="R505" s="7"/>
    </row>
    <row r="506" spans="4:18" ht="0" hidden="1" customHeight="1">
      <c r="D506" s="23"/>
      <c r="E506" s="7"/>
      <c r="F506" s="7"/>
      <c r="G506" s="7"/>
      <c r="H506" s="7"/>
      <c r="I506" s="7"/>
      <c r="J506" s="7"/>
      <c r="K506" s="7"/>
      <c r="L506" s="7"/>
      <c r="M506" s="7"/>
      <c r="N506" s="7"/>
      <c r="O506" s="7"/>
      <c r="P506" s="7"/>
      <c r="Q506" s="7"/>
      <c r="R506" s="7"/>
    </row>
    <row r="507" spans="4:18" ht="0" hidden="1" customHeight="1">
      <c r="D507" s="23"/>
      <c r="E507" s="7"/>
      <c r="F507" s="7"/>
      <c r="G507" s="7"/>
      <c r="H507" s="7"/>
      <c r="I507" s="7"/>
      <c r="J507" s="7"/>
      <c r="K507" s="7"/>
      <c r="L507" s="7"/>
      <c r="M507" s="7"/>
      <c r="N507" s="7"/>
      <c r="O507" s="7"/>
      <c r="P507" s="7"/>
      <c r="Q507" s="7"/>
      <c r="R507" s="7"/>
    </row>
    <row r="508" spans="4:18" ht="0" hidden="1" customHeight="1">
      <c r="D508" s="23"/>
      <c r="E508" s="7"/>
      <c r="F508" s="7"/>
      <c r="G508" s="7"/>
      <c r="H508" s="7"/>
      <c r="I508" s="7"/>
      <c r="J508" s="7"/>
      <c r="K508" s="7"/>
      <c r="L508" s="7"/>
      <c r="M508" s="7"/>
      <c r="N508" s="7"/>
      <c r="O508" s="7"/>
      <c r="P508" s="7"/>
      <c r="Q508" s="7"/>
      <c r="R508" s="7"/>
    </row>
    <row r="509" spans="4:18" ht="0" hidden="1" customHeight="1">
      <c r="D509" s="23"/>
      <c r="E509" s="7"/>
      <c r="F509" s="7"/>
      <c r="G509" s="7"/>
      <c r="H509" s="7"/>
      <c r="I509" s="7"/>
      <c r="J509" s="7"/>
      <c r="K509" s="7"/>
      <c r="L509" s="7"/>
      <c r="M509" s="7"/>
      <c r="N509" s="7"/>
      <c r="O509" s="7"/>
      <c r="P509" s="7"/>
      <c r="Q509" s="7"/>
      <c r="R509" s="7"/>
    </row>
    <row r="510" spans="4:18" ht="0" hidden="1" customHeight="1">
      <c r="D510" s="23"/>
      <c r="E510" s="7"/>
      <c r="F510" s="7"/>
      <c r="G510" s="7"/>
      <c r="H510" s="7"/>
      <c r="I510" s="7"/>
      <c r="J510" s="7"/>
      <c r="K510" s="7"/>
      <c r="L510" s="7"/>
      <c r="M510" s="7"/>
      <c r="N510" s="7"/>
      <c r="O510" s="7"/>
      <c r="P510" s="7"/>
      <c r="Q510" s="7"/>
      <c r="R510" s="7"/>
    </row>
    <row r="511" spans="4:18" ht="0" hidden="1" customHeight="1">
      <c r="D511" s="23"/>
      <c r="E511" s="7"/>
      <c r="F511" s="7"/>
      <c r="G511" s="7"/>
      <c r="H511" s="7"/>
      <c r="I511" s="7"/>
      <c r="J511" s="7"/>
      <c r="K511" s="7"/>
      <c r="L511" s="7"/>
      <c r="M511" s="7"/>
      <c r="N511" s="7"/>
      <c r="O511" s="7"/>
      <c r="P511" s="7"/>
      <c r="Q511" s="7"/>
      <c r="R511" s="7"/>
    </row>
    <row r="512" spans="4:18" ht="0" hidden="1" customHeight="1">
      <c r="D512" s="23"/>
      <c r="E512" s="7"/>
      <c r="F512" s="7"/>
      <c r="G512" s="7"/>
      <c r="H512" s="7"/>
      <c r="I512" s="7"/>
      <c r="J512" s="7"/>
      <c r="K512" s="7"/>
      <c r="L512" s="7"/>
      <c r="M512" s="7"/>
      <c r="N512" s="7"/>
      <c r="O512" s="7"/>
      <c r="P512" s="7"/>
      <c r="Q512" s="7"/>
      <c r="R512" s="7"/>
    </row>
    <row r="513" spans="4:18" ht="0" hidden="1" customHeight="1">
      <c r="D513" s="23"/>
      <c r="E513" s="7"/>
      <c r="F513" s="7"/>
      <c r="G513" s="7"/>
      <c r="H513" s="7"/>
      <c r="I513" s="7"/>
      <c r="J513" s="7"/>
      <c r="K513" s="7"/>
      <c r="L513" s="7"/>
      <c r="M513" s="7"/>
      <c r="N513" s="7"/>
      <c r="O513" s="7"/>
      <c r="P513" s="7"/>
      <c r="Q513" s="7"/>
      <c r="R513" s="7"/>
    </row>
    <row r="514" spans="4:18" ht="0" hidden="1" customHeight="1">
      <c r="D514" s="23"/>
      <c r="E514" s="7"/>
      <c r="F514" s="7"/>
      <c r="G514" s="7"/>
      <c r="H514" s="7"/>
      <c r="I514" s="7"/>
      <c r="J514" s="7"/>
      <c r="K514" s="7"/>
      <c r="L514" s="7"/>
      <c r="M514" s="7"/>
      <c r="N514" s="7"/>
      <c r="O514" s="7"/>
      <c r="P514" s="7"/>
      <c r="Q514" s="7"/>
      <c r="R514" s="7"/>
    </row>
    <row r="515" spans="4:18" ht="0" hidden="1" customHeight="1">
      <c r="D515" s="23"/>
      <c r="E515" s="7"/>
      <c r="F515" s="7"/>
      <c r="G515" s="7"/>
      <c r="H515" s="7"/>
      <c r="I515" s="7"/>
      <c r="J515" s="7"/>
      <c r="K515" s="7"/>
      <c r="L515" s="7"/>
      <c r="M515" s="7"/>
      <c r="N515" s="7"/>
      <c r="O515" s="7"/>
      <c r="P515" s="7"/>
      <c r="Q515" s="7"/>
      <c r="R515" s="7"/>
    </row>
    <row r="516" spans="4:18" ht="0" hidden="1" customHeight="1">
      <c r="D516" s="23"/>
      <c r="E516" s="7"/>
      <c r="F516" s="7"/>
      <c r="G516" s="7"/>
      <c r="H516" s="7"/>
      <c r="I516" s="7"/>
      <c r="J516" s="7"/>
      <c r="K516" s="7"/>
      <c r="L516" s="7"/>
      <c r="M516" s="7"/>
      <c r="N516" s="7"/>
      <c r="O516" s="7"/>
      <c r="P516" s="7"/>
      <c r="Q516" s="7"/>
      <c r="R516" s="7"/>
    </row>
    <row r="517" spans="4:18" ht="0" hidden="1" customHeight="1">
      <c r="D517" s="23"/>
      <c r="E517" s="7"/>
      <c r="F517" s="7"/>
      <c r="G517" s="7"/>
      <c r="H517" s="7"/>
      <c r="I517" s="7"/>
      <c r="J517" s="7"/>
      <c r="K517" s="7"/>
      <c r="L517" s="7"/>
      <c r="M517" s="7"/>
      <c r="N517" s="7"/>
      <c r="O517" s="7"/>
      <c r="P517" s="7"/>
      <c r="Q517" s="7"/>
      <c r="R517" s="7"/>
    </row>
    <row r="518" spans="4:18" ht="0" hidden="1" customHeight="1">
      <c r="D518" s="23"/>
      <c r="E518" s="7"/>
      <c r="F518" s="7"/>
      <c r="G518" s="7"/>
      <c r="H518" s="7"/>
      <c r="I518" s="7"/>
      <c r="J518" s="7"/>
      <c r="K518" s="7"/>
      <c r="L518" s="7"/>
      <c r="M518" s="7"/>
      <c r="N518" s="7"/>
      <c r="O518" s="7"/>
      <c r="P518" s="7"/>
      <c r="Q518" s="7"/>
      <c r="R518" s="7"/>
    </row>
    <row r="519" spans="4:18" ht="0" hidden="1" customHeight="1">
      <c r="D519" s="23"/>
      <c r="E519" s="7"/>
      <c r="F519" s="7"/>
      <c r="G519" s="7"/>
      <c r="H519" s="7"/>
      <c r="I519" s="7"/>
      <c r="J519" s="7"/>
      <c r="K519" s="7"/>
      <c r="L519" s="7"/>
      <c r="M519" s="7"/>
      <c r="N519" s="7"/>
      <c r="O519" s="7"/>
      <c r="P519" s="7"/>
      <c r="Q519" s="7"/>
      <c r="R519" s="7"/>
    </row>
    <row r="520" spans="4:18" ht="0" hidden="1" customHeight="1">
      <c r="D520" s="23"/>
      <c r="E520" s="7"/>
      <c r="F520" s="7"/>
      <c r="G520" s="7"/>
      <c r="H520" s="7"/>
      <c r="I520" s="7"/>
      <c r="J520" s="7"/>
      <c r="K520" s="7"/>
      <c r="L520" s="7"/>
      <c r="M520" s="7"/>
      <c r="N520" s="7"/>
      <c r="O520" s="7"/>
      <c r="P520" s="7"/>
      <c r="Q520" s="7"/>
      <c r="R520" s="7"/>
    </row>
    <row r="521" spans="4:18" ht="0" hidden="1" customHeight="1">
      <c r="D521" s="23"/>
      <c r="E521" s="7"/>
      <c r="F521" s="7"/>
      <c r="G521" s="7"/>
      <c r="H521" s="7"/>
      <c r="I521" s="7"/>
      <c r="J521" s="7"/>
      <c r="K521" s="7"/>
      <c r="L521" s="7"/>
      <c r="M521" s="7"/>
      <c r="N521" s="7"/>
      <c r="O521" s="7"/>
      <c r="P521" s="7"/>
      <c r="Q521" s="7"/>
      <c r="R521" s="7"/>
    </row>
    <row r="522" spans="4:18" ht="0" hidden="1" customHeight="1">
      <c r="D522" s="23"/>
      <c r="E522" s="7"/>
      <c r="F522" s="7"/>
      <c r="G522" s="7"/>
      <c r="H522" s="7"/>
      <c r="I522" s="7"/>
      <c r="J522" s="7"/>
      <c r="K522" s="7"/>
      <c r="L522" s="7"/>
      <c r="M522" s="7"/>
      <c r="N522" s="7"/>
      <c r="O522" s="7"/>
      <c r="P522" s="7"/>
      <c r="Q522" s="7"/>
      <c r="R522" s="7"/>
    </row>
    <row r="523" spans="4:18" ht="0" hidden="1" customHeight="1">
      <c r="D523" s="23"/>
      <c r="E523" s="7"/>
      <c r="F523" s="7"/>
      <c r="G523" s="7"/>
      <c r="H523" s="7"/>
      <c r="I523" s="7"/>
      <c r="J523" s="7"/>
      <c r="K523" s="7"/>
      <c r="L523" s="7"/>
      <c r="M523" s="7"/>
      <c r="N523" s="7"/>
      <c r="O523" s="7"/>
      <c r="P523" s="7"/>
      <c r="Q523" s="7"/>
      <c r="R523" s="7"/>
    </row>
    <row r="524" spans="4:18" ht="0" hidden="1" customHeight="1">
      <c r="D524" s="23"/>
      <c r="E524" s="7"/>
      <c r="F524" s="7"/>
      <c r="G524" s="7"/>
      <c r="H524" s="7"/>
      <c r="I524" s="7"/>
      <c r="J524" s="7"/>
      <c r="K524" s="7"/>
      <c r="L524" s="7"/>
      <c r="M524" s="7"/>
      <c r="N524" s="7"/>
      <c r="O524" s="7"/>
      <c r="P524" s="7"/>
      <c r="Q524" s="7"/>
      <c r="R524" s="7"/>
    </row>
    <row r="525" spans="4:18" ht="0" hidden="1" customHeight="1">
      <c r="D525" s="23"/>
      <c r="E525" s="7"/>
      <c r="F525" s="7"/>
      <c r="G525" s="7"/>
      <c r="H525" s="7"/>
      <c r="I525" s="7"/>
      <c r="J525" s="7"/>
      <c r="K525" s="7"/>
      <c r="L525" s="7"/>
      <c r="M525" s="7"/>
      <c r="N525" s="7"/>
      <c r="O525" s="7"/>
      <c r="P525" s="7"/>
      <c r="Q525" s="7"/>
      <c r="R525" s="7"/>
    </row>
    <row r="526" spans="4:18" ht="0" hidden="1" customHeight="1">
      <c r="D526" s="23"/>
      <c r="E526" s="7"/>
      <c r="F526" s="7"/>
      <c r="G526" s="7"/>
      <c r="H526" s="7"/>
      <c r="I526" s="7"/>
      <c r="J526" s="7"/>
      <c r="K526" s="7"/>
      <c r="L526" s="7"/>
      <c r="M526" s="7"/>
      <c r="N526" s="7"/>
      <c r="O526" s="7"/>
      <c r="P526" s="7"/>
      <c r="Q526" s="7"/>
      <c r="R526" s="7"/>
    </row>
    <row r="527" spans="4:18" ht="0" hidden="1" customHeight="1">
      <c r="D527" s="23"/>
      <c r="E527" s="7"/>
      <c r="F527" s="7"/>
      <c r="G527" s="7"/>
      <c r="H527" s="7"/>
      <c r="I527" s="7"/>
      <c r="J527" s="7"/>
      <c r="K527" s="7"/>
      <c r="L527" s="7"/>
      <c r="M527" s="7"/>
      <c r="N527" s="7"/>
      <c r="O527" s="7"/>
      <c r="P527" s="7"/>
      <c r="Q527" s="7"/>
      <c r="R527" s="7"/>
    </row>
    <row r="528" spans="4:18" ht="0" hidden="1" customHeight="1">
      <c r="D528" s="23"/>
      <c r="E528" s="7"/>
      <c r="F528" s="7"/>
      <c r="G528" s="7"/>
      <c r="H528" s="7"/>
      <c r="I528" s="7"/>
      <c r="J528" s="7"/>
      <c r="K528" s="7"/>
      <c r="L528" s="7"/>
      <c r="M528" s="7"/>
      <c r="N528" s="7"/>
      <c r="O528" s="7"/>
      <c r="P528" s="7"/>
      <c r="Q528" s="7"/>
      <c r="R528" s="7"/>
    </row>
    <row r="529" spans="4:18" ht="0" hidden="1" customHeight="1">
      <c r="D529" s="23"/>
      <c r="E529" s="7"/>
      <c r="F529" s="7"/>
      <c r="G529" s="7"/>
      <c r="H529" s="7"/>
      <c r="I529" s="7"/>
      <c r="J529" s="7"/>
      <c r="K529" s="7"/>
      <c r="L529" s="7"/>
      <c r="M529" s="7"/>
      <c r="N529" s="7"/>
      <c r="O529" s="7"/>
      <c r="P529" s="7"/>
      <c r="Q529" s="7"/>
      <c r="R529" s="7"/>
    </row>
    <row r="530" spans="4:18" ht="0" hidden="1" customHeight="1">
      <c r="D530" s="23"/>
      <c r="E530" s="7"/>
      <c r="F530" s="7"/>
      <c r="G530" s="7"/>
      <c r="H530" s="7"/>
      <c r="I530" s="7"/>
      <c r="J530" s="7"/>
      <c r="K530" s="7"/>
      <c r="L530" s="7"/>
      <c r="M530" s="7"/>
      <c r="N530" s="7"/>
      <c r="O530" s="7"/>
      <c r="P530" s="7"/>
      <c r="Q530" s="7"/>
      <c r="R530" s="7"/>
    </row>
    <row r="531" spans="4:18" ht="0" hidden="1" customHeight="1">
      <c r="D531" s="23"/>
      <c r="E531" s="7"/>
      <c r="F531" s="7"/>
      <c r="G531" s="7"/>
      <c r="H531" s="7"/>
      <c r="I531" s="7"/>
      <c r="J531" s="7"/>
      <c r="K531" s="7"/>
      <c r="L531" s="7"/>
      <c r="M531" s="7"/>
      <c r="N531" s="7"/>
      <c r="O531" s="7"/>
      <c r="P531" s="7"/>
      <c r="Q531" s="7"/>
      <c r="R531" s="7"/>
    </row>
    <row r="532" spans="4:18" ht="0" hidden="1" customHeight="1">
      <c r="D532" s="23"/>
      <c r="E532" s="7"/>
      <c r="F532" s="7"/>
      <c r="G532" s="7"/>
      <c r="H532" s="7"/>
      <c r="I532" s="7"/>
      <c r="J532" s="7"/>
      <c r="K532" s="7"/>
      <c r="L532" s="7"/>
      <c r="M532" s="7"/>
      <c r="N532" s="7"/>
      <c r="O532" s="7"/>
      <c r="P532" s="7"/>
      <c r="Q532" s="7"/>
      <c r="R532" s="7"/>
    </row>
    <row r="533" spans="4:18" ht="0" hidden="1" customHeight="1">
      <c r="D533" s="23"/>
      <c r="E533" s="7"/>
      <c r="F533" s="7"/>
      <c r="G533" s="7"/>
      <c r="H533" s="7"/>
      <c r="I533" s="7"/>
      <c r="J533" s="7"/>
      <c r="K533" s="7"/>
      <c r="L533" s="7"/>
      <c r="M533" s="7"/>
      <c r="N533" s="7"/>
      <c r="O533" s="7"/>
      <c r="P533" s="7"/>
      <c r="Q533" s="7"/>
      <c r="R533" s="7"/>
    </row>
    <row r="534" spans="4:18" ht="0" hidden="1" customHeight="1">
      <c r="D534" s="23"/>
      <c r="E534" s="7"/>
      <c r="F534" s="7"/>
      <c r="G534" s="7"/>
      <c r="H534" s="7"/>
      <c r="I534" s="7"/>
      <c r="J534" s="7"/>
      <c r="K534" s="7"/>
      <c r="L534" s="7"/>
      <c r="M534" s="7"/>
      <c r="N534" s="7"/>
      <c r="O534" s="7"/>
      <c r="P534" s="7"/>
      <c r="Q534" s="7"/>
      <c r="R534" s="7"/>
    </row>
    <row r="535" spans="4:18" ht="0" hidden="1" customHeight="1">
      <c r="D535" s="23"/>
      <c r="E535" s="7"/>
      <c r="F535" s="7"/>
      <c r="G535" s="7"/>
      <c r="H535" s="7"/>
      <c r="I535" s="7"/>
      <c r="J535" s="7"/>
      <c r="K535" s="7"/>
      <c r="L535" s="7"/>
      <c r="M535" s="7"/>
      <c r="N535" s="7"/>
      <c r="O535" s="7"/>
      <c r="P535" s="7"/>
      <c r="Q535" s="7"/>
      <c r="R535" s="7"/>
    </row>
    <row r="536" spans="4:18" ht="0" hidden="1" customHeight="1">
      <c r="D536" s="23"/>
      <c r="E536" s="7"/>
      <c r="F536" s="7"/>
      <c r="G536" s="7"/>
      <c r="H536" s="7"/>
      <c r="I536" s="7"/>
      <c r="J536" s="7"/>
      <c r="K536" s="7"/>
      <c r="L536" s="7"/>
      <c r="M536" s="7"/>
      <c r="N536" s="7"/>
      <c r="O536" s="7"/>
      <c r="P536" s="7"/>
      <c r="Q536" s="7"/>
      <c r="R536" s="7"/>
    </row>
    <row r="537" spans="4:18" ht="0" hidden="1" customHeight="1">
      <c r="D537" s="23"/>
      <c r="E537" s="7"/>
      <c r="F537" s="7"/>
      <c r="G537" s="7"/>
      <c r="H537" s="7"/>
      <c r="I537" s="7"/>
      <c r="J537" s="7"/>
      <c r="K537" s="7"/>
      <c r="L537" s="7"/>
      <c r="M537" s="7"/>
      <c r="N537" s="7"/>
      <c r="O537" s="7"/>
      <c r="P537" s="7"/>
      <c r="Q537" s="7"/>
      <c r="R537" s="7"/>
    </row>
    <row r="538" spans="4:18" ht="0" hidden="1" customHeight="1">
      <c r="D538" s="23"/>
      <c r="E538" s="7"/>
      <c r="F538" s="7"/>
      <c r="G538" s="7"/>
      <c r="H538" s="7"/>
      <c r="I538" s="7"/>
      <c r="J538" s="7"/>
      <c r="K538" s="7"/>
      <c r="L538" s="7"/>
      <c r="M538" s="7"/>
      <c r="N538" s="7"/>
      <c r="O538" s="7"/>
      <c r="P538" s="7"/>
      <c r="Q538" s="7"/>
      <c r="R538" s="7"/>
    </row>
    <row r="539" spans="4:18" ht="0" hidden="1" customHeight="1">
      <c r="D539" s="23"/>
      <c r="E539" s="7"/>
      <c r="F539" s="7"/>
      <c r="G539" s="7"/>
      <c r="H539" s="7"/>
      <c r="I539" s="7"/>
      <c r="J539" s="7"/>
      <c r="K539" s="7"/>
      <c r="L539" s="7"/>
      <c r="M539" s="7"/>
      <c r="N539" s="7"/>
      <c r="O539" s="7"/>
      <c r="P539" s="7"/>
      <c r="Q539" s="7"/>
      <c r="R539" s="7"/>
    </row>
    <row r="540" spans="4:18" ht="0" hidden="1" customHeight="1">
      <c r="D540" s="23"/>
      <c r="E540" s="7"/>
      <c r="F540" s="7"/>
      <c r="G540" s="7"/>
      <c r="H540" s="7"/>
      <c r="I540" s="7"/>
      <c r="J540" s="7"/>
      <c r="K540" s="7"/>
      <c r="L540" s="7"/>
      <c r="M540" s="7"/>
      <c r="N540" s="7"/>
      <c r="O540" s="7"/>
      <c r="P540" s="7"/>
      <c r="Q540" s="7"/>
      <c r="R540" s="7"/>
    </row>
    <row r="541" spans="4:18" ht="0" hidden="1" customHeight="1">
      <c r="D541" s="23"/>
      <c r="E541" s="7"/>
      <c r="F541" s="7"/>
      <c r="G541" s="7"/>
      <c r="H541" s="7"/>
      <c r="I541" s="7"/>
      <c r="J541" s="7"/>
      <c r="K541" s="7"/>
      <c r="L541" s="7"/>
      <c r="M541" s="7"/>
      <c r="N541" s="7"/>
      <c r="O541" s="7"/>
      <c r="P541" s="7"/>
      <c r="Q541" s="7"/>
      <c r="R541" s="7"/>
    </row>
    <row r="542" spans="4:18" ht="0" hidden="1" customHeight="1">
      <c r="D542" s="23"/>
      <c r="E542" s="7"/>
      <c r="F542" s="7"/>
      <c r="G542" s="7"/>
      <c r="H542" s="7"/>
      <c r="I542" s="7"/>
      <c r="J542" s="7"/>
      <c r="K542" s="7"/>
      <c r="L542" s="7"/>
      <c r="M542" s="7"/>
      <c r="N542" s="7"/>
      <c r="O542" s="7"/>
      <c r="P542" s="7"/>
      <c r="Q542" s="7"/>
      <c r="R542" s="7"/>
    </row>
    <row r="543" spans="4:18" ht="0" hidden="1" customHeight="1">
      <c r="D543" s="23"/>
      <c r="E543" s="7"/>
      <c r="F543" s="7"/>
      <c r="G543" s="7"/>
      <c r="H543" s="7"/>
      <c r="I543" s="7"/>
      <c r="J543" s="7"/>
      <c r="K543" s="7"/>
      <c r="L543" s="7"/>
      <c r="M543" s="7"/>
      <c r="N543" s="7"/>
      <c r="O543" s="7"/>
      <c r="P543" s="7"/>
      <c r="Q543" s="7"/>
      <c r="R543" s="7"/>
    </row>
    <row r="544" spans="4:18" ht="0" hidden="1" customHeight="1">
      <c r="D544" s="23"/>
      <c r="E544" s="7"/>
      <c r="F544" s="7"/>
      <c r="G544" s="7"/>
      <c r="H544" s="7"/>
      <c r="I544" s="7"/>
      <c r="J544" s="7"/>
      <c r="K544" s="7"/>
      <c r="L544" s="7"/>
      <c r="M544" s="7"/>
      <c r="N544" s="7"/>
      <c r="O544" s="7"/>
      <c r="P544" s="7"/>
      <c r="Q544" s="7"/>
      <c r="R544" s="7"/>
    </row>
    <row r="545" spans="4:18" ht="0" hidden="1" customHeight="1">
      <c r="D545" s="23"/>
      <c r="E545" s="7"/>
      <c r="F545" s="7"/>
      <c r="G545" s="7"/>
      <c r="H545" s="7"/>
      <c r="I545" s="7"/>
      <c r="J545" s="7"/>
      <c r="K545" s="7"/>
      <c r="L545" s="7"/>
      <c r="M545" s="7"/>
      <c r="N545" s="7"/>
      <c r="O545" s="7"/>
      <c r="P545" s="7"/>
      <c r="Q545" s="7"/>
      <c r="R545" s="7"/>
    </row>
    <row r="546" spans="4:18" ht="0" hidden="1" customHeight="1">
      <c r="D546" s="23"/>
      <c r="E546" s="7"/>
      <c r="F546" s="7"/>
      <c r="G546" s="7"/>
      <c r="H546" s="7"/>
      <c r="I546" s="7"/>
      <c r="J546" s="7"/>
      <c r="K546" s="7"/>
      <c r="L546" s="7"/>
      <c r="M546" s="7"/>
      <c r="N546" s="7"/>
      <c r="O546" s="7"/>
      <c r="P546" s="7"/>
      <c r="Q546" s="7"/>
      <c r="R546" s="7"/>
    </row>
    <row r="547" spans="4:18" ht="0" hidden="1" customHeight="1">
      <c r="D547" s="23"/>
      <c r="E547" s="7"/>
      <c r="F547" s="7"/>
      <c r="G547" s="7"/>
      <c r="H547" s="7"/>
      <c r="I547" s="7"/>
      <c r="J547" s="7"/>
      <c r="K547" s="7"/>
      <c r="L547" s="7"/>
      <c r="M547" s="7"/>
      <c r="N547" s="7"/>
      <c r="O547" s="7"/>
      <c r="P547" s="7"/>
      <c r="Q547" s="7"/>
      <c r="R547" s="7"/>
    </row>
    <row r="548" spans="4:18" ht="0" hidden="1" customHeight="1">
      <c r="D548" s="23"/>
      <c r="E548" s="7"/>
      <c r="F548" s="7"/>
      <c r="G548" s="7"/>
      <c r="H548" s="7"/>
      <c r="I548" s="7"/>
      <c r="J548" s="7"/>
      <c r="K548" s="7"/>
      <c r="L548" s="7"/>
      <c r="M548" s="7"/>
      <c r="N548" s="7"/>
      <c r="O548" s="7"/>
      <c r="P548" s="7"/>
      <c r="Q548" s="7"/>
      <c r="R548" s="7"/>
    </row>
    <row r="549" spans="4:18" ht="0" hidden="1" customHeight="1">
      <c r="D549" s="23"/>
      <c r="E549" s="7"/>
      <c r="F549" s="7"/>
      <c r="G549" s="7"/>
      <c r="H549" s="7"/>
      <c r="I549" s="7"/>
      <c r="J549" s="7"/>
      <c r="K549" s="7"/>
      <c r="L549" s="7"/>
      <c r="M549" s="7"/>
      <c r="N549" s="7"/>
      <c r="O549" s="7"/>
      <c r="P549" s="7"/>
      <c r="Q549" s="7"/>
      <c r="R549" s="7"/>
    </row>
    <row r="550" spans="4:18" ht="0" hidden="1" customHeight="1">
      <c r="D550" s="23"/>
      <c r="E550" s="7"/>
      <c r="F550" s="7"/>
      <c r="G550" s="7"/>
      <c r="H550" s="7"/>
      <c r="I550" s="7"/>
      <c r="J550" s="7"/>
      <c r="K550" s="7"/>
      <c r="L550" s="7"/>
      <c r="M550" s="7"/>
      <c r="N550" s="7"/>
      <c r="O550" s="7"/>
      <c r="P550" s="7"/>
      <c r="Q550" s="7"/>
      <c r="R550" s="7"/>
    </row>
    <row r="551" spans="4:18" ht="0" hidden="1" customHeight="1">
      <c r="D551" s="23"/>
      <c r="E551" s="7"/>
      <c r="F551" s="7"/>
      <c r="G551" s="7"/>
      <c r="H551" s="7"/>
      <c r="I551" s="7"/>
      <c r="J551" s="7"/>
      <c r="K551" s="7"/>
      <c r="L551" s="7"/>
      <c r="M551" s="7"/>
      <c r="N551" s="7"/>
      <c r="O551" s="7"/>
      <c r="P551" s="7"/>
      <c r="Q551" s="7"/>
      <c r="R551" s="7"/>
    </row>
    <row r="552" spans="4:18" ht="0" hidden="1" customHeight="1">
      <c r="D552" s="23"/>
      <c r="E552" s="7"/>
      <c r="F552" s="7"/>
      <c r="G552" s="7"/>
      <c r="H552" s="7"/>
      <c r="I552" s="7"/>
      <c r="J552" s="7"/>
      <c r="K552" s="7"/>
      <c r="L552" s="7"/>
      <c r="M552" s="7"/>
      <c r="N552" s="7"/>
      <c r="O552" s="7"/>
      <c r="P552" s="7"/>
      <c r="Q552" s="7"/>
      <c r="R552" s="7"/>
    </row>
    <row r="553" spans="4:18" ht="0" hidden="1" customHeight="1">
      <c r="D553" s="23"/>
      <c r="E553" s="7"/>
      <c r="F553" s="7"/>
      <c r="G553" s="7"/>
      <c r="H553" s="7"/>
      <c r="I553" s="7"/>
      <c r="J553" s="7"/>
      <c r="K553" s="7"/>
      <c r="L553" s="7"/>
      <c r="M553" s="7"/>
      <c r="N553" s="7"/>
      <c r="O553" s="7"/>
      <c r="P553" s="7"/>
      <c r="Q553" s="7"/>
      <c r="R553" s="7"/>
    </row>
    <row r="554" spans="4:18" ht="0" hidden="1" customHeight="1">
      <c r="D554" s="23"/>
      <c r="E554" s="7"/>
      <c r="F554" s="7"/>
      <c r="G554" s="7"/>
      <c r="H554" s="7"/>
      <c r="I554" s="7"/>
      <c r="J554" s="7"/>
      <c r="K554" s="7"/>
      <c r="L554" s="7"/>
      <c r="M554" s="7"/>
      <c r="N554" s="7"/>
      <c r="O554" s="7"/>
      <c r="P554" s="7"/>
      <c r="Q554" s="7"/>
      <c r="R554" s="7"/>
    </row>
    <row r="555" spans="4:18" ht="0" hidden="1" customHeight="1">
      <c r="D555" s="23"/>
      <c r="E555" s="7"/>
      <c r="F555" s="7"/>
      <c r="G555" s="7"/>
      <c r="H555" s="7"/>
      <c r="I555" s="7"/>
      <c r="J555" s="7"/>
      <c r="K555" s="7"/>
      <c r="L555" s="7"/>
      <c r="M555" s="7"/>
      <c r="N555" s="7"/>
      <c r="O555" s="7"/>
      <c r="P555" s="7"/>
      <c r="Q555" s="7"/>
      <c r="R555" s="7"/>
    </row>
    <row r="556" spans="4:18" ht="0" hidden="1" customHeight="1">
      <c r="D556" s="23"/>
      <c r="E556" s="7"/>
      <c r="F556" s="7"/>
      <c r="G556" s="7"/>
      <c r="H556" s="7"/>
      <c r="I556" s="7"/>
      <c r="J556" s="7"/>
      <c r="K556" s="7"/>
      <c r="L556" s="7"/>
      <c r="M556" s="7"/>
      <c r="N556" s="7"/>
      <c r="O556" s="7"/>
      <c r="P556" s="7"/>
      <c r="Q556" s="7"/>
      <c r="R556" s="7"/>
    </row>
    <row r="557" spans="4:18" ht="0" hidden="1" customHeight="1">
      <c r="D557" s="23"/>
      <c r="E557" s="7"/>
      <c r="F557" s="7"/>
      <c r="G557" s="7"/>
      <c r="H557" s="7"/>
      <c r="I557" s="7"/>
      <c r="J557" s="7"/>
      <c r="K557" s="7"/>
      <c r="L557" s="7"/>
      <c r="M557" s="7"/>
      <c r="N557" s="7"/>
      <c r="O557" s="7"/>
      <c r="P557" s="7"/>
      <c r="Q557" s="7"/>
      <c r="R557" s="7"/>
    </row>
    <row r="558" spans="4:18" ht="0" hidden="1" customHeight="1">
      <c r="D558" s="23"/>
      <c r="E558" s="7"/>
      <c r="F558" s="7"/>
      <c r="G558" s="7"/>
      <c r="H558" s="7"/>
      <c r="I558" s="7"/>
      <c r="J558" s="7"/>
      <c r="K558" s="7"/>
      <c r="L558" s="7"/>
      <c r="M558" s="7"/>
      <c r="N558" s="7"/>
      <c r="O558" s="7"/>
      <c r="P558" s="7"/>
      <c r="Q558" s="7"/>
      <c r="R558" s="7"/>
    </row>
    <row r="559" spans="4:18" ht="0" hidden="1" customHeight="1">
      <c r="D559" s="23"/>
      <c r="E559" s="7"/>
      <c r="F559" s="7"/>
      <c r="G559" s="7"/>
      <c r="H559" s="7"/>
      <c r="I559" s="7"/>
      <c r="J559" s="7"/>
      <c r="K559" s="7"/>
      <c r="L559" s="7"/>
      <c r="M559" s="7"/>
      <c r="N559" s="7"/>
      <c r="O559" s="7"/>
      <c r="P559" s="7"/>
      <c r="Q559" s="7"/>
      <c r="R559" s="7"/>
    </row>
    <row r="560" spans="4:18" ht="0" hidden="1" customHeight="1">
      <c r="D560" s="23"/>
      <c r="E560" s="7"/>
      <c r="F560" s="7"/>
      <c r="G560" s="7"/>
      <c r="H560" s="7"/>
      <c r="I560" s="7"/>
      <c r="J560" s="7"/>
      <c r="K560" s="7"/>
      <c r="L560" s="7"/>
      <c r="M560" s="7"/>
      <c r="N560" s="7"/>
      <c r="O560" s="7"/>
      <c r="P560" s="7"/>
      <c r="Q560" s="7"/>
      <c r="R560" s="7"/>
    </row>
    <row r="561" spans="4:18" ht="0" hidden="1" customHeight="1">
      <c r="D561" s="23"/>
      <c r="E561" s="7"/>
      <c r="F561" s="7"/>
      <c r="G561" s="7"/>
      <c r="H561" s="7"/>
      <c r="I561" s="7"/>
      <c r="J561" s="7"/>
      <c r="K561" s="7"/>
      <c r="L561" s="7"/>
      <c r="M561" s="7"/>
      <c r="N561" s="7"/>
      <c r="O561" s="7"/>
      <c r="P561" s="7"/>
      <c r="Q561" s="7"/>
      <c r="R561" s="7"/>
    </row>
    <row r="562" spans="4:18" ht="0" hidden="1" customHeight="1">
      <c r="D562" s="23"/>
      <c r="E562" s="7"/>
      <c r="F562" s="7"/>
      <c r="G562" s="7"/>
      <c r="H562" s="7"/>
      <c r="I562" s="7"/>
      <c r="J562" s="7"/>
      <c r="K562" s="7"/>
      <c r="L562" s="7"/>
      <c r="M562" s="7"/>
      <c r="N562" s="7"/>
      <c r="O562" s="7"/>
      <c r="P562" s="7"/>
      <c r="Q562" s="7"/>
      <c r="R562" s="7"/>
    </row>
    <row r="563" spans="4:18" ht="0" hidden="1" customHeight="1">
      <c r="D563" s="23"/>
      <c r="E563" s="7"/>
      <c r="F563" s="7"/>
      <c r="G563" s="7"/>
      <c r="H563" s="7"/>
      <c r="I563" s="7"/>
      <c r="J563" s="7"/>
      <c r="K563" s="7"/>
      <c r="L563" s="7"/>
      <c r="M563" s="7"/>
      <c r="N563" s="7"/>
      <c r="O563" s="7"/>
      <c r="P563" s="7"/>
      <c r="Q563" s="7"/>
      <c r="R563" s="7"/>
    </row>
    <row r="564" spans="4:18" ht="0" hidden="1" customHeight="1">
      <c r="D564" s="23"/>
      <c r="E564" s="7"/>
      <c r="F564" s="7"/>
      <c r="G564" s="7"/>
      <c r="H564" s="7"/>
      <c r="I564" s="7"/>
      <c r="J564" s="7"/>
      <c r="K564" s="7"/>
      <c r="L564" s="7"/>
      <c r="M564" s="7"/>
      <c r="N564" s="7"/>
      <c r="O564" s="7"/>
      <c r="P564" s="7"/>
      <c r="Q564" s="7"/>
      <c r="R564" s="7"/>
    </row>
    <row r="565" spans="4:18" ht="0" hidden="1" customHeight="1">
      <c r="D565" s="23"/>
      <c r="E565" s="7"/>
      <c r="F565" s="7"/>
      <c r="G565" s="7"/>
      <c r="H565" s="7"/>
      <c r="I565" s="7"/>
      <c r="J565" s="7"/>
      <c r="K565" s="7"/>
      <c r="L565" s="7"/>
      <c r="M565" s="7"/>
      <c r="N565" s="7"/>
      <c r="O565" s="7"/>
      <c r="P565" s="7"/>
      <c r="Q565" s="7"/>
      <c r="R565" s="7"/>
    </row>
    <row r="566" spans="4:18" ht="0" hidden="1" customHeight="1">
      <c r="D566" s="23"/>
      <c r="E566" s="7"/>
      <c r="F566" s="7"/>
      <c r="G566" s="7"/>
      <c r="H566" s="7"/>
      <c r="I566" s="7"/>
      <c r="J566" s="7"/>
      <c r="K566" s="7"/>
      <c r="L566" s="7"/>
      <c r="M566" s="7"/>
      <c r="N566" s="7"/>
      <c r="O566" s="7"/>
      <c r="P566" s="7"/>
      <c r="Q566" s="7"/>
      <c r="R566" s="7"/>
    </row>
    <row r="567" spans="4:18" ht="0" hidden="1" customHeight="1">
      <c r="D567" s="23"/>
      <c r="E567" s="7"/>
      <c r="F567" s="7"/>
      <c r="G567" s="7"/>
      <c r="H567" s="7"/>
      <c r="I567" s="7"/>
      <c r="J567" s="7"/>
      <c r="K567" s="7"/>
      <c r="L567" s="7"/>
      <c r="M567" s="7"/>
      <c r="N567" s="7"/>
      <c r="O567" s="7"/>
      <c r="P567" s="7"/>
      <c r="Q567" s="7"/>
      <c r="R567" s="7"/>
    </row>
    <row r="568" spans="4:18" ht="0" hidden="1" customHeight="1">
      <c r="D568" s="23"/>
      <c r="E568" s="7"/>
      <c r="F568" s="7"/>
      <c r="G568" s="7"/>
      <c r="H568" s="7"/>
      <c r="I568" s="7"/>
      <c r="J568" s="7"/>
      <c r="K568" s="7"/>
      <c r="L568" s="7"/>
      <c r="M568" s="7"/>
      <c r="N568" s="7"/>
      <c r="O568" s="7"/>
      <c r="P568" s="7"/>
      <c r="Q568" s="7"/>
      <c r="R568" s="7"/>
    </row>
    <row r="569" spans="4:18" ht="0" hidden="1" customHeight="1">
      <c r="D569" s="23"/>
      <c r="E569" s="7"/>
      <c r="F569" s="7"/>
      <c r="G569" s="7"/>
      <c r="H569" s="7"/>
      <c r="I569" s="7"/>
      <c r="J569" s="7"/>
      <c r="K569" s="7"/>
      <c r="L569" s="7"/>
      <c r="M569" s="7"/>
      <c r="N569" s="7"/>
      <c r="O569" s="7"/>
      <c r="P569" s="7"/>
      <c r="Q569" s="7"/>
      <c r="R569" s="7"/>
    </row>
    <row r="570" spans="4:18" ht="0" hidden="1" customHeight="1">
      <c r="D570" s="23"/>
      <c r="E570" s="7"/>
      <c r="F570" s="7"/>
      <c r="G570" s="7"/>
      <c r="H570" s="7"/>
      <c r="I570" s="7"/>
      <c r="J570" s="7"/>
      <c r="K570" s="7"/>
      <c r="L570" s="7"/>
      <c r="M570" s="7"/>
      <c r="N570" s="7"/>
      <c r="O570" s="7"/>
      <c r="P570" s="7"/>
      <c r="Q570" s="7"/>
      <c r="R570" s="7"/>
    </row>
    <row r="571" spans="4:18" ht="0" hidden="1" customHeight="1">
      <c r="D571" s="23"/>
      <c r="E571" s="7"/>
      <c r="F571" s="7"/>
      <c r="G571" s="7"/>
      <c r="H571" s="7"/>
      <c r="I571" s="7"/>
      <c r="J571" s="7"/>
      <c r="K571" s="7"/>
      <c r="L571" s="7"/>
      <c r="M571" s="7"/>
      <c r="N571" s="7"/>
      <c r="O571" s="7"/>
      <c r="P571" s="7"/>
      <c r="Q571" s="7"/>
      <c r="R571" s="7"/>
    </row>
    <row r="572" spans="4:18" ht="0" hidden="1" customHeight="1">
      <c r="D572" s="23"/>
      <c r="E572" s="7"/>
      <c r="F572" s="7"/>
      <c r="G572" s="7"/>
      <c r="H572" s="7"/>
      <c r="I572" s="7"/>
      <c r="J572" s="7"/>
      <c r="K572" s="7"/>
      <c r="L572" s="7"/>
      <c r="M572" s="7"/>
      <c r="N572" s="7"/>
      <c r="O572" s="7"/>
      <c r="P572" s="7"/>
      <c r="Q572" s="7"/>
      <c r="R572" s="7"/>
    </row>
    <row r="573" spans="4:18" ht="0" hidden="1" customHeight="1">
      <c r="D573" s="23"/>
      <c r="E573" s="7"/>
      <c r="F573" s="7"/>
      <c r="G573" s="7"/>
      <c r="H573" s="7"/>
      <c r="I573" s="7"/>
      <c r="J573" s="7"/>
      <c r="K573" s="7"/>
      <c r="L573" s="7"/>
      <c r="M573" s="7"/>
      <c r="N573" s="7"/>
      <c r="O573" s="7"/>
      <c r="P573" s="7"/>
      <c r="Q573" s="7"/>
      <c r="R573" s="7"/>
    </row>
    <row r="574" spans="4:18" ht="0" hidden="1" customHeight="1">
      <c r="D574" s="23"/>
      <c r="E574" s="7"/>
      <c r="F574" s="7"/>
      <c r="G574" s="7"/>
      <c r="H574" s="7"/>
      <c r="I574" s="7"/>
      <c r="J574" s="7"/>
      <c r="K574" s="7"/>
      <c r="L574" s="7"/>
      <c r="M574" s="7"/>
      <c r="N574" s="7"/>
      <c r="O574" s="7"/>
      <c r="P574" s="7"/>
      <c r="Q574" s="7"/>
      <c r="R574" s="7"/>
    </row>
    <row r="575" spans="4:18" ht="0" hidden="1" customHeight="1">
      <c r="D575" s="23"/>
      <c r="E575" s="7"/>
      <c r="F575" s="7"/>
      <c r="G575" s="7"/>
      <c r="H575" s="7"/>
      <c r="I575" s="7"/>
      <c r="J575" s="7"/>
      <c r="K575" s="7"/>
      <c r="L575" s="7"/>
      <c r="M575" s="7"/>
      <c r="N575" s="7"/>
      <c r="O575" s="7"/>
      <c r="P575" s="7"/>
      <c r="Q575" s="7"/>
      <c r="R575" s="7"/>
    </row>
    <row r="576" spans="4:18" ht="0" hidden="1" customHeight="1">
      <c r="D576" s="23"/>
      <c r="E576" s="7"/>
      <c r="F576" s="7"/>
      <c r="G576" s="7"/>
      <c r="H576" s="7"/>
      <c r="I576" s="7"/>
      <c r="J576" s="7"/>
      <c r="K576" s="7"/>
      <c r="L576" s="7"/>
      <c r="M576" s="7"/>
      <c r="N576" s="7"/>
      <c r="O576" s="7"/>
      <c r="P576" s="7"/>
      <c r="Q576" s="7"/>
      <c r="R576" s="7"/>
    </row>
    <row r="577" spans="4:18" ht="0" hidden="1" customHeight="1">
      <c r="D577" s="23"/>
      <c r="E577" s="7"/>
      <c r="F577" s="7"/>
      <c r="G577" s="7"/>
      <c r="H577" s="7"/>
      <c r="I577" s="7"/>
      <c r="J577" s="7"/>
      <c r="K577" s="7"/>
      <c r="L577" s="7"/>
      <c r="M577" s="7"/>
      <c r="N577" s="7"/>
      <c r="O577" s="7"/>
      <c r="P577" s="7"/>
      <c r="Q577" s="7"/>
      <c r="R577" s="7"/>
    </row>
    <row r="578" spans="4:18" ht="0" hidden="1" customHeight="1">
      <c r="D578" s="23"/>
      <c r="E578" s="7"/>
      <c r="F578" s="7"/>
      <c r="G578" s="7"/>
      <c r="H578" s="7"/>
      <c r="I578" s="7"/>
      <c r="J578" s="7"/>
      <c r="K578" s="7"/>
      <c r="L578" s="7"/>
      <c r="M578" s="7"/>
      <c r="N578" s="7"/>
      <c r="O578" s="7"/>
      <c r="P578" s="7"/>
      <c r="Q578" s="7"/>
      <c r="R578" s="7"/>
    </row>
    <row r="579" spans="4:18" ht="0" hidden="1" customHeight="1">
      <c r="D579" s="23"/>
      <c r="E579" s="7"/>
      <c r="F579" s="7"/>
      <c r="G579" s="7"/>
      <c r="H579" s="7"/>
      <c r="I579" s="7"/>
      <c r="J579" s="7"/>
      <c r="K579" s="7"/>
      <c r="L579" s="7"/>
      <c r="M579" s="7"/>
      <c r="N579" s="7"/>
      <c r="O579" s="7"/>
      <c r="P579" s="7"/>
      <c r="Q579" s="7"/>
      <c r="R579" s="7"/>
    </row>
    <row r="580" spans="4:18" ht="0" hidden="1" customHeight="1">
      <c r="D580" s="23"/>
      <c r="E580" s="7"/>
      <c r="F580" s="7"/>
      <c r="G580" s="7"/>
      <c r="H580" s="7"/>
      <c r="I580" s="7"/>
      <c r="J580" s="7"/>
      <c r="K580" s="7"/>
      <c r="L580" s="7"/>
      <c r="M580" s="7"/>
      <c r="N580" s="7"/>
      <c r="O580" s="7"/>
      <c r="P580" s="7"/>
      <c r="Q580" s="7"/>
      <c r="R580" s="7"/>
    </row>
    <row r="581" spans="4:18" ht="0" hidden="1" customHeight="1">
      <c r="D581" s="23"/>
      <c r="E581" s="7"/>
      <c r="F581" s="7"/>
      <c r="G581" s="7"/>
      <c r="H581" s="7"/>
      <c r="I581" s="7"/>
      <c r="J581" s="7"/>
      <c r="K581" s="7"/>
      <c r="L581" s="7"/>
      <c r="M581" s="7"/>
      <c r="N581" s="7"/>
      <c r="O581" s="7"/>
      <c r="P581" s="7"/>
      <c r="Q581" s="7"/>
      <c r="R581" s="7"/>
    </row>
    <row r="582" spans="4:18" ht="0" hidden="1" customHeight="1">
      <c r="D582" s="23"/>
      <c r="E582" s="7"/>
      <c r="F582" s="7"/>
      <c r="G582" s="7"/>
      <c r="H582" s="7"/>
      <c r="I582" s="7"/>
      <c r="J582" s="7"/>
      <c r="K582" s="7"/>
      <c r="L582" s="7"/>
      <c r="M582" s="7"/>
      <c r="N582" s="7"/>
      <c r="O582" s="7"/>
      <c r="P582" s="7"/>
      <c r="Q582" s="7"/>
      <c r="R582" s="7"/>
    </row>
    <row r="583" spans="4:18" ht="0" hidden="1" customHeight="1">
      <c r="D583" s="23"/>
      <c r="E583" s="7"/>
      <c r="F583" s="7"/>
      <c r="G583" s="7"/>
      <c r="H583" s="7"/>
      <c r="I583" s="7"/>
      <c r="J583" s="7"/>
      <c r="K583" s="7"/>
      <c r="L583" s="7"/>
      <c r="M583" s="7"/>
      <c r="N583" s="7"/>
      <c r="O583" s="7"/>
      <c r="P583" s="7"/>
      <c r="Q583" s="7"/>
      <c r="R583" s="7"/>
    </row>
    <row r="584" spans="4:18" ht="0" hidden="1" customHeight="1">
      <c r="D584" s="23"/>
      <c r="E584" s="7"/>
      <c r="F584" s="7"/>
      <c r="G584" s="7"/>
      <c r="H584" s="7"/>
      <c r="I584" s="7"/>
      <c r="J584" s="7"/>
      <c r="K584" s="7"/>
      <c r="L584" s="7"/>
      <c r="M584" s="7"/>
      <c r="N584" s="7"/>
      <c r="O584" s="7"/>
      <c r="P584" s="7"/>
      <c r="Q584" s="7"/>
      <c r="R584" s="7"/>
    </row>
    <row r="585" spans="4:18" ht="0" hidden="1" customHeight="1">
      <c r="D585" s="23"/>
      <c r="E585" s="7"/>
      <c r="F585" s="7"/>
      <c r="G585" s="7"/>
      <c r="H585" s="7"/>
      <c r="I585" s="7"/>
      <c r="J585" s="7"/>
      <c r="K585" s="7"/>
      <c r="L585" s="7"/>
      <c r="M585" s="7"/>
      <c r="N585" s="7"/>
      <c r="O585" s="7"/>
      <c r="P585" s="7"/>
      <c r="Q585" s="7"/>
      <c r="R585" s="7"/>
    </row>
    <row r="586" spans="4:18" ht="0" hidden="1" customHeight="1">
      <c r="D586" s="23"/>
      <c r="E586" s="7"/>
      <c r="F586" s="7"/>
      <c r="G586" s="7"/>
      <c r="H586" s="7"/>
      <c r="I586" s="7"/>
      <c r="J586" s="7"/>
      <c r="K586" s="7"/>
      <c r="L586" s="7"/>
      <c r="M586" s="7"/>
      <c r="N586" s="7"/>
      <c r="O586" s="7"/>
      <c r="P586" s="7"/>
      <c r="Q586" s="7"/>
      <c r="R586" s="7"/>
    </row>
    <row r="587" spans="4:18" ht="0" hidden="1" customHeight="1">
      <c r="D587" s="23"/>
      <c r="E587" s="7"/>
      <c r="F587" s="7"/>
      <c r="G587" s="7"/>
      <c r="H587" s="7"/>
      <c r="I587" s="7"/>
      <c r="J587" s="7"/>
      <c r="K587" s="7"/>
      <c r="L587" s="7"/>
      <c r="M587" s="7"/>
      <c r="N587" s="7"/>
      <c r="O587" s="7"/>
      <c r="P587" s="7"/>
      <c r="Q587" s="7"/>
      <c r="R587" s="7"/>
    </row>
    <row r="588" spans="4:18" ht="0" hidden="1" customHeight="1">
      <c r="D588" s="23"/>
      <c r="E588" s="7"/>
      <c r="F588" s="7"/>
      <c r="G588" s="7"/>
      <c r="H588" s="7"/>
      <c r="I588" s="7"/>
      <c r="J588" s="7"/>
      <c r="K588" s="7"/>
      <c r="L588" s="7"/>
      <c r="M588" s="7"/>
      <c r="N588" s="7"/>
      <c r="O588" s="7"/>
      <c r="P588" s="7"/>
      <c r="Q588" s="7"/>
      <c r="R588" s="7"/>
    </row>
    <row r="589" spans="4:18" ht="0" hidden="1" customHeight="1">
      <c r="D589" s="23"/>
      <c r="E589" s="7"/>
      <c r="F589" s="7"/>
      <c r="G589" s="7"/>
      <c r="H589" s="7"/>
      <c r="I589" s="7"/>
      <c r="J589" s="7"/>
      <c r="K589" s="7"/>
      <c r="L589" s="7"/>
      <c r="M589" s="7"/>
      <c r="N589" s="7"/>
      <c r="O589" s="7"/>
      <c r="P589" s="7"/>
      <c r="Q589" s="7"/>
      <c r="R589" s="7"/>
    </row>
    <row r="590" spans="4:18" ht="0" hidden="1" customHeight="1">
      <c r="D590" s="23"/>
      <c r="E590" s="7"/>
      <c r="F590" s="7"/>
      <c r="G590" s="7"/>
      <c r="H590" s="7"/>
      <c r="I590" s="7"/>
      <c r="J590" s="7"/>
      <c r="K590" s="7"/>
      <c r="L590" s="7"/>
      <c r="M590" s="7"/>
      <c r="N590" s="7"/>
      <c r="O590" s="7"/>
      <c r="P590" s="7"/>
      <c r="Q590" s="7"/>
      <c r="R590" s="7"/>
    </row>
    <row r="591" spans="4:18" ht="0" hidden="1" customHeight="1">
      <c r="D591" s="23"/>
      <c r="E591" s="7"/>
      <c r="F591" s="7"/>
      <c r="G591" s="7"/>
      <c r="H591" s="7"/>
      <c r="I591" s="7"/>
      <c r="J591" s="7"/>
      <c r="K591" s="7"/>
      <c r="L591" s="7"/>
      <c r="M591" s="7"/>
      <c r="N591" s="7"/>
      <c r="O591" s="7"/>
      <c r="P591" s="7"/>
      <c r="Q591" s="7"/>
      <c r="R591" s="7"/>
    </row>
    <row r="592" spans="4:18" ht="0" hidden="1" customHeight="1">
      <c r="D592" s="23"/>
      <c r="E592" s="7"/>
      <c r="F592" s="7"/>
      <c r="G592" s="7"/>
      <c r="H592" s="7"/>
      <c r="I592" s="7"/>
      <c r="J592" s="7"/>
      <c r="K592" s="7"/>
      <c r="L592" s="7"/>
      <c r="M592" s="7"/>
      <c r="N592" s="7"/>
      <c r="O592" s="7"/>
      <c r="P592" s="7"/>
      <c r="Q592" s="7"/>
      <c r="R592" s="7"/>
    </row>
    <row r="593" spans="4:18" ht="0" hidden="1" customHeight="1">
      <c r="D593" s="23"/>
      <c r="E593" s="7"/>
      <c r="F593" s="7"/>
      <c r="G593" s="7"/>
      <c r="H593" s="7"/>
      <c r="I593" s="7"/>
      <c r="J593" s="7"/>
      <c r="K593" s="7"/>
      <c r="L593" s="7"/>
      <c r="M593" s="7"/>
      <c r="N593" s="7"/>
      <c r="O593" s="7"/>
      <c r="P593" s="7"/>
      <c r="Q593" s="7"/>
      <c r="R593" s="7"/>
    </row>
    <row r="594" spans="4:18" ht="0" hidden="1" customHeight="1">
      <c r="D594" s="23"/>
      <c r="E594" s="7"/>
      <c r="F594" s="7"/>
      <c r="G594" s="7"/>
      <c r="H594" s="7"/>
      <c r="I594" s="7"/>
      <c r="J594" s="7"/>
      <c r="K594" s="7"/>
      <c r="L594" s="7"/>
      <c r="M594" s="7"/>
      <c r="N594" s="7"/>
      <c r="O594" s="7"/>
      <c r="P594" s="7"/>
      <c r="Q594" s="7"/>
      <c r="R594" s="7"/>
    </row>
    <row r="595" spans="4:18" ht="0" hidden="1" customHeight="1">
      <c r="D595" s="23"/>
      <c r="E595" s="7"/>
      <c r="F595" s="7"/>
      <c r="G595" s="7"/>
      <c r="H595" s="7"/>
      <c r="I595" s="7"/>
      <c r="J595" s="7"/>
      <c r="K595" s="7"/>
      <c r="L595" s="7"/>
      <c r="M595" s="7"/>
      <c r="N595" s="7"/>
      <c r="O595" s="7"/>
      <c r="P595" s="7"/>
      <c r="Q595" s="7"/>
      <c r="R595" s="7"/>
    </row>
    <row r="596" spans="4:18" ht="0" hidden="1" customHeight="1">
      <c r="D596" s="23"/>
      <c r="E596" s="7"/>
      <c r="F596" s="7"/>
      <c r="G596" s="7"/>
      <c r="H596" s="7"/>
      <c r="I596" s="7"/>
      <c r="J596" s="7"/>
      <c r="K596" s="7"/>
      <c r="L596" s="7"/>
      <c r="M596" s="7"/>
      <c r="N596" s="7"/>
      <c r="O596" s="7"/>
      <c r="P596" s="7"/>
      <c r="Q596" s="7"/>
      <c r="R596" s="7"/>
    </row>
    <row r="597" spans="4:18" ht="0" hidden="1" customHeight="1">
      <c r="D597" s="23"/>
      <c r="E597" s="7"/>
      <c r="F597" s="7"/>
      <c r="G597" s="7"/>
      <c r="H597" s="7"/>
      <c r="I597" s="7"/>
      <c r="J597" s="7"/>
      <c r="K597" s="7"/>
      <c r="L597" s="7"/>
      <c r="M597" s="7"/>
      <c r="N597" s="7"/>
      <c r="O597" s="7"/>
      <c r="P597" s="7"/>
      <c r="Q597" s="7"/>
      <c r="R597" s="7"/>
    </row>
    <row r="598" spans="4:18" ht="0" hidden="1" customHeight="1">
      <c r="D598" s="23"/>
      <c r="E598" s="7"/>
      <c r="F598" s="7"/>
      <c r="G598" s="7"/>
      <c r="H598" s="7"/>
      <c r="I598" s="7"/>
      <c r="J598" s="7"/>
      <c r="K598" s="7"/>
      <c r="L598" s="7"/>
      <c r="M598" s="7"/>
      <c r="N598" s="7"/>
      <c r="O598" s="7"/>
      <c r="P598" s="7"/>
      <c r="Q598" s="7"/>
      <c r="R598" s="7"/>
    </row>
    <row r="599" spans="4:18" ht="0" hidden="1" customHeight="1">
      <c r="D599" s="23"/>
      <c r="E599" s="7"/>
      <c r="F599" s="7"/>
      <c r="G599" s="7"/>
      <c r="H599" s="7"/>
      <c r="I599" s="7"/>
      <c r="J599" s="7"/>
      <c r="K599" s="7"/>
      <c r="L599" s="7"/>
      <c r="M599" s="7"/>
      <c r="N599" s="7"/>
      <c r="O599" s="7"/>
      <c r="P599" s="7"/>
      <c r="Q599" s="7"/>
      <c r="R599" s="7"/>
    </row>
    <row r="600" spans="4:18" ht="0" hidden="1" customHeight="1">
      <c r="D600" s="23"/>
      <c r="E600" s="7"/>
      <c r="F600" s="7"/>
      <c r="G600" s="7"/>
      <c r="H600" s="7"/>
      <c r="I600" s="7"/>
      <c r="J600" s="7"/>
      <c r="K600" s="7"/>
      <c r="L600" s="7"/>
      <c r="M600" s="7"/>
      <c r="N600" s="7"/>
      <c r="O600" s="7"/>
      <c r="P600" s="7"/>
      <c r="Q600" s="7"/>
      <c r="R600" s="7"/>
    </row>
    <row r="601" spans="4:18" ht="0" hidden="1" customHeight="1">
      <c r="D601" s="23"/>
      <c r="E601" s="7"/>
      <c r="F601" s="7"/>
      <c r="G601" s="7"/>
      <c r="H601" s="7"/>
      <c r="I601" s="7"/>
      <c r="J601" s="7"/>
      <c r="K601" s="7"/>
      <c r="L601" s="7"/>
      <c r="M601" s="7"/>
      <c r="N601" s="7"/>
      <c r="O601" s="7"/>
      <c r="P601" s="7"/>
      <c r="Q601" s="7"/>
      <c r="R601" s="7"/>
    </row>
    <row r="602" spans="4:18" ht="0" hidden="1" customHeight="1">
      <c r="D602" s="23"/>
      <c r="E602" s="7"/>
      <c r="F602" s="7"/>
      <c r="G602" s="7"/>
      <c r="H602" s="7"/>
      <c r="I602" s="7"/>
      <c r="J602" s="7"/>
      <c r="K602" s="7"/>
      <c r="L602" s="7"/>
      <c r="M602" s="7"/>
      <c r="N602" s="7"/>
      <c r="O602" s="7"/>
      <c r="P602" s="7"/>
      <c r="Q602" s="7"/>
      <c r="R602" s="7"/>
    </row>
    <row r="603" spans="4:18" ht="0" hidden="1" customHeight="1">
      <c r="D603" s="23"/>
      <c r="E603" s="7"/>
      <c r="F603" s="7"/>
      <c r="G603" s="7"/>
      <c r="H603" s="7"/>
      <c r="I603" s="7"/>
      <c r="J603" s="7"/>
      <c r="K603" s="7"/>
      <c r="L603" s="7"/>
      <c r="M603" s="7"/>
      <c r="N603" s="7"/>
      <c r="O603" s="7"/>
      <c r="P603" s="7"/>
      <c r="Q603" s="7"/>
      <c r="R603" s="7"/>
    </row>
    <row r="604" spans="4:18" ht="0" hidden="1" customHeight="1">
      <c r="D604" s="23"/>
      <c r="E604" s="7"/>
      <c r="F604" s="7"/>
      <c r="G604" s="7"/>
      <c r="H604" s="7"/>
      <c r="I604" s="7"/>
      <c r="J604" s="7"/>
      <c r="K604" s="7"/>
      <c r="L604" s="7"/>
      <c r="M604" s="7"/>
      <c r="N604" s="7"/>
      <c r="O604" s="7"/>
      <c r="P604" s="7"/>
      <c r="Q604" s="7"/>
      <c r="R604" s="7"/>
    </row>
    <row r="605" spans="4:18" ht="0" hidden="1" customHeight="1">
      <c r="D605" s="23"/>
      <c r="E605" s="7"/>
      <c r="F605" s="7"/>
      <c r="G605" s="7"/>
      <c r="H605" s="7"/>
      <c r="I605" s="7"/>
      <c r="J605" s="7"/>
      <c r="K605" s="7"/>
      <c r="L605" s="7"/>
      <c r="M605" s="7"/>
      <c r="N605" s="7"/>
      <c r="O605" s="7"/>
      <c r="P605" s="7"/>
      <c r="Q605" s="7"/>
      <c r="R605" s="7"/>
    </row>
    <row r="606" spans="4:18" ht="0" hidden="1" customHeight="1">
      <c r="D606" s="23"/>
      <c r="E606" s="7"/>
      <c r="F606" s="7"/>
      <c r="G606" s="7"/>
      <c r="H606" s="7"/>
      <c r="I606" s="7"/>
      <c r="J606" s="7"/>
      <c r="K606" s="7"/>
      <c r="L606" s="7"/>
      <c r="M606" s="7"/>
      <c r="N606" s="7"/>
      <c r="O606" s="7"/>
      <c r="P606" s="7"/>
      <c r="Q606" s="7"/>
      <c r="R606" s="7"/>
    </row>
    <row r="607" spans="4:18" ht="0" hidden="1" customHeight="1">
      <c r="D607" s="23"/>
      <c r="E607" s="7"/>
      <c r="F607" s="7"/>
      <c r="G607" s="7"/>
      <c r="H607" s="7"/>
      <c r="I607" s="7"/>
      <c r="J607" s="7"/>
      <c r="K607" s="7"/>
      <c r="L607" s="7"/>
      <c r="M607" s="7"/>
      <c r="N607" s="7"/>
      <c r="O607" s="7"/>
      <c r="P607" s="7"/>
      <c r="Q607" s="7"/>
      <c r="R607" s="7"/>
    </row>
    <row r="608" spans="4:18" ht="0" hidden="1" customHeight="1">
      <c r="D608" s="23"/>
      <c r="E608" s="7"/>
      <c r="F608" s="7"/>
      <c r="G608" s="7"/>
      <c r="H608" s="7"/>
      <c r="I608" s="7"/>
      <c r="J608" s="7"/>
      <c r="K608" s="7"/>
      <c r="L608" s="7"/>
      <c r="M608" s="7"/>
      <c r="N608" s="7"/>
      <c r="O608" s="7"/>
      <c r="P608" s="7"/>
      <c r="Q608" s="7"/>
      <c r="R608" s="7"/>
    </row>
    <row r="609" spans="4:18" ht="0" hidden="1" customHeight="1">
      <c r="D609" s="23"/>
      <c r="E609" s="7"/>
      <c r="F609" s="7"/>
      <c r="G609" s="7"/>
      <c r="H609" s="7"/>
      <c r="I609" s="7"/>
      <c r="J609" s="7"/>
      <c r="K609" s="7"/>
      <c r="L609" s="7"/>
      <c r="M609" s="7"/>
      <c r="N609" s="7"/>
      <c r="O609" s="7"/>
      <c r="P609" s="7"/>
      <c r="Q609" s="7"/>
      <c r="R609" s="7"/>
    </row>
    <row r="610" spans="4:18" ht="0" hidden="1" customHeight="1">
      <c r="D610" s="23"/>
      <c r="E610" s="7"/>
      <c r="F610" s="7"/>
      <c r="G610" s="7"/>
      <c r="H610" s="7"/>
      <c r="I610" s="7"/>
      <c r="J610" s="7"/>
      <c r="K610" s="7"/>
      <c r="L610" s="7"/>
      <c r="M610" s="7"/>
      <c r="N610" s="7"/>
      <c r="O610" s="7"/>
      <c r="P610" s="7"/>
      <c r="Q610" s="7"/>
      <c r="R610" s="7"/>
    </row>
    <row r="611" spans="4:18" ht="0" hidden="1" customHeight="1">
      <c r="D611" s="23"/>
      <c r="E611" s="7"/>
      <c r="F611" s="7"/>
      <c r="G611" s="7"/>
      <c r="H611" s="7"/>
      <c r="I611" s="7"/>
      <c r="J611" s="7"/>
      <c r="K611" s="7"/>
      <c r="L611" s="7"/>
      <c r="M611" s="7"/>
      <c r="N611" s="7"/>
      <c r="O611" s="7"/>
      <c r="P611" s="7"/>
      <c r="Q611" s="7"/>
      <c r="R611" s="7"/>
    </row>
    <row r="612" spans="4:18" ht="0" hidden="1" customHeight="1">
      <c r="D612" s="23"/>
      <c r="E612" s="7"/>
      <c r="F612" s="7"/>
      <c r="G612" s="7"/>
      <c r="H612" s="7"/>
      <c r="I612" s="7"/>
      <c r="J612" s="7"/>
      <c r="K612" s="7"/>
      <c r="L612" s="7"/>
      <c r="M612" s="7"/>
      <c r="N612" s="7"/>
      <c r="O612" s="7"/>
      <c r="P612" s="7"/>
      <c r="Q612" s="7"/>
      <c r="R612" s="7"/>
    </row>
    <row r="613" spans="4:18" ht="0" hidden="1" customHeight="1">
      <c r="D613" s="23"/>
      <c r="E613" s="7"/>
      <c r="F613" s="7"/>
      <c r="G613" s="7"/>
      <c r="H613" s="7"/>
      <c r="I613" s="7"/>
      <c r="J613" s="7"/>
      <c r="K613" s="7"/>
      <c r="L613" s="7"/>
      <c r="M613" s="7"/>
      <c r="N613" s="7"/>
      <c r="O613" s="7"/>
      <c r="P613" s="7"/>
      <c r="Q613" s="7"/>
      <c r="R613" s="7"/>
    </row>
    <row r="614" spans="4:18" ht="0" hidden="1" customHeight="1">
      <c r="D614" s="23"/>
      <c r="E614" s="7"/>
      <c r="F614" s="7"/>
      <c r="G614" s="7"/>
      <c r="H614" s="7"/>
      <c r="I614" s="7"/>
      <c r="J614" s="7"/>
      <c r="K614" s="7"/>
      <c r="L614" s="7"/>
      <c r="M614" s="7"/>
      <c r="N614" s="7"/>
      <c r="O614" s="7"/>
      <c r="P614" s="7"/>
      <c r="Q614" s="7"/>
      <c r="R614" s="7"/>
    </row>
    <row r="615" spans="4:18" ht="0" hidden="1" customHeight="1">
      <c r="D615" s="23"/>
      <c r="E615" s="7"/>
      <c r="F615" s="7"/>
      <c r="G615" s="7"/>
      <c r="H615" s="7"/>
      <c r="I615" s="7"/>
      <c r="J615" s="7"/>
      <c r="K615" s="7"/>
      <c r="L615" s="7"/>
      <c r="M615" s="7"/>
      <c r="N615" s="7"/>
      <c r="O615" s="7"/>
      <c r="P615" s="7"/>
      <c r="Q615" s="7"/>
      <c r="R615" s="7"/>
    </row>
    <row r="616" spans="4:18" ht="0" hidden="1" customHeight="1">
      <c r="D616" s="23"/>
      <c r="E616" s="7"/>
      <c r="F616" s="7"/>
      <c r="G616" s="7"/>
      <c r="H616" s="7"/>
      <c r="I616" s="7"/>
      <c r="J616" s="7"/>
      <c r="K616" s="7"/>
      <c r="L616" s="7"/>
      <c r="M616" s="7"/>
      <c r="N616" s="7"/>
      <c r="O616" s="7"/>
      <c r="P616" s="7"/>
      <c r="Q616" s="7"/>
      <c r="R616" s="7"/>
    </row>
    <row r="617" spans="4:18" ht="0" hidden="1" customHeight="1">
      <c r="D617" s="23"/>
      <c r="E617" s="7"/>
      <c r="F617" s="7"/>
      <c r="G617" s="7"/>
      <c r="H617" s="7"/>
      <c r="I617" s="7"/>
      <c r="J617" s="7"/>
      <c r="K617" s="7"/>
      <c r="L617" s="7"/>
      <c r="M617" s="7"/>
      <c r="N617" s="7"/>
      <c r="O617" s="7"/>
      <c r="P617" s="7"/>
      <c r="Q617" s="7"/>
      <c r="R617" s="7"/>
    </row>
    <row r="618" spans="4:18" ht="0" hidden="1" customHeight="1">
      <c r="D618" s="23"/>
      <c r="E618" s="7"/>
      <c r="F618" s="7"/>
      <c r="G618" s="7"/>
      <c r="H618" s="7"/>
      <c r="I618" s="7"/>
      <c r="J618" s="7"/>
      <c r="K618" s="7"/>
      <c r="L618" s="7"/>
      <c r="M618" s="7"/>
      <c r="N618" s="7"/>
      <c r="O618" s="7"/>
      <c r="P618" s="7"/>
      <c r="Q618" s="7"/>
      <c r="R618" s="7"/>
    </row>
    <row r="619" spans="4:18" ht="0" hidden="1" customHeight="1">
      <c r="D619" s="23"/>
      <c r="E619" s="7"/>
      <c r="F619" s="7"/>
      <c r="G619" s="7"/>
      <c r="H619" s="7"/>
      <c r="I619" s="7"/>
      <c r="J619" s="7"/>
      <c r="K619" s="7"/>
      <c r="L619" s="7"/>
      <c r="M619" s="7"/>
      <c r="N619" s="7"/>
      <c r="O619" s="7"/>
      <c r="P619" s="7"/>
      <c r="Q619" s="7"/>
      <c r="R619" s="7"/>
    </row>
    <row r="620" spans="4:18" ht="0" hidden="1" customHeight="1">
      <c r="D620" s="23"/>
      <c r="E620" s="7"/>
      <c r="F620" s="7"/>
      <c r="G620" s="7"/>
      <c r="H620" s="7"/>
      <c r="I620" s="7"/>
      <c r="J620" s="7"/>
      <c r="K620" s="7"/>
      <c r="L620" s="7"/>
      <c r="M620" s="7"/>
      <c r="N620" s="7"/>
      <c r="O620" s="7"/>
      <c r="P620" s="7"/>
      <c r="Q620" s="7"/>
      <c r="R620" s="7"/>
    </row>
    <row r="621" spans="4:18" ht="0" hidden="1" customHeight="1">
      <c r="D621" s="23"/>
      <c r="E621" s="7"/>
      <c r="F621" s="7"/>
      <c r="G621" s="7"/>
      <c r="H621" s="7"/>
      <c r="I621" s="7"/>
      <c r="J621" s="7"/>
      <c r="K621" s="7"/>
      <c r="L621" s="7"/>
      <c r="M621" s="7"/>
      <c r="N621" s="7"/>
      <c r="O621" s="7"/>
      <c r="P621" s="7"/>
      <c r="Q621" s="7"/>
      <c r="R621" s="7"/>
    </row>
    <row r="622" spans="4:18" ht="0" hidden="1" customHeight="1">
      <c r="D622" s="23"/>
      <c r="E622" s="7"/>
      <c r="F622" s="7"/>
      <c r="G622" s="7"/>
      <c r="H622" s="7"/>
      <c r="I622" s="7"/>
      <c r="J622" s="7"/>
      <c r="K622" s="7"/>
      <c r="L622" s="7"/>
      <c r="M622" s="7"/>
      <c r="N622" s="7"/>
      <c r="O622" s="7"/>
      <c r="P622" s="7"/>
      <c r="Q622" s="7"/>
      <c r="R622" s="7"/>
    </row>
    <row r="623" spans="4:18" ht="0" hidden="1" customHeight="1">
      <c r="D623" s="23"/>
      <c r="E623" s="7"/>
      <c r="F623" s="7"/>
      <c r="G623" s="7"/>
      <c r="H623" s="7"/>
      <c r="I623" s="7"/>
      <c r="J623" s="7"/>
      <c r="K623" s="7"/>
      <c r="L623" s="7"/>
      <c r="M623" s="7"/>
      <c r="N623" s="7"/>
      <c r="O623" s="7"/>
      <c r="P623" s="7"/>
      <c r="Q623" s="7"/>
      <c r="R623" s="7"/>
    </row>
    <row r="624" spans="4:18" ht="0" hidden="1" customHeight="1">
      <c r="D624" s="23"/>
      <c r="E624" s="7"/>
      <c r="F624" s="7"/>
      <c r="G624" s="7"/>
      <c r="H624" s="7"/>
      <c r="I624" s="7"/>
      <c r="J624" s="7"/>
      <c r="K624" s="7"/>
      <c r="L624" s="7"/>
      <c r="M624" s="7"/>
      <c r="N624" s="7"/>
      <c r="O624" s="7"/>
      <c r="P624" s="7"/>
      <c r="Q624" s="7"/>
      <c r="R624" s="7"/>
    </row>
    <row r="625" spans="4:18" ht="0" hidden="1" customHeight="1">
      <c r="D625" s="23"/>
      <c r="E625" s="7"/>
      <c r="F625" s="7"/>
      <c r="G625" s="7"/>
      <c r="H625" s="7"/>
      <c r="I625" s="7"/>
      <c r="J625" s="7"/>
      <c r="K625" s="7"/>
      <c r="L625" s="7"/>
      <c r="M625" s="7"/>
      <c r="N625" s="7"/>
      <c r="O625" s="7"/>
      <c r="P625" s="7"/>
      <c r="Q625" s="7"/>
      <c r="R625" s="7"/>
    </row>
    <row r="626" spans="4:18" ht="0" hidden="1" customHeight="1">
      <c r="D626" s="23"/>
      <c r="E626" s="7"/>
      <c r="F626" s="7"/>
      <c r="G626" s="7"/>
      <c r="H626" s="7"/>
      <c r="I626" s="7"/>
      <c r="J626" s="7"/>
      <c r="K626" s="7"/>
      <c r="L626" s="7"/>
      <c r="M626" s="7"/>
      <c r="N626" s="7"/>
      <c r="O626" s="7"/>
      <c r="P626" s="7"/>
      <c r="Q626" s="7"/>
      <c r="R626" s="7"/>
    </row>
    <row r="627" spans="4:18" ht="0" hidden="1" customHeight="1">
      <c r="D627" s="23"/>
      <c r="E627" s="7"/>
      <c r="F627" s="7"/>
      <c r="G627" s="7"/>
      <c r="H627" s="7"/>
      <c r="I627" s="7"/>
      <c r="J627" s="7"/>
      <c r="K627" s="7"/>
      <c r="L627" s="7"/>
      <c r="M627" s="7"/>
      <c r="N627" s="7"/>
      <c r="O627" s="7"/>
      <c r="P627" s="7"/>
      <c r="Q627" s="7"/>
      <c r="R627" s="7"/>
    </row>
    <row r="628" spans="4:18" ht="0" hidden="1" customHeight="1">
      <c r="D628" s="23"/>
      <c r="E628" s="7"/>
      <c r="F628" s="7"/>
      <c r="G628" s="7"/>
      <c r="H628" s="7"/>
      <c r="I628" s="7"/>
      <c r="J628" s="7"/>
      <c r="K628" s="7"/>
      <c r="L628" s="7"/>
      <c r="M628" s="7"/>
      <c r="N628" s="7"/>
      <c r="O628" s="7"/>
      <c r="P628" s="7"/>
      <c r="Q628" s="7"/>
      <c r="R628" s="7"/>
    </row>
    <row r="629" spans="4:18" ht="0" hidden="1" customHeight="1">
      <c r="D629" s="23"/>
      <c r="E629" s="7"/>
      <c r="F629" s="7"/>
      <c r="G629" s="7"/>
      <c r="H629" s="7"/>
      <c r="I629" s="7"/>
      <c r="J629" s="7"/>
      <c r="K629" s="7"/>
      <c r="L629" s="7"/>
      <c r="M629" s="7"/>
      <c r="N629" s="7"/>
      <c r="O629" s="7"/>
      <c r="P629" s="7"/>
      <c r="Q629" s="7"/>
      <c r="R629" s="7"/>
    </row>
    <row r="630" spans="4:18" ht="0" hidden="1" customHeight="1">
      <c r="D630" s="23"/>
      <c r="E630" s="7"/>
      <c r="F630" s="7"/>
      <c r="G630" s="7"/>
      <c r="H630" s="7"/>
      <c r="I630" s="7"/>
      <c r="J630" s="7"/>
      <c r="K630" s="7"/>
      <c r="L630" s="7"/>
      <c r="M630" s="7"/>
      <c r="N630" s="7"/>
      <c r="O630" s="7"/>
      <c r="P630" s="7"/>
      <c r="Q630" s="7"/>
      <c r="R630" s="7"/>
    </row>
    <row r="631" spans="4:18" ht="0" hidden="1" customHeight="1">
      <c r="D631" s="23"/>
      <c r="E631" s="7"/>
      <c r="F631" s="7"/>
      <c r="G631" s="7"/>
      <c r="H631" s="7"/>
      <c r="I631" s="7"/>
      <c r="J631" s="7"/>
      <c r="K631" s="7"/>
      <c r="L631" s="7"/>
      <c r="M631" s="7"/>
      <c r="N631" s="7"/>
      <c r="O631" s="7"/>
      <c r="P631" s="7"/>
      <c r="Q631" s="7"/>
      <c r="R631" s="7"/>
    </row>
    <row r="632" spans="4:18" ht="0" hidden="1" customHeight="1">
      <c r="D632" s="23"/>
      <c r="E632" s="7"/>
      <c r="F632" s="7"/>
      <c r="G632" s="7"/>
      <c r="H632" s="7"/>
      <c r="I632" s="7"/>
      <c r="J632" s="7"/>
      <c r="K632" s="7"/>
      <c r="L632" s="7"/>
      <c r="M632" s="7"/>
      <c r="N632" s="7"/>
      <c r="O632" s="7"/>
      <c r="P632" s="7"/>
      <c r="Q632" s="7"/>
      <c r="R632" s="7"/>
    </row>
    <row r="633" spans="4:18" ht="0" hidden="1" customHeight="1">
      <c r="D633" s="23"/>
      <c r="E633" s="7"/>
      <c r="F633" s="7"/>
      <c r="G633" s="7"/>
      <c r="H633" s="7"/>
      <c r="I633" s="7"/>
      <c r="J633" s="7"/>
      <c r="K633" s="7"/>
      <c r="L633" s="7"/>
      <c r="M633" s="7"/>
      <c r="N633" s="7"/>
      <c r="O633" s="7"/>
      <c r="P633" s="7"/>
      <c r="Q633" s="7"/>
      <c r="R633" s="7"/>
    </row>
    <row r="634" spans="4:18" ht="0" hidden="1" customHeight="1">
      <c r="D634" s="23"/>
      <c r="E634" s="7"/>
      <c r="F634" s="7"/>
      <c r="G634" s="7"/>
      <c r="H634" s="7"/>
      <c r="I634" s="7"/>
      <c r="J634" s="7"/>
      <c r="K634" s="7"/>
      <c r="L634" s="7"/>
      <c r="M634" s="7"/>
      <c r="N634" s="7"/>
      <c r="O634" s="7"/>
      <c r="P634" s="7"/>
      <c r="Q634" s="7"/>
      <c r="R634" s="7"/>
    </row>
    <row r="635" spans="4:18" ht="0" hidden="1" customHeight="1">
      <c r="D635" s="23"/>
      <c r="E635" s="7"/>
      <c r="F635" s="7"/>
      <c r="G635" s="7"/>
      <c r="H635" s="7"/>
      <c r="I635" s="7"/>
      <c r="J635" s="7"/>
      <c r="K635" s="7"/>
      <c r="L635" s="7"/>
      <c r="M635" s="7"/>
      <c r="N635" s="7"/>
      <c r="O635" s="7"/>
      <c r="P635" s="7"/>
      <c r="Q635" s="7"/>
      <c r="R635" s="7"/>
    </row>
    <row r="636" spans="4:18" ht="0" hidden="1" customHeight="1">
      <c r="D636" s="23"/>
      <c r="E636" s="7"/>
      <c r="F636" s="7"/>
      <c r="G636" s="7"/>
      <c r="H636" s="7"/>
      <c r="I636" s="7"/>
      <c r="J636" s="7"/>
      <c r="K636" s="7"/>
      <c r="L636" s="7"/>
      <c r="M636" s="7"/>
      <c r="N636" s="7"/>
      <c r="O636" s="7"/>
      <c r="P636" s="7"/>
      <c r="Q636" s="7"/>
      <c r="R636" s="7"/>
    </row>
    <row r="637" spans="4:18" ht="0" hidden="1" customHeight="1">
      <c r="D637" s="23"/>
      <c r="E637" s="7"/>
      <c r="F637" s="7"/>
      <c r="G637" s="7"/>
      <c r="H637" s="7"/>
      <c r="I637" s="7"/>
      <c r="J637" s="7"/>
      <c r="K637" s="7"/>
      <c r="L637" s="7"/>
      <c r="M637" s="7"/>
      <c r="N637" s="7"/>
      <c r="O637" s="7"/>
      <c r="P637" s="7"/>
      <c r="Q637" s="7"/>
      <c r="R637" s="7"/>
    </row>
    <row r="638" spans="4:18" ht="0" hidden="1" customHeight="1">
      <c r="D638" s="23"/>
      <c r="E638" s="7"/>
      <c r="F638" s="7"/>
      <c r="G638" s="7"/>
      <c r="H638" s="7"/>
      <c r="I638" s="7"/>
      <c r="J638" s="7"/>
      <c r="K638" s="7"/>
      <c r="L638" s="7"/>
      <c r="M638" s="7"/>
      <c r="N638" s="7"/>
      <c r="O638" s="7"/>
      <c r="P638" s="7"/>
      <c r="Q638" s="7"/>
      <c r="R638" s="7"/>
    </row>
    <row r="639" spans="4:18" ht="0" hidden="1" customHeight="1">
      <c r="D639" s="23"/>
      <c r="E639" s="7"/>
      <c r="F639" s="7"/>
      <c r="G639" s="7"/>
      <c r="H639" s="7"/>
      <c r="I639" s="7"/>
      <c r="J639" s="7"/>
      <c r="K639" s="7"/>
      <c r="L639" s="7"/>
      <c r="M639" s="7"/>
      <c r="N639" s="7"/>
      <c r="O639" s="7"/>
      <c r="P639" s="7"/>
      <c r="Q639" s="7"/>
      <c r="R639" s="7"/>
    </row>
    <row r="640" spans="4:18" ht="0" hidden="1" customHeight="1">
      <c r="D640" s="23"/>
      <c r="E640" s="7"/>
      <c r="F640" s="7"/>
      <c r="G640" s="7"/>
      <c r="H640" s="7"/>
      <c r="I640" s="7"/>
      <c r="J640" s="7"/>
      <c r="K640" s="7"/>
      <c r="L640" s="7"/>
      <c r="M640" s="7"/>
      <c r="N640" s="7"/>
      <c r="O640" s="7"/>
      <c r="P640" s="7"/>
      <c r="Q640" s="7"/>
      <c r="R640" s="7"/>
    </row>
    <row r="641" spans="4:18" ht="0" hidden="1" customHeight="1">
      <c r="D641" s="23"/>
      <c r="E641" s="7"/>
      <c r="F641" s="7"/>
      <c r="G641" s="7"/>
      <c r="H641" s="7"/>
      <c r="I641" s="7"/>
      <c r="J641" s="7"/>
      <c r="K641" s="7"/>
      <c r="L641" s="7"/>
      <c r="M641" s="7"/>
      <c r="N641" s="7"/>
      <c r="O641" s="7"/>
      <c r="P641" s="7"/>
      <c r="Q641" s="7"/>
      <c r="R641" s="7"/>
    </row>
    <row r="642" spans="4:18" ht="0" hidden="1" customHeight="1">
      <c r="D642" s="23"/>
      <c r="E642" s="7"/>
      <c r="F642" s="7"/>
      <c r="G642" s="7"/>
      <c r="H642" s="7"/>
      <c r="I642" s="7"/>
      <c r="J642" s="7"/>
      <c r="K642" s="7"/>
      <c r="L642" s="7"/>
      <c r="M642" s="7"/>
      <c r="N642" s="7"/>
      <c r="O642" s="7"/>
      <c r="P642" s="7"/>
      <c r="Q642" s="7"/>
      <c r="R642" s="7"/>
    </row>
    <row r="643" spans="4:18" ht="0" hidden="1" customHeight="1">
      <c r="D643" s="23"/>
      <c r="E643" s="7"/>
      <c r="F643" s="7"/>
      <c r="G643" s="7"/>
      <c r="H643" s="7"/>
      <c r="I643" s="7"/>
      <c r="J643" s="7"/>
      <c r="K643" s="7"/>
      <c r="L643" s="7"/>
      <c r="M643" s="7"/>
      <c r="N643" s="7"/>
      <c r="O643" s="7"/>
      <c r="P643" s="7"/>
      <c r="Q643" s="7"/>
      <c r="R643" s="7"/>
    </row>
    <row r="644" spans="4:18" ht="0" hidden="1" customHeight="1">
      <c r="D644" s="23"/>
      <c r="E644" s="7"/>
      <c r="F644" s="7"/>
      <c r="G644" s="7"/>
      <c r="H644" s="7"/>
      <c r="I644" s="7"/>
      <c r="J644" s="7"/>
      <c r="K644" s="7"/>
      <c r="L644" s="7"/>
      <c r="M644" s="7"/>
      <c r="N644" s="7"/>
      <c r="O644" s="7"/>
      <c r="P644" s="7"/>
      <c r="Q644" s="7"/>
      <c r="R644" s="7"/>
    </row>
    <row r="645" spans="4:18" ht="0" hidden="1" customHeight="1">
      <c r="D645" s="23"/>
      <c r="E645" s="7"/>
      <c r="F645" s="7"/>
      <c r="G645" s="7"/>
      <c r="H645" s="7"/>
      <c r="I645" s="7"/>
      <c r="J645" s="7"/>
      <c r="K645" s="7"/>
      <c r="L645" s="7"/>
      <c r="M645" s="7"/>
      <c r="N645" s="7"/>
      <c r="O645" s="7"/>
      <c r="P645" s="7"/>
      <c r="Q645" s="7"/>
      <c r="R645" s="7"/>
    </row>
    <row r="646" spans="4:18" ht="0" hidden="1" customHeight="1">
      <c r="D646" s="23"/>
      <c r="E646" s="7"/>
      <c r="F646" s="7"/>
      <c r="G646" s="7"/>
      <c r="H646" s="7"/>
      <c r="I646" s="7"/>
      <c r="J646" s="7"/>
      <c r="K646" s="7"/>
      <c r="L646" s="7"/>
      <c r="M646" s="7"/>
      <c r="N646" s="7"/>
      <c r="O646" s="7"/>
      <c r="P646" s="7"/>
      <c r="Q646" s="7"/>
      <c r="R646" s="7"/>
    </row>
    <row r="647" spans="4:18" ht="0" hidden="1" customHeight="1">
      <c r="D647" s="23"/>
      <c r="E647" s="7"/>
      <c r="F647" s="7"/>
      <c r="G647" s="7"/>
      <c r="H647" s="7"/>
      <c r="I647" s="7"/>
      <c r="J647" s="7"/>
      <c r="K647" s="7"/>
      <c r="L647" s="7"/>
      <c r="M647" s="7"/>
      <c r="N647" s="7"/>
      <c r="O647" s="7"/>
      <c r="P647" s="7"/>
      <c r="Q647" s="7"/>
      <c r="R647" s="7"/>
    </row>
    <row r="648" spans="4:18" ht="0" hidden="1" customHeight="1">
      <c r="D648" s="23"/>
      <c r="E648" s="7"/>
      <c r="F648" s="7"/>
      <c r="G648" s="7"/>
      <c r="H648" s="7"/>
      <c r="I648" s="7"/>
      <c r="J648" s="7"/>
      <c r="K648" s="7"/>
      <c r="L648" s="7"/>
      <c r="M648" s="7"/>
      <c r="N648" s="7"/>
      <c r="O648" s="7"/>
      <c r="P648" s="7"/>
      <c r="Q648" s="7"/>
      <c r="R648" s="7"/>
    </row>
    <row r="649" spans="4:18" ht="0" hidden="1" customHeight="1">
      <c r="D649" s="23"/>
      <c r="E649" s="7"/>
      <c r="F649" s="7"/>
      <c r="G649" s="7"/>
      <c r="H649" s="7"/>
      <c r="I649" s="7"/>
      <c r="J649" s="7"/>
      <c r="K649" s="7"/>
      <c r="L649" s="7"/>
      <c r="M649" s="7"/>
      <c r="N649" s="7"/>
      <c r="O649" s="7"/>
      <c r="P649" s="7"/>
      <c r="Q649" s="7"/>
      <c r="R649" s="7"/>
    </row>
    <row r="650" spans="4:18" ht="0" hidden="1" customHeight="1">
      <c r="D650" s="23"/>
      <c r="E650" s="7"/>
      <c r="F650" s="7"/>
      <c r="G650" s="7"/>
      <c r="H650" s="7"/>
      <c r="I650" s="7"/>
      <c r="J650" s="7"/>
      <c r="K650" s="7"/>
      <c r="L650" s="7"/>
      <c r="M650" s="7"/>
      <c r="N650" s="7"/>
      <c r="O650" s="7"/>
      <c r="P650" s="7"/>
      <c r="Q650" s="7"/>
      <c r="R650" s="7"/>
    </row>
    <row r="651" spans="4:18" ht="0" hidden="1" customHeight="1">
      <c r="D651" s="23"/>
      <c r="E651" s="7"/>
      <c r="F651" s="7"/>
      <c r="G651" s="7"/>
      <c r="H651" s="7"/>
      <c r="I651" s="7"/>
      <c r="J651" s="7"/>
      <c r="K651" s="7"/>
      <c r="L651" s="7"/>
      <c r="M651" s="7"/>
      <c r="N651" s="7"/>
      <c r="O651" s="7"/>
      <c r="P651" s="7"/>
      <c r="Q651" s="7"/>
      <c r="R651" s="7"/>
    </row>
    <row r="652" spans="4:18" ht="0" hidden="1" customHeight="1">
      <c r="D652" s="23"/>
      <c r="E652" s="7"/>
      <c r="F652" s="7"/>
      <c r="G652" s="7"/>
      <c r="H652" s="7"/>
      <c r="I652" s="7"/>
      <c r="J652" s="7"/>
      <c r="K652" s="7"/>
      <c r="L652" s="7"/>
      <c r="M652" s="7"/>
      <c r="N652" s="7"/>
      <c r="O652" s="7"/>
      <c r="P652" s="7"/>
      <c r="Q652" s="7"/>
      <c r="R652" s="7"/>
    </row>
    <row r="653" spans="4:18" ht="0" hidden="1" customHeight="1">
      <c r="D653" s="23"/>
      <c r="E653" s="7"/>
      <c r="F653" s="7"/>
      <c r="G653" s="7"/>
      <c r="H653" s="7"/>
      <c r="I653" s="7"/>
      <c r="J653" s="7"/>
      <c r="K653" s="7"/>
      <c r="L653" s="7"/>
      <c r="M653" s="7"/>
      <c r="N653" s="7"/>
      <c r="O653" s="7"/>
      <c r="P653" s="7"/>
      <c r="Q653" s="7"/>
      <c r="R653" s="7"/>
    </row>
    <row r="654" spans="4:18" ht="0" hidden="1" customHeight="1">
      <c r="D654" s="23"/>
      <c r="E654" s="7"/>
      <c r="F654" s="7"/>
      <c r="G654" s="7"/>
      <c r="H654" s="7"/>
      <c r="I654" s="7"/>
      <c r="J654" s="7"/>
      <c r="K654" s="7"/>
      <c r="L654" s="7"/>
      <c r="M654" s="7"/>
      <c r="N654" s="7"/>
      <c r="O654" s="7"/>
      <c r="P654" s="7"/>
      <c r="Q654" s="7"/>
      <c r="R654" s="7"/>
    </row>
    <row r="655" spans="4:18" ht="0" hidden="1" customHeight="1">
      <c r="D655" s="23"/>
      <c r="E655" s="7"/>
      <c r="F655" s="7"/>
      <c r="G655" s="7"/>
      <c r="H655" s="7"/>
      <c r="I655" s="7"/>
      <c r="J655" s="7"/>
      <c r="K655" s="7"/>
      <c r="L655" s="7"/>
      <c r="M655" s="7"/>
      <c r="N655" s="7"/>
      <c r="O655" s="7"/>
      <c r="P655" s="7"/>
      <c r="Q655" s="7"/>
      <c r="R655" s="7"/>
    </row>
    <row r="656" spans="4:18" ht="0" hidden="1" customHeight="1">
      <c r="D656" s="23"/>
      <c r="E656" s="7"/>
      <c r="F656" s="7"/>
      <c r="G656" s="7"/>
      <c r="H656" s="7"/>
      <c r="I656" s="7"/>
      <c r="J656" s="7"/>
      <c r="K656" s="7"/>
      <c r="L656" s="7"/>
      <c r="M656" s="7"/>
      <c r="N656" s="7"/>
      <c r="O656" s="7"/>
      <c r="P656" s="7"/>
      <c r="Q656" s="7"/>
      <c r="R656" s="7"/>
    </row>
    <row r="657" spans="4:18" ht="0" hidden="1" customHeight="1">
      <c r="D657" s="23"/>
      <c r="E657" s="7"/>
      <c r="F657" s="7"/>
      <c r="G657" s="7"/>
      <c r="H657" s="7"/>
      <c r="I657" s="7"/>
      <c r="J657" s="7"/>
      <c r="K657" s="7"/>
      <c r="L657" s="7"/>
      <c r="M657" s="7"/>
      <c r="N657" s="7"/>
      <c r="O657" s="7"/>
      <c r="P657" s="7"/>
      <c r="Q657" s="7"/>
      <c r="R657" s="7"/>
    </row>
    <row r="658" spans="4:18" ht="0" hidden="1" customHeight="1">
      <c r="D658" s="23"/>
      <c r="E658" s="7"/>
      <c r="F658" s="7"/>
      <c r="G658" s="7"/>
      <c r="H658" s="7"/>
      <c r="I658" s="7"/>
      <c r="J658" s="7"/>
      <c r="K658" s="7"/>
      <c r="L658" s="7"/>
      <c r="M658" s="7"/>
      <c r="N658" s="7"/>
      <c r="O658" s="7"/>
      <c r="P658" s="7"/>
      <c r="Q658" s="7"/>
      <c r="R658" s="7"/>
    </row>
    <row r="659" spans="4:18" ht="0" hidden="1" customHeight="1">
      <c r="D659" s="23"/>
      <c r="E659" s="7"/>
      <c r="F659" s="7"/>
      <c r="G659" s="7"/>
      <c r="H659" s="7"/>
      <c r="I659" s="7"/>
      <c r="J659" s="7"/>
      <c r="K659" s="7"/>
      <c r="L659" s="7"/>
      <c r="M659" s="7"/>
      <c r="N659" s="7"/>
      <c r="O659" s="7"/>
      <c r="P659" s="7"/>
      <c r="Q659" s="7"/>
      <c r="R659" s="7"/>
    </row>
    <row r="660" spans="4:18" ht="0" hidden="1" customHeight="1">
      <c r="D660" s="23"/>
      <c r="E660" s="7"/>
      <c r="F660" s="7"/>
      <c r="G660" s="7"/>
      <c r="H660" s="7"/>
      <c r="I660" s="7"/>
      <c r="J660" s="7"/>
      <c r="K660" s="7"/>
      <c r="L660" s="7"/>
      <c r="M660" s="7"/>
      <c r="N660" s="7"/>
      <c r="O660" s="7"/>
      <c r="P660" s="7"/>
      <c r="Q660" s="7"/>
      <c r="R660" s="7"/>
    </row>
    <row r="661" spans="4:18" ht="0" hidden="1" customHeight="1">
      <c r="D661" s="23"/>
      <c r="E661" s="7"/>
      <c r="F661" s="7"/>
      <c r="G661" s="7"/>
      <c r="H661" s="7"/>
      <c r="I661" s="7"/>
      <c r="J661" s="7"/>
      <c r="K661" s="7"/>
      <c r="L661" s="7"/>
      <c r="M661" s="7"/>
      <c r="N661" s="7"/>
      <c r="O661" s="7"/>
      <c r="P661" s="7"/>
      <c r="Q661" s="7"/>
      <c r="R661" s="7"/>
    </row>
    <row r="662" spans="4:18" ht="0" hidden="1" customHeight="1">
      <c r="D662" s="23"/>
      <c r="E662" s="7"/>
      <c r="F662" s="7"/>
      <c r="G662" s="7"/>
      <c r="H662" s="7"/>
      <c r="I662" s="7"/>
      <c r="J662" s="7"/>
      <c r="K662" s="7"/>
      <c r="L662" s="7"/>
      <c r="M662" s="7"/>
      <c r="N662" s="7"/>
      <c r="O662" s="7"/>
      <c r="P662" s="7"/>
      <c r="Q662" s="7"/>
      <c r="R662" s="7"/>
    </row>
    <row r="663" spans="4:18" ht="0" hidden="1" customHeight="1">
      <c r="D663" s="23"/>
      <c r="E663" s="7"/>
      <c r="F663" s="7"/>
      <c r="G663" s="7"/>
      <c r="H663" s="7"/>
      <c r="I663" s="7"/>
      <c r="J663" s="7"/>
      <c r="K663" s="7"/>
      <c r="L663" s="7"/>
      <c r="M663" s="7"/>
      <c r="N663" s="7"/>
      <c r="O663" s="7"/>
      <c r="P663" s="7"/>
      <c r="Q663" s="7"/>
      <c r="R663" s="7"/>
    </row>
    <row r="664" spans="4:18" ht="0" hidden="1" customHeight="1">
      <c r="D664" s="23"/>
      <c r="E664" s="7"/>
      <c r="F664" s="7"/>
      <c r="G664" s="7"/>
      <c r="H664" s="7"/>
      <c r="I664" s="7"/>
      <c r="J664" s="7"/>
      <c r="K664" s="7"/>
      <c r="L664" s="7"/>
      <c r="M664" s="7"/>
      <c r="N664" s="7"/>
      <c r="O664" s="7"/>
      <c r="P664" s="7"/>
      <c r="Q664" s="7"/>
      <c r="R664" s="7"/>
    </row>
    <row r="665" spans="4:18" ht="0" hidden="1" customHeight="1">
      <c r="D665" s="23"/>
      <c r="E665" s="7"/>
      <c r="F665" s="7"/>
      <c r="G665" s="7"/>
      <c r="H665" s="7"/>
      <c r="I665" s="7"/>
      <c r="J665" s="7"/>
      <c r="K665" s="7"/>
      <c r="L665" s="7"/>
      <c r="M665" s="7"/>
      <c r="N665" s="7"/>
      <c r="O665" s="7"/>
      <c r="P665" s="7"/>
      <c r="Q665" s="7"/>
      <c r="R665" s="7"/>
    </row>
    <row r="666" spans="4:18" ht="0" hidden="1" customHeight="1">
      <c r="D666" s="23"/>
      <c r="E666" s="7"/>
      <c r="F666" s="7"/>
      <c r="G666" s="7"/>
      <c r="H666" s="7"/>
      <c r="I666" s="7"/>
      <c r="J666" s="7"/>
      <c r="K666" s="7"/>
      <c r="L666" s="7"/>
      <c r="M666" s="7"/>
      <c r="N666" s="7"/>
      <c r="O666" s="7"/>
      <c r="P666" s="7"/>
      <c r="Q666" s="7"/>
      <c r="R666" s="7"/>
    </row>
    <row r="667" spans="4:18" ht="0" hidden="1" customHeight="1">
      <c r="D667" s="23"/>
      <c r="E667" s="7"/>
      <c r="F667" s="7"/>
      <c r="G667" s="7"/>
      <c r="H667" s="7"/>
      <c r="I667" s="7"/>
      <c r="J667" s="7"/>
      <c r="K667" s="7"/>
      <c r="L667" s="7"/>
      <c r="M667" s="7"/>
      <c r="N667" s="7"/>
      <c r="O667" s="7"/>
      <c r="P667" s="7"/>
      <c r="Q667" s="7"/>
      <c r="R667" s="7"/>
    </row>
    <row r="668" spans="4:18" ht="0" hidden="1" customHeight="1">
      <c r="D668" s="23"/>
      <c r="E668" s="7"/>
      <c r="F668" s="7"/>
      <c r="G668" s="7"/>
      <c r="H668" s="7"/>
      <c r="I668" s="7"/>
      <c r="J668" s="7"/>
      <c r="K668" s="7"/>
      <c r="L668" s="7"/>
      <c r="M668" s="7"/>
      <c r="N668" s="7"/>
      <c r="O668" s="7"/>
      <c r="P668" s="7"/>
      <c r="Q668" s="7"/>
      <c r="R668" s="7"/>
    </row>
    <row r="669" spans="4:18" ht="0" hidden="1" customHeight="1">
      <c r="D669" s="23"/>
      <c r="E669" s="7"/>
      <c r="F669" s="7"/>
      <c r="G669" s="7"/>
      <c r="H669" s="7"/>
      <c r="I669" s="7"/>
      <c r="J669" s="7"/>
      <c r="K669" s="7"/>
      <c r="L669" s="7"/>
      <c r="M669" s="7"/>
      <c r="N669" s="7"/>
      <c r="O669" s="7"/>
      <c r="P669" s="7"/>
      <c r="Q669" s="7"/>
      <c r="R669" s="7"/>
    </row>
    <row r="670" spans="4:18" ht="0" hidden="1" customHeight="1">
      <c r="D670" s="23"/>
      <c r="E670" s="7"/>
      <c r="F670" s="7"/>
      <c r="G670" s="7"/>
      <c r="H670" s="7"/>
      <c r="I670" s="7"/>
      <c r="J670" s="7"/>
      <c r="K670" s="7"/>
      <c r="L670" s="7"/>
      <c r="M670" s="7"/>
      <c r="N670" s="7"/>
      <c r="O670" s="7"/>
      <c r="P670" s="7"/>
      <c r="Q670" s="7"/>
      <c r="R670" s="7"/>
    </row>
    <row r="671" spans="4:18" ht="0" hidden="1" customHeight="1">
      <c r="D671" s="23"/>
      <c r="E671" s="7"/>
      <c r="F671" s="7"/>
      <c r="G671" s="7"/>
      <c r="H671" s="7"/>
      <c r="I671" s="7"/>
      <c r="J671" s="7"/>
      <c r="K671" s="7"/>
      <c r="L671" s="7"/>
      <c r="M671" s="7"/>
      <c r="N671" s="7"/>
      <c r="O671" s="7"/>
      <c r="P671" s="7"/>
      <c r="Q671" s="7"/>
      <c r="R671" s="7"/>
    </row>
    <row r="672" spans="4:18" ht="0" hidden="1" customHeight="1">
      <c r="D672" s="23"/>
      <c r="E672" s="7"/>
      <c r="F672" s="7"/>
      <c r="G672" s="7"/>
      <c r="H672" s="7"/>
      <c r="I672" s="7"/>
      <c r="J672" s="7"/>
      <c r="K672" s="7"/>
      <c r="L672" s="7"/>
      <c r="M672" s="7"/>
      <c r="N672" s="7"/>
      <c r="O672" s="7"/>
      <c r="P672" s="7"/>
      <c r="Q672" s="7"/>
      <c r="R672" s="7"/>
    </row>
    <row r="673" spans="4:18" ht="0" hidden="1" customHeight="1">
      <c r="D673" s="23"/>
      <c r="E673" s="7"/>
      <c r="F673" s="7"/>
      <c r="G673" s="7"/>
      <c r="H673" s="7"/>
      <c r="I673" s="7"/>
      <c r="J673" s="7"/>
      <c r="K673" s="7"/>
      <c r="L673" s="7"/>
      <c r="M673" s="7"/>
      <c r="N673" s="7"/>
      <c r="O673" s="7"/>
      <c r="P673" s="7"/>
      <c r="Q673" s="7"/>
      <c r="R673" s="7"/>
    </row>
    <row r="674" spans="4:18" ht="0" hidden="1" customHeight="1">
      <c r="D674" s="23"/>
      <c r="E674" s="7"/>
      <c r="F674" s="7"/>
      <c r="G674" s="7"/>
      <c r="H674" s="7"/>
      <c r="I674" s="7"/>
      <c r="J674" s="7"/>
      <c r="K674" s="7"/>
      <c r="L674" s="7"/>
      <c r="M674" s="7"/>
      <c r="N674" s="7"/>
      <c r="O674" s="7"/>
      <c r="P674" s="7"/>
      <c r="Q674" s="7"/>
      <c r="R674" s="7"/>
    </row>
    <row r="675" spans="4:18" ht="0" hidden="1" customHeight="1">
      <c r="D675" s="23"/>
      <c r="E675" s="7"/>
      <c r="F675" s="7"/>
      <c r="G675" s="7"/>
      <c r="H675" s="7"/>
      <c r="I675" s="7"/>
      <c r="J675" s="7"/>
      <c r="K675" s="7"/>
      <c r="L675" s="7"/>
      <c r="M675" s="7"/>
      <c r="N675" s="7"/>
      <c r="O675" s="7"/>
      <c r="P675" s="7"/>
      <c r="Q675" s="7"/>
      <c r="R675" s="7"/>
    </row>
    <row r="676" spans="4:18" ht="0" hidden="1" customHeight="1">
      <c r="D676" s="23"/>
      <c r="E676" s="7"/>
      <c r="F676" s="7"/>
      <c r="G676" s="7"/>
      <c r="H676" s="7"/>
      <c r="I676" s="7"/>
      <c r="J676" s="7"/>
      <c r="K676" s="7"/>
      <c r="L676" s="7"/>
      <c r="M676" s="7"/>
      <c r="N676" s="7"/>
      <c r="O676" s="7"/>
      <c r="P676" s="7"/>
      <c r="Q676" s="7"/>
      <c r="R676" s="7"/>
    </row>
    <row r="677" spans="4:18" ht="0" hidden="1" customHeight="1">
      <c r="D677" s="23"/>
      <c r="E677" s="7"/>
      <c r="F677" s="7"/>
      <c r="G677" s="7"/>
      <c r="H677" s="7"/>
      <c r="I677" s="7"/>
      <c r="J677" s="7"/>
      <c r="K677" s="7"/>
      <c r="L677" s="7"/>
      <c r="M677" s="7"/>
      <c r="N677" s="7"/>
      <c r="O677" s="7"/>
      <c r="P677" s="7"/>
      <c r="Q677" s="7"/>
      <c r="R677" s="7"/>
    </row>
    <row r="678" spans="4:18" ht="0" hidden="1" customHeight="1">
      <c r="D678" s="23"/>
      <c r="E678" s="7"/>
      <c r="F678" s="7"/>
      <c r="G678" s="7"/>
      <c r="H678" s="7"/>
      <c r="I678" s="7"/>
      <c r="J678" s="7"/>
      <c r="K678" s="7"/>
      <c r="L678" s="7"/>
      <c r="M678" s="7"/>
      <c r="N678" s="7"/>
      <c r="O678" s="7"/>
      <c r="P678" s="7"/>
      <c r="Q678" s="7"/>
      <c r="R678" s="7"/>
    </row>
    <row r="679" spans="4:18" ht="0" hidden="1" customHeight="1">
      <c r="D679" s="23"/>
      <c r="E679" s="7"/>
      <c r="F679" s="7"/>
      <c r="G679" s="7"/>
      <c r="H679" s="7"/>
      <c r="I679" s="7"/>
      <c r="J679" s="7"/>
      <c r="K679" s="7"/>
      <c r="L679" s="7"/>
      <c r="M679" s="7"/>
      <c r="N679" s="7"/>
      <c r="O679" s="7"/>
      <c r="P679" s="7"/>
      <c r="Q679" s="7"/>
      <c r="R679" s="7"/>
    </row>
    <row r="680" spans="4:18" ht="0" hidden="1" customHeight="1">
      <c r="D680" s="23"/>
      <c r="E680" s="7"/>
      <c r="F680" s="7"/>
      <c r="G680" s="7"/>
      <c r="H680" s="7"/>
      <c r="I680" s="7"/>
      <c r="J680" s="7"/>
      <c r="K680" s="7"/>
      <c r="L680" s="7"/>
      <c r="M680" s="7"/>
      <c r="N680" s="7"/>
      <c r="O680" s="7"/>
      <c r="P680" s="7"/>
      <c r="Q680" s="7"/>
      <c r="R680" s="7"/>
    </row>
    <row r="681" spans="4:18" ht="0" hidden="1" customHeight="1">
      <c r="D681" s="23"/>
      <c r="E681" s="7"/>
      <c r="F681" s="7"/>
      <c r="G681" s="7"/>
      <c r="H681" s="7"/>
      <c r="I681" s="7"/>
      <c r="J681" s="7"/>
      <c r="K681" s="7"/>
      <c r="L681" s="7"/>
      <c r="M681" s="7"/>
      <c r="N681" s="7"/>
      <c r="O681" s="7"/>
      <c r="P681" s="7"/>
      <c r="Q681" s="7"/>
      <c r="R681" s="7"/>
    </row>
    <row r="682" spans="4:18" ht="0" hidden="1" customHeight="1">
      <c r="D682" s="23"/>
      <c r="E682" s="7"/>
      <c r="F682" s="7"/>
      <c r="G682" s="7"/>
      <c r="H682" s="7"/>
      <c r="I682" s="7"/>
      <c r="J682" s="7"/>
      <c r="K682" s="7"/>
      <c r="L682" s="7"/>
      <c r="M682" s="7"/>
      <c r="N682" s="7"/>
      <c r="O682" s="7"/>
      <c r="P682" s="7"/>
      <c r="Q682" s="7"/>
      <c r="R682" s="7"/>
    </row>
    <row r="683" spans="4:18" ht="0" hidden="1" customHeight="1">
      <c r="D683" s="23"/>
      <c r="E683" s="7"/>
      <c r="F683" s="7"/>
      <c r="G683" s="7"/>
      <c r="H683" s="7"/>
      <c r="I683" s="7"/>
      <c r="J683" s="7"/>
      <c r="K683" s="7"/>
      <c r="L683" s="7"/>
      <c r="M683" s="7"/>
      <c r="N683" s="7"/>
      <c r="O683" s="7"/>
      <c r="P683" s="7"/>
      <c r="Q683" s="7"/>
      <c r="R683" s="7"/>
    </row>
    <row r="684" spans="4:18" ht="0" hidden="1" customHeight="1">
      <c r="D684" s="23"/>
      <c r="E684" s="7"/>
      <c r="F684" s="7"/>
      <c r="G684" s="7"/>
      <c r="H684" s="7"/>
      <c r="I684" s="7"/>
      <c r="J684" s="7"/>
      <c r="K684" s="7"/>
      <c r="L684" s="7"/>
      <c r="M684" s="7"/>
      <c r="N684" s="7"/>
      <c r="O684" s="7"/>
      <c r="P684" s="7"/>
      <c r="Q684" s="7"/>
      <c r="R684" s="7"/>
    </row>
    <row r="685" spans="4:18" ht="0" hidden="1" customHeight="1">
      <c r="D685" s="23"/>
      <c r="E685" s="7"/>
      <c r="F685" s="7"/>
      <c r="G685" s="7"/>
      <c r="H685" s="7"/>
      <c r="I685" s="7"/>
      <c r="J685" s="7"/>
      <c r="K685" s="7"/>
      <c r="L685" s="7"/>
      <c r="M685" s="7"/>
      <c r="N685" s="7"/>
      <c r="O685" s="7"/>
      <c r="P685" s="7"/>
      <c r="Q685" s="7"/>
      <c r="R685" s="7"/>
    </row>
    <row r="686" spans="4:18" ht="0" hidden="1" customHeight="1">
      <c r="D686" s="23"/>
      <c r="E686" s="7"/>
      <c r="F686" s="7"/>
      <c r="G686" s="7"/>
      <c r="H686" s="7"/>
      <c r="I686" s="7"/>
      <c r="J686" s="7"/>
      <c r="K686" s="7"/>
      <c r="L686" s="7"/>
      <c r="M686" s="7"/>
      <c r="N686" s="7"/>
      <c r="O686" s="7"/>
      <c r="P686" s="7"/>
      <c r="Q686" s="7"/>
      <c r="R686" s="7"/>
    </row>
    <row r="687" spans="4:18" ht="0" hidden="1" customHeight="1">
      <c r="D687" s="23"/>
      <c r="E687" s="7"/>
      <c r="F687" s="7"/>
      <c r="G687" s="7"/>
      <c r="H687" s="7"/>
      <c r="I687" s="7"/>
      <c r="J687" s="7"/>
      <c r="K687" s="7"/>
      <c r="L687" s="7"/>
      <c r="M687" s="7"/>
      <c r="N687" s="7"/>
      <c r="O687" s="7"/>
      <c r="P687" s="7"/>
      <c r="Q687" s="7"/>
      <c r="R687" s="7"/>
    </row>
    <row r="688" spans="4:18" ht="0" hidden="1" customHeight="1">
      <c r="D688" s="23"/>
      <c r="E688" s="7"/>
      <c r="F688" s="7"/>
      <c r="G688" s="7"/>
      <c r="H688" s="7"/>
      <c r="I688" s="7"/>
      <c r="J688" s="7"/>
      <c r="K688" s="7"/>
      <c r="L688" s="7"/>
      <c r="M688" s="7"/>
      <c r="N688" s="7"/>
      <c r="O688" s="7"/>
      <c r="P688" s="7"/>
      <c r="Q688" s="7"/>
      <c r="R688" s="7"/>
    </row>
    <row r="689" spans="4:18" ht="0" hidden="1" customHeight="1">
      <c r="D689" s="23"/>
      <c r="E689" s="7"/>
      <c r="F689" s="7"/>
      <c r="G689" s="7"/>
      <c r="H689" s="7"/>
      <c r="I689" s="7"/>
      <c r="J689" s="7"/>
      <c r="K689" s="7"/>
      <c r="L689" s="7"/>
      <c r="M689" s="7"/>
      <c r="N689" s="7"/>
      <c r="O689" s="7"/>
      <c r="P689" s="7"/>
      <c r="Q689" s="7"/>
      <c r="R689" s="7"/>
    </row>
    <row r="690" spans="4:18" ht="0" hidden="1" customHeight="1">
      <c r="D690" s="23"/>
      <c r="E690" s="7"/>
      <c r="F690" s="7"/>
      <c r="G690" s="7"/>
      <c r="H690" s="7"/>
      <c r="I690" s="7"/>
      <c r="J690" s="7"/>
      <c r="K690" s="7"/>
      <c r="L690" s="7"/>
      <c r="M690" s="7"/>
      <c r="N690" s="7"/>
      <c r="O690" s="7"/>
      <c r="P690" s="7"/>
      <c r="Q690" s="7"/>
      <c r="R690" s="7"/>
    </row>
    <row r="691" spans="4:18" ht="0" hidden="1" customHeight="1">
      <c r="D691" s="23"/>
      <c r="E691" s="7"/>
      <c r="F691" s="7"/>
      <c r="G691" s="7"/>
      <c r="H691" s="7"/>
      <c r="I691" s="7"/>
      <c r="J691" s="7"/>
      <c r="K691" s="7"/>
      <c r="L691" s="7"/>
      <c r="M691" s="7"/>
      <c r="N691" s="7"/>
      <c r="O691" s="7"/>
      <c r="P691" s="7"/>
      <c r="Q691" s="7"/>
      <c r="R691" s="7"/>
    </row>
    <row r="692" spans="4:18" ht="0" hidden="1" customHeight="1">
      <c r="D692" s="23"/>
      <c r="E692" s="7"/>
      <c r="F692" s="7"/>
      <c r="G692" s="7"/>
      <c r="H692" s="7"/>
      <c r="I692" s="7"/>
      <c r="J692" s="7"/>
      <c r="K692" s="7"/>
      <c r="L692" s="7"/>
      <c r="M692" s="7"/>
      <c r="N692" s="7"/>
      <c r="O692" s="7"/>
      <c r="P692" s="7"/>
      <c r="Q692" s="7"/>
      <c r="R692" s="7"/>
    </row>
    <row r="693" spans="4:18" ht="0" hidden="1" customHeight="1">
      <c r="D693" s="23"/>
      <c r="E693" s="7"/>
      <c r="F693" s="7"/>
      <c r="G693" s="7"/>
      <c r="H693" s="7"/>
      <c r="I693" s="7"/>
      <c r="J693" s="7"/>
      <c r="K693" s="7"/>
      <c r="L693" s="7"/>
      <c r="M693" s="7"/>
      <c r="N693" s="7"/>
      <c r="O693" s="7"/>
      <c r="P693" s="7"/>
      <c r="Q693" s="7"/>
      <c r="R693" s="7"/>
    </row>
    <row r="694" spans="4:18" ht="0" hidden="1" customHeight="1">
      <c r="D694" s="23"/>
      <c r="E694" s="7"/>
      <c r="F694" s="7"/>
      <c r="G694" s="7"/>
      <c r="H694" s="7"/>
      <c r="I694" s="7"/>
      <c r="J694" s="7"/>
      <c r="K694" s="7"/>
      <c r="L694" s="7"/>
      <c r="M694" s="7"/>
      <c r="N694" s="7"/>
      <c r="O694" s="7"/>
      <c r="P694" s="7"/>
      <c r="Q694" s="7"/>
      <c r="R694" s="7"/>
    </row>
    <row r="695" spans="4:18" ht="0" hidden="1" customHeight="1">
      <c r="D695" s="23"/>
      <c r="E695" s="7"/>
      <c r="F695" s="7"/>
      <c r="G695" s="7"/>
      <c r="H695" s="7"/>
      <c r="I695" s="7"/>
      <c r="J695" s="7"/>
      <c r="K695" s="7"/>
      <c r="L695" s="7"/>
      <c r="M695" s="7"/>
      <c r="N695" s="7"/>
      <c r="O695" s="7"/>
      <c r="P695" s="7"/>
      <c r="Q695" s="7"/>
      <c r="R695" s="7"/>
    </row>
    <row r="696" spans="4:18" ht="0" hidden="1" customHeight="1">
      <c r="D696" s="23"/>
      <c r="E696" s="7"/>
      <c r="F696" s="7"/>
      <c r="G696" s="7"/>
      <c r="H696" s="7"/>
      <c r="I696" s="7"/>
      <c r="J696" s="7"/>
      <c r="K696" s="7"/>
      <c r="L696" s="7"/>
      <c r="M696" s="7"/>
      <c r="N696" s="7"/>
      <c r="O696" s="7"/>
      <c r="P696" s="7"/>
      <c r="Q696" s="7"/>
      <c r="R696" s="7"/>
    </row>
    <row r="697" spans="4:18" ht="0" hidden="1" customHeight="1">
      <c r="D697" s="23"/>
      <c r="E697" s="7"/>
      <c r="F697" s="7"/>
      <c r="G697" s="7"/>
      <c r="H697" s="7"/>
      <c r="I697" s="7"/>
      <c r="J697" s="7"/>
      <c r="K697" s="7"/>
      <c r="L697" s="7"/>
      <c r="M697" s="7"/>
      <c r="N697" s="7"/>
      <c r="O697" s="7"/>
      <c r="P697" s="7"/>
      <c r="Q697" s="7"/>
      <c r="R697" s="7"/>
    </row>
    <row r="698" spans="4:18" ht="0" hidden="1" customHeight="1">
      <c r="D698" s="23"/>
      <c r="E698" s="7"/>
      <c r="F698" s="7"/>
      <c r="G698" s="7"/>
      <c r="H698" s="7"/>
      <c r="I698" s="7"/>
      <c r="J698" s="7"/>
      <c r="K698" s="7"/>
      <c r="L698" s="7"/>
      <c r="M698" s="7"/>
      <c r="N698" s="7"/>
      <c r="O698" s="7"/>
      <c r="P698" s="7"/>
      <c r="Q698" s="7"/>
      <c r="R698" s="7"/>
    </row>
    <row r="699" spans="4:18" ht="0" hidden="1" customHeight="1">
      <c r="D699" s="23"/>
      <c r="E699" s="7"/>
      <c r="F699" s="7"/>
      <c r="G699" s="7"/>
      <c r="H699" s="7"/>
      <c r="I699" s="7"/>
      <c r="J699" s="7"/>
      <c r="K699" s="7"/>
      <c r="L699" s="7"/>
      <c r="M699" s="7"/>
      <c r="N699" s="7"/>
      <c r="O699" s="7"/>
      <c r="P699" s="7"/>
      <c r="Q699" s="7"/>
      <c r="R699" s="7"/>
    </row>
    <row r="700" spans="4:18" ht="0" hidden="1" customHeight="1">
      <c r="D700" s="23"/>
      <c r="E700" s="7"/>
      <c r="F700" s="7"/>
      <c r="G700" s="7"/>
      <c r="H700" s="7"/>
      <c r="I700" s="7"/>
      <c r="J700" s="7"/>
      <c r="K700" s="7"/>
      <c r="L700" s="7"/>
      <c r="M700" s="7"/>
      <c r="N700" s="7"/>
      <c r="O700" s="7"/>
      <c r="P700" s="7"/>
      <c r="Q700" s="7"/>
      <c r="R700" s="7"/>
    </row>
    <row r="701" spans="4:18" ht="0" hidden="1" customHeight="1">
      <c r="D701" s="23"/>
      <c r="E701" s="7"/>
      <c r="F701" s="7"/>
      <c r="G701" s="7"/>
      <c r="H701" s="7"/>
      <c r="I701" s="7"/>
      <c r="J701" s="7"/>
      <c r="K701" s="7"/>
      <c r="L701" s="7"/>
      <c r="M701" s="7"/>
      <c r="N701" s="7"/>
      <c r="O701" s="7"/>
      <c r="P701" s="7"/>
      <c r="Q701" s="7"/>
      <c r="R701" s="7"/>
    </row>
    <row r="702" spans="4:18" ht="0" hidden="1" customHeight="1">
      <c r="D702" s="23"/>
      <c r="E702" s="7"/>
      <c r="F702" s="7"/>
      <c r="G702" s="7"/>
      <c r="H702" s="7"/>
      <c r="I702" s="7"/>
      <c r="J702" s="7"/>
      <c r="K702" s="7"/>
      <c r="L702" s="7"/>
      <c r="M702" s="7"/>
      <c r="N702" s="7"/>
      <c r="O702" s="7"/>
      <c r="P702" s="7"/>
      <c r="Q702" s="7"/>
      <c r="R702" s="7"/>
    </row>
    <row r="703" spans="4:18" ht="0" hidden="1" customHeight="1">
      <c r="D703" s="23"/>
      <c r="E703" s="7"/>
      <c r="F703" s="7"/>
      <c r="G703" s="7"/>
      <c r="H703" s="7"/>
      <c r="I703" s="7"/>
      <c r="J703" s="7"/>
      <c r="K703" s="7"/>
      <c r="L703" s="7"/>
      <c r="M703" s="7"/>
      <c r="N703" s="7"/>
      <c r="O703" s="7"/>
      <c r="P703" s="7"/>
      <c r="Q703" s="7"/>
      <c r="R703" s="7"/>
    </row>
    <row r="704" spans="4:18" ht="0" hidden="1" customHeight="1">
      <c r="D704" s="23"/>
      <c r="E704" s="7"/>
      <c r="F704" s="7"/>
      <c r="G704" s="7"/>
      <c r="H704" s="7"/>
      <c r="I704" s="7"/>
      <c r="J704" s="7"/>
      <c r="K704" s="7"/>
      <c r="L704" s="7"/>
      <c r="M704" s="7"/>
      <c r="N704" s="7"/>
      <c r="O704" s="7"/>
      <c r="P704" s="7"/>
      <c r="Q704" s="7"/>
      <c r="R704" s="7"/>
    </row>
    <row r="705" spans="4:18" ht="0" hidden="1" customHeight="1">
      <c r="D705" s="23"/>
      <c r="E705" s="7"/>
      <c r="F705" s="7"/>
      <c r="G705" s="7"/>
      <c r="H705" s="7"/>
      <c r="I705" s="7"/>
      <c r="J705" s="7"/>
      <c r="K705" s="7"/>
      <c r="L705" s="7"/>
      <c r="M705" s="7"/>
      <c r="N705" s="7"/>
      <c r="O705" s="7"/>
      <c r="P705" s="7"/>
      <c r="Q705" s="7"/>
      <c r="R705" s="7"/>
    </row>
    <row r="706" spans="4:18" ht="0" hidden="1" customHeight="1">
      <c r="D706" s="23"/>
      <c r="E706" s="7"/>
      <c r="F706" s="7"/>
      <c r="G706" s="7"/>
      <c r="H706" s="7"/>
      <c r="I706" s="7"/>
      <c r="J706" s="7"/>
      <c r="K706" s="7"/>
      <c r="L706" s="7"/>
      <c r="M706" s="7"/>
      <c r="N706" s="7"/>
      <c r="O706" s="7"/>
      <c r="P706" s="7"/>
      <c r="Q706" s="7"/>
      <c r="R706" s="7"/>
    </row>
    <row r="707" spans="4:18" ht="0" hidden="1" customHeight="1">
      <c r="D707" s="23"/>
      <c r="E707" s="7"/>
      <c r="F707" s="7"/>
      <c r="G707" s="7"/>
      <c r="H707" s="7"/>
      <c r="I707" s="7"/>
      <c r="J707" s="7"/>
      <c r="K707" s="7"/>
      <c r="L707" s="7"/>
      <c r="M707" s="7"/>
      <c r="N707" s="7"/>
      <c r="O707" s="7"/>
      <c r="P707" s="7"/>
      <c r="Q707" s="7"/>
      <c r="R707" s="7"/>
    </row>
    <row r="708" spans="4:18" ht="0" hidden="1" customHeight="1">
      <c r="D708" s="23"/>
      <c r="E708" s="7"/>
      <c r="F708" s="7"/>
      <c r="G708" s="7"/>
      <c r="H708" s="7"/>
      <c r="I708" s="7"/>
      <c r="J708" s="7"/>
      <c r="K708" s="7"/>
      <c r="L708" s="7"/>
      <c r="M708" s="7"/>
      <c r="N708" s="7"/>
      <c r="O708" s="7"/>
      <c r="P708" s="7"/>
      <c r="Q708" s="7"/>
      <c r="R708" s="7"/>
    </row>
    <row r="709" spans="4:18" ht="0" hidden="1" customHeight="1">
      <c r="D709" s="23"/>
      <c r="E709" s="7"/>
      <c r="F709" s="7"/>
      <c r="G709" s="7"/>
      <c r="H709" s="7"/>
      <c r="I709" s="7"/>
      <c r="J709" s="7"/>
      <c r="K709" s="7"/>
      <c r="L709" s="7"/>
      <c r="M709" s="7"/>
      <c r="N709" s="7"/>
      <c r="O709" s="7"/>
      <c r="P709" s="7"/>
      <c r="Q709" s="7"/>
      <c r="R709" s="7"/>
    </row>
    <row r="710" spans="4:18" ht="0" hidden="1" customHeight="1">
      <c r="D710" s="23"/>
      <c r="E710" s="7"/>
      <c r="F710" s="7"/>
      <c r="G710" s="7"/>
      <c r="H710" s="7"/>
      <c r="I710" s="7"/>
      <c r="J710" s="7"/>
      <c r="K710" s="7"/>
      <c r="L710" s="7"/>
      <c r="M710" s="7"/>
      <c r="N710" s="7"/>
      <c r="O710" s="7"/>
      <c r="P710" s="7"/>
      <c r="Q710" s="7"/>
      <c r="R710" s="7"/>
    </row>
    <row r="711" spans="4:18" ht="0" hidden="1" customHeight="1">
      <c r="D711" s="23"/>
      <c r="E711" s="7"/>
      <c r="F711" s="7"/>
      <c r="G711" s="7"/>
      <c r="H711" s="7"/>
      <c r="I711" s="7"/>
      <c r="J711" s="7"/>
      <c r="K711" s="7"/>
      <c r="L711" s="7"/>
      <c r="M711" s="7"/>
      <c r="N711" s="7"/>
      <c r="O711" s="7"/>
      <c r="P711" s="7"/>
      <c r="Q711" s="7"/>
      <c r="R711" s="7"/>
    </row>
    <row r="712" spans="4:18" ht="0" hidden="1" customHeight="1">
      <c r="D712" s="23"/>
      <c r="E712" s="7"/>
      <c r="F712" s="7"/>
      <c r="G712" s="7"/>
      <c r="H712" s="7"/>
      <c r="I712" s="7"/>
      <c r="J712" s="7"/>
      <c r="K712" s="7"/>
      <c r="L712" s="7"/>
      <c r="M712" s="7"/>
      <c r="N712" s="7"/>
      <c r="O712" s="7"/>
      <c r="P712" s="7"/>
      <c r="Q712" s="7"/>
      <c r="R712" s="7"/>
    </row>
    <row r="713" spans="4:18" ht="0" hidden="1" customHeight="1">
      <c r="D713" s="23"/>
      <c r="E713" s="7"/>
      <c r="F713" s="7"/>
      <c r="G713" s="7"/>
      <c r="H713" s="7"/>
      <c r="I713" s="7"/>
      <c r="J713" s="7"/>
      <c r="K713" s="7"/>
      <c r="L713" s="7"/>
      <c r="M713" s="7"/>
      <c r="N713" s="7"/>
      <c r="O713" s="7"/>
      <c r="P713" s="7"/>
      <c r="Q713" s="7"/>
      <c r="R713" s="7"/>
    </row>
    <row r="714" spans="4:18" ht="0" hidden="1" customHeight="1">
      <c r="D714" s="23"/>
      <c r="E714" s="7"/>
      <c r="F714" s="7"/>
      <c r="G714" s="7"/>
      <c r="H714" s="7"/>
      <c r="I714" s="7"/>
      <c r="J714" s="7"/>
      <c r="K714" s="7"/>
      <c r="L714" s="7"/>
      <c r="M714" s="7"/>
      <c r="N714" s="7"/>
      <c r="O714" s="7"/>
      <c r="P714" s="7"/>
      <c r="Q714" s="7"/>
      <c r="R714" s="7"/>
    </row>
    <row r="715" spans="4:18" ht="0" hidden="1" customHeight="1">
      <c r="D715" s="23"/>
      <c r="E715" s="7"/>
      <c r="F715" s="7"/>
      <c r="G715" s="7"/>
      <c r="H715" s="7"/>
      <c r="I715" s="7"/>
      <c r="J715" s="7"/>
      <c r="K715" s="7"/>
      <c r="L715" s="7"/>
      <c r="M715" s="7"/>
      <c r="N715" s="7"/>
      <c r="O715" s="7"/>
      <c r="P715" s="7"/>
      <c r="Q715" s="7"/>
      <c r="R715" s="7"/>
    </row>
    <row r="716" spans="4:18" ht="0" hidden="1" customHeight="1">
      <c r="D716" s="23"/>
      <c r="E716" s="7"/>
      <c r="F716" s="7"/>
      <c r="G716" s="7"/>
      <c r="H716" s="7"/>
      <c r="I716" s="7"/>
      <c r="J716" s="7"/>
      <c r="K716" s="7"/>
      <c r="L716" s="7"/>
      <c r="M716" s="7"/>
      <c r="N716" s="7"/>
      <c r="O716" s="7"/>
      <c r="P716" s="7"/>
      <c r="Q716" s="7"/>
      <c r="R716" s="7"/>
    </row>
    <row r="717" spans="4:18" ht="0" hidden="1" customHeight="1">
      <c r="D717" s="23"/>
      <c r="E717" s="7"/>
      <c r="F717" s="7"/>
      <c r="G717" s="7"/>
      <c r="H717" s="7"/>
      <c r="I717" s="7"/>
      <c r="J717" s="7"/>
      <c r="K717" s="7"/>
      <c r="L717" s="7"/>
      <c r="M717" s="7"/>
      <c r="N717" s="7"/>
      <c r="O717" s="7"/>
      <c r="P717" s="7"/>
      <c r="Q717" s="7"/>
      <c r="R717" s="7"/>
    </row>
    <row r="718" spans="4:18" ht="0" hidden="1" customHeight="1">
      <c r="D718" s="23"/>
      <c r="E718" s="7"/>
      <c r="F718" s="7"/>
      <c r="G718" s="7"/>
      <c r="H718" s="7"/>
      <c r="I718" s="7"/>
      <c r="J718" s="7"/>
      <c r="K718" s="7"/>
      <c r="L718" s="7"/>
      <c r="M718" s="7"/>
      <c r="N718" s="7"/>
      <c r="O718" s="7"/>
      <c r="P718" s="7"/>
      <c r="Q718" s="7"/>
      <c r="R718" s="7"/>
    </row>
    <row r="719" spans="4:18" ht="0" hidden="1" customHeight="1">
      <c r="D719" s="23"/>
      <c r="E719" s="7"/>
      <c r="F719" s="7"/>
      <c r="G719" s="7"/>
      <c r="H719" s="7"/>
      <c r="I719" s="7"/>
      <c r="J719" s="7"/>
      <c r="K719" s="7"/>
      <c r="L719" s="7"/>
      <c r="M719" s="7"/>
      <c r="N719" s="7"/>
      <c r="O719" s="7"/>
      <c r="P719" s="7"/>
      <c r="Q719" s="7"/>
      <c r="R719" s="7"/>
    </row>
    <row r="720" spans="4:18" ht="0" hidden="1" customHeight="1">
      <c r="D720" s="23"/>
      <c r="E720" s="7"/>
      <c r="F720" s="7"/>
      <c r="G720" s="7"/>
      <c r="H720" s="7"/>
      <c r="I720" s="7"/>
      <c r="J720" s="7"/>
      <c r="K720" s="7"/>
      <c r="L720" s="7"/>
      <c r="M720" s="7"/>
      <c r="N720" s="7"/>
      <c r="O720" s="7"/>
      <c r="P720" s="7"/>
      <c r="Q720" s="7"/>
      <c r="R720" s="7"/>
    </row>
    <row r="721" spans="4:18" ht="0" hidden="1" customHeight="1">
      <c r="D721" s="23"/>
      <c r="E721" s="7"/>
      <c r="F721" s="7"/>
      <c r="G721" s="7"/>
      <c r="H721" s="7"/>
      <c r="I721" s="7"/>
      <c r="J721" s="7"/>
      <c r="K721" s="7"/>
      <c r="L721" s="7"/>
      <c r="M721" s="7"/>
      <c r="N721" s="7"/>
      <c r="O721" s="7"/>
      <c r="P721" s="7"/>
      <c r="Q721" s="7"/>
      <c r="R721" s="7"/>
    </row>
    <row r="722" spans="4:18" ht="0" hidden="1" customHeight="1">
      <c r="D722" s="23"/>
      <c r="E722" s="7"/>
      <c r="F722" s="7"/>
      <c r="G722" s="7"/>
      <c r="H722" s="7"/>
      <c r="I722" s="7"/>
      <c r="J722" s="7"/>
      <c r="K722" s="7"/>
      <c r="L722" s="7"/>
      <c r="M722" s="7"/>
      <c r="N722" s="7"/>
      <c r="O722" s="7"/>
      <c r="P722" s="7"/>
      <c r="Q722" s="7"/>
      <c r="R722" s="7"/>
    </row>
    <row r="723" spans="4:18" ht="0" hidden="1" customHeight="1">
      <c r="D723" s="23"/>
      <c r="E723" s="7"/>
      <c r="F723" s="7"/>
      <c r="G723" s="7"/>
      <c r="H723" s="7"/>
      <c r="I723" s="7"/>
      <c r="J723" s="7"/>
      <c r="K723" s="7"/>
      <c r="L723" s="7"/>
      <c r="M723" s="7"/>
      <c r="N723" s="7"/>
      <c r="O723" s="7"/>
      <c r="P723" s="7"/>
      <c r="Q723" s="7"/>
      <c r="R723" s="7"/>
    </row>
    <row r="724" spans="4:18" ht="0" hidden="1" customHeight="1">
      <c r="D724" s="23"/>
      <c r="E724" s="7"/>
      <c r="F724" s="7"/>
      <c r="G724" s="7"/>
      <c r="H724" s="7"/>
      <c r="I724" s="7"/>
      <c r="J724" s="7"/>
      <c r="K724" s="7"/>
      <c r="L724" s="7"/>
      <c r="M724" s="7"/>
      <c r="N724" s="7"/>
      <c r="O724" s="7"/>
      <c r="P724" s="7"/>
      <c r="Q724" s="7"/>
      <c r="R724" s="7"/>
    </row>
    <row r="725" spans="4:18" ht="0" hidden="1" customHeight="1">
      <c r="D725" s="23"/>
      <c r="E725" s="7"/>
      <c r="F725" s="7"/>
      <c r="G725" s="7"/>
      <c r="H725" s="7"/>
      <c r="I725" s="7"/>
      <c r="J725" s="7"/>
      <c r="K725" s="7"/>
      <c r="L725" s="7"/>
      <c r="M725" s="7"/>
      <c r="N725" s="7"/>
      <c r="O725" s="7"/>
      <c r="P725" s="7"/>
      <c r="Q725" s="7"/>
      <c r="R725" s="7"/>
    </row>
    <row r="726" spans="4:18" ht="0" hidden="1" customHeight="1">
      <c r="D726" s="23"/>
      <c r="E726" s="7"/>
      <c r="F726" s="7"/>
      <c r="G726" s="7"/>
      <c r="H726" s="7"/>
      <c r="I726" s="7"/>
      <c r="J726" s="7"/>
      <c r="K726" s="7"/>
      <c r="L726" s="7"/>
      <c r="M726" s="7"/>
      <c r="N726" s="7"/>
      <c r="O726" s="7"/>
      <c r="P726" s="7"/>
      <c r="Q726" s="7"/>
      <c r="R726" s="7"/>
    </row>
    <row r="727" spans="4:18" ht="0" hidden="1" customHeight="1">
      <c r="D727" s="23"/>
      <c r="E727" s="7"/>
      <c r="F727" s="7"/>
      <c r="G727" s="7"/>
      <c r="H727" s="7"/>
      <c r="I727" s="7"/>
      <c r="J727" s="7"/>
      <c r="K727" s="7"/>
      <c r="L727" s="7"/>
      <c r="M727" s="7"/>
      <c r="N727" s="7"/>
      <c r="O727" s="7"/>
      <c r="P727" s="7"/>
      <c r="Q727" s="7"/>
      <c r="R727" s="7"/>
    </row>
    <row r="728" spans="4:18" ht="0" hidden="1" customHeight="1">
      <c r="D728" s="23"/>
      <c r="E728" s="7"/>
      <c r="F728" s="7"/>
      <c r="G728" s="7"/>
      <c r="H728" s="7"/>
      <c r="I728" s="7"/>
      <c r="J728" s="7"/>
      <c r="K728" s="7"/>
      <c r="L728" s="7"/>
      <c r="M728" s="7"/>
      <c r="N728" s="7"/>
      <c r="O728" s="7"/>
      <c r="P728" s="7"/>
      <c r="Q728" s="7"/>
      <c r="R728" s="7"/>
    </row>
    <row r="729" spans="4:18" ht="0" hidden="1" customHeight="1">
      <c r="D729" s="23"/>
      <c r="E729" s="7"/>
      <c r="F729" s="7"/>
      <c r="G729" s="7"/>
      <c r="H729" s="7"/>
      <c r="I729" s="7"/>
      <c r="J729" s="7"/>
      <c r="K729" s="7"/>
      <c r="L729" s="7"/>
      <c r="M729" s="7"/>
      <c r="N729" s="7"/>
      <c r="O729" s="7"/>
      <c r="P729" s="7"/>
      <c r="Q729" s="7"/>
      <c r="R729" s="7"/>
    </row>
    <row r="730" spans="4:18" ht="0" hidden="1" customHeight="1">
      <c r="D730" s="23"/>
      <c r="E730" s="7"/>
      <c r="F730" s="7"/>
      <c r="G730" s="7"/>
      <c r="H730" s="7"/>
      <c r="I730" s="7"/>
      <c r="J730" s="7"/>
      <c r="K730" s="7"/>
      <c r="L730" s="7"/>
      <c r="M730" s="7"/>
      <c r="N730" s="7"/>
      <c r="O730" s="7"/>
      <c r="P730" s="7"/>
      <c r="Q730" s="7"/>
      <c r="R730" s="7"/>
    </row>
    <row r="731" spans="4:18" ht="0" hidden="1" customHeight="1">
      <c r="D731" s="23"/>
      <c r="E731" s="7"/>
      <c r="F731" s="7"/>
      <c r="G731" s="7"/>
      <c r="H731" s="7"/>
      <c r="I731" s="7"/>
      <c r="J731" s="7"/>
      <c r="K731" s="7"/>
      <c r="L731" s="7"/>
      <c r="M731" s="7"/>
      <c r="N731" s="7"/>
      <c r="O731" s="7"/>
      <c r="P731" s="7"/>
      <c r="Q731" s="7"/>
      <c r="R731" s="7"/>
    </row>
    <row r="732" spans="4:18" ht="0" hidden="1" customHeight="1">
      <c r="D732" s="23"/>
      <c r="E732" s="7"/>
      <c r="F732" s="7"/>
      <c r="G732" s="7"/>
      <c r="H732" s="7"/>
      <c r="I732" s="7"/>
      <c r="J732" s="7"/>
      <c r="K732" s="7"/>
      <c r="L732" s="7"/>
      <c r="M732" s="7"/>
      <c r="N732" s="7"/>
      <c r="O732" s="7"/>
      <c r="P732" s="7"/>
      <c r="Q732" s="7"/>
      <c r="R732" s="7"/>
    </row>
    <row r="733" spans="4:18" ht="0" hidden="1" customHeight="1">
      <c r="D733" s="23"/>
      <c r="E733" s="7"/>
      <c r="F733" s="7"/>
      <c r="G733" s="7"/>
      <c r="H733" s="7"/>
      <c r="I733" s="7"/>
      <c r="J733" s="7"/>
      <c r="K733" s="7"/>
      <c r="L733" s="7"/>
      <c r="M733" s="7"/>
      <c r="N733" s="7"/>
      <c r="O733" s="7"/>
      <c r="P733" s="7"/>
      <c r="Q733" s="7"/>
      <c r="R733" s="7"/>
    </row>
    <row r="734" spans="4:18" ht="0" hidden="1" customHeight="1">
      <c r="D734" s="23"/>
      <c r="E734" s="7"/>
      <c r="F734" s="7"/>
      <c r="G734" s="7"/>
      <c r="H734" s="7"/>
      <c r="I734" s="7"/>
      <c r="J734" s="7"/>
      <c r="K734" s="7"/>
      <c r="L734" s="7"/>
      <c r="M734" s="7"/>
      <c r="N734" s="7"/>
      <c r="O734" s="7"/>
      <c r="P734" s="7"/>
      <c r="Q734" s="7"/>
      <c r="R734" s="7"/>
    </row>
    <row r="735" spans="4:18" ht="0" hidden="1" customHeight="1">
      <c r="D735" s="23"/>
      <c r="E735" s="7"/>
      <c r="F735" s="7"/>
      <c r="G735" s="7"/>
      <c r="H735" s="7"/>
      <c r="I735" s="7"/>
      <c r="J735" s="7"/>
      <c r="K735" s="7"/>
      <c r="L735" s="7"/>
      <c r="M735" s="7"/>
      <c r="N735" s="7"/>
      <c r="O735" s="7"/>
      <c r="P735" s="7"/>
      <c r="Q735" s="7"/>
      <c r="R735" s="7"/>
    </row>
    <row r="736" spans="4:18" ht="0" hidden="1" customHeight="1">
      <c r="D736" s="23"/>
      <c r="E736" s="7"/>
      <c r="F736" s="7"/>
      <c r="G736" s="7"/>
      <c r="H736" s="7"/>
      <c r="I736" s="7"/>
      <c r="J736" s="7"/>
      <c r="K736" s="7"/>
      <c r="L736" s="7"/>
      <c r="M736" s="7"/>
      <c r="N736" s="7"/>
      <c r="O736" s="7"/>
      <c r="P736" s="7"/>
      <c r="Q736" s="7"/>
      <c r="R736" s="7"/>
    </row>
    <row r="737" spans="4:18" ht="0" hidden="1" customHeight="1">
      <c r="D737" s="23"/>
      <c r="E737" s="7"/>
      <c r="F737" s="7"/>
      <c r="G737" s="7"/>
      <c r="H737" s="7"/>
      <c r="I737" s="7"/>
      <c r="J737" s="7"/>
      <c r="K737" s="7"/>
      <c r="L737" s="7"/>
      <c r="M737" s="7"/>
      <c r="N737" s="7"/>
      <c r="O737" s="7"/>
      <c r="P737" s="7"/>
      <c r="Q737" s="7"/>
      <c r="R737" s="7"/>
    </row>
    <row r="738" spans="4:18" ht="0" hidden="1" customHeight="1">
      <c r="D738" s="23"/>
      <c r="E738" s="7"/>
      <c r="F738" s="7"/>
      <c r="G738" s="7"/>
      <c r="H738" s="7"/>
      <c r="I738" s="7"/>
      <c r="J738" s="7"/>
      <c r="K738" s="7"/>
      <c r="L738" s="7"/>
      <c r="M738" s="7"/>
      <c r="N738" s="7"/>
      <c r="O738" s="7"/>
      <c r="P738" s="7"/>
      <c r="Q738" s="7"/>
      <c r="R738" s="7"/>
    </row>
    <row r="739" spans="4:18" ht="0" hidden="1" customHeight="1">
      <c r="D739" s="23"/>
      <c r="E739" s="7"/>
      <c r="F739" s="7"/>
      <c r="G739" s="7"/>
      <c r="H739" s="7"/>
      <c r="I739" s="7"/>
      <c r="J739" s="7"/>
      <c r="K739" s="7"/>
      <c r="L739" s="7"/>
      <c r="M739" s="7"/>
      <c r="N739" s="7"/>
      <c r="O739" s="7"/>
      <c r="P739" s="7"/>
      <c r="Q739" s="7"/>
      <c r="R739" s="7"/>
    </row>
    <row r="740" spans="4:18" ht="0" hidden="1" customHeight="1">
      <c r="D740" s="23"/>
      <c r="E740" s="7"/>
      <c r="F740" s="7"/>
      <c r="G740" s="7"/>
      <c r="H740" s="7"/>
      <c r="I740" s="7"/>
      <c r="J740" s="7"/>
      <c r="K740" s="7"/>
      <c r="L740" s="7"/>
      <c r="M740" s="7"/>
      <c r="N740" s="7"/>
      <c r="O740" s="7"/>
      <c r="P740" s="7"/>
      <c r="Q740" s="7"/>
      <c r="R740" s="7"/>
    </row>
    <row r="741" spans="4:18" ht="0" hidden="1" customHeight="1">
      <c r="D741" s="23"/>
      <c r="E741" s="7"/>
      <c r="F741" s="7"/>
      <c r="G741" s="7"/>
      <c r="H741" s="7"/>
      <c r="I741" s="7"/>
      <c r="J741" s="7"/>
      <c r="K741" s="7"/>
      <c r="L741" s="7"/>
      <c r="M741" s="7"/>
      <c r="N741" s="7"/>
      <c r="O741" s="7"/>
      <c r="P741" s="7"/>
      <c r="Q741" s="7"/>
      <c r="R741" s="7"/>
    </row>
    <row r="742" spans="4:18" ht="0" hidden="1" customHeight="1">
      <c r="D742" s="23"/>
      <c r="E742" s="7"/>
      <c r="F742" s="7"/>
      <c r="G742" s="7"/>
      <c r="H742" s="7"/>
      <c r="I742" s="7"/>
      <c r="J742" s="7"/>
      <c r="K742" s="7"/>
      <c r="L742" s="7"/>
      <c r="M742" s="7"/>
      <c r="N742" s="7"/>
      <c r="O742" s="7"/>
      <c r="P742" s="7"/>
      <c r="Q742" s="7"/>
      <c r="R742" s="7"/>
    </row>
    <row r="743" spans="4:18" ht="0" hidden="1" customHeight="1">
      <c r="D743" s="23"/>
      <c r="E743" s="7"/>
      <c r="F743" s="7"/>
      <c r="G743" s="7"/>
      <c r="H743" s="7"/>
      <c r="I743" s="7"/>
      <c r="J743" s="7"/>
      <c r="K743" s="7"/>
      <c r="L743" s="7"/>
      <c r="M743" s="7"/>
      <c r="N743" s="7"/>
      <c r="O743" s="7"/>
      <c r="P743" s="7"/>
      <c r="Q743" s="7"/>
      <c r="R743" s="7"/>
    </row>
    <row r="744" spans="4:18" ht="0" hidden="1" customHeight="1">
      <c r="D744" s="23"/>
      <c r="E744" s="7"/>
      <c r="F744" s="7"/>
      <c r="G744" s="7"/>
      <c r="H744" s="7"/>
      <c r="I744" s="7"/>
      <c r="J744" s="7"/>
      <c r="K744" s="7"/>
      <c r="L744" s="7"/>
      <c r="M744" s="7"/>
      <c r="N744" s="7"/>
      <c r="O744" s="7"/>
      <c r="P744" s="7"/>
      <c r="Q744" s="7"/>
      <c r="R744" s="7"/>
    </row>
    <row r="745" spans="4:18" ht="0" hidden="1" customHeight="1">
      <c r="D745" s="23"/>
      <c r="E745" s="7"/>
      <c r="F745" s="7"/>
      <c r="G745" s="7"/>
      <c r="H745" s="7"/>
      <c r="I745" s="7"/>
      <c r="J745" s="7"/>
      <c r="K745" s="7"/>
      <c r="L745" s="7"/>
      <c r="M745" s="7"/>
      <c r="N745" s="7"/>
      <c r="O745" s="7"/>
      <c r="P745" s="7"/>
      <c r="Q745" s="7"/>
      <c r="R745" s="7"/>
    </row>
    <row r="746" spans="4:18" ht="0" hidden="1" customHeight="1">
      <c r="D746" s="23"/>
      <c r="E746" s="7"/>
      <c r="F746" s="7"/>
      <c r="G746" s="7"/>
      <c r="H746" s="7"/>
      <c r="I746" s="7"/>
      <c r="J746" s="7"/>
      <c r="K746" s="7"/>
      <c r="L746" s="7"/>
      <c r="M746" s="7"/>
      <c r="N746" s="7"/>
      <c r="O746" s="7"/>
      <c r="P746" s="7"/>
      <c r="Q746" s="7"/>
      <c r="R746" s="7"/>
    </row>
    <row r="747" spans="4:18" ht="0" hidden="1" customHeight="1">
      <c r="D747" s="23"/>
      <c r="E747" s="7"/>
      <c r="F747" s="7"/>
      <c r="G747" s="7"/>
      <c r="H747" s="7"/>
      <c r="I747" s="7"/>
      <c r="J747" s="7"/>
      <c r="K747" s="7"/>
      <c r="L747" s="7"/>
      <c r="M747" s="7"/>
      <c r="N747" s="7"/>
      <c r="O747" s="7"/>
      <c r="P747" s="7"/>
      <c r="Q747" s="7"/>
      <c r="R747" s="7"/>
    </row>
    <row r="748" spans="4:18" ht="0" hidden="1" customHeight="1">
      <c r="D748" s="23"/>
      <c r="E748" s="7"/>
      <c r="F748" s="7"/>
      <c r="G748" s="7"/>
      <c r="H748" s="7"/>
      <c r="I748" s="7"/>
      <c r="J748" s="7"/>
      <c r="K748" s="7"/>
      <c r="L748" s="7"/>
      <c r="M748" s="7"/>
      <c r="N748" s="7"/>
      <c r="O748" s="7"/>
      <c r="P748" s="7"/>
      <c r="Q748" s="7"/>
      <c r="R748" s="7"/>
    </row>
    <row r="749" spans="4:18" ht="0" hidden="1" customHeight="1">
      <c r="D749" s="23"/>
      <c r="E749" s="7"/>
      <c r="F749" s="7"/>
      <c r="G749" s="7"/>
      <c r="H749" s="7"/>
      <c r="I749" s="7"/>
      <c r="J749" s="7"/>
      <c r="K749" s="7"/>
      <c r="L749" s="7"/>
      <c r="M749" s="7"/>
      <c r="N749" s="7"/>
      <c r="O749" s="7"/>
      <c r="P749" s="7"/>
      <c r="Q749" s="7"/>
      <c r="R749" s="7"/>
    </row>
    <row r="750" spans="4:18" ht="0" hidden="1" customHeight="1">
      <c r="D750" s="23"/>
      <c r="E750" s="7"/>
      <c r="F750" s="7"/>
      <c r="G750" s="7"/>
      <c r="H750" s="7"/>
      <c r="I750" s="7"/>
      <c r="J750" s="7"/>
      <c r="K750" s="7"/>
      <c r="L750" s="7"/>
      <c r="M750" s="7"/>
      <c r="N750" s="7"/>
      <c r="O750" s="7"/>
      <c r="P750" s="7"/>
      <c r="Q750" s="7"/>
      <c r="R750" s="7"/>
    </row>
    <row r="751" spans="4:18" ht="0" hidden="1" customHeight="1">
      <c r="D751" s="23"/>
      <c r="E751" s="7"/>
      <c r="F751" s="7"/>
      <c r="G751" s="7"/>
      <c r="H751" s="7"/>
      <c r="I751" s="7"/>
      <c r="J751" s="7"/>
      <c r="K751" s="7"/>
      <c r="L751" s="7"/>
      <c r="M751" s="7"/>
      <c r="N751" s="7"/>
      <c r="O751" s="7"/>
      <c r="P751" s="7"/>
      <c r="Q751" s="7"/>
      <c r="R751" s="7"/>
    </row>
    <row r="752" spans="4:18" ht="0" hidden="1" customHeight="1">
      <c r="D752" s="23"/>
      <c r="E752" s="7"/>
      <c r="F752" s="7"/>
      <c r="G752" s="7"/>
      <c r="H752" s="7"/>
      <c r="I752" s="7"/>
      <c r="J752" s="7"/>
      <c r="K752" s="7"/>
      <c r="L752" s="7"/>
      <c r="M752" s="7"/>
      <c r="N752" s="7"/>
      <c r="O752" s="7"/>
      <c r="P752" s="7"/>
      <c r="Q752" s="7"/>
      <c r="R752" s="7"/>
    </row>
    <row r="753" spans="4:18" ht="0" hidden="1" customHeight="1">
      <c r="D753" s="23"/>
      <c r="E753" s="7"/>
      <c r="F753" s="7"/>
      <c r="G753" s="7"/>
      <c r="H753" s="7"/>
      <c r="I753" s="7"/>
      <c r="J753" s="7"/>
      <c r="K753" s="7"/>
      <c r="L753" s="7"/>
      <c r="M753" s="7"/>
      <c r="N753" s="7"/>
      <c r="O753" s="7"/>
      <c r="P753" s="7"/>
      <c r="Q753" s="7"/>
      <c r="R753" s="7"/>
    </row>
    <row r="754" spans="4:18" ht="0" hidden="1" customHeight="1">
      <c r="D754" s="23"/>
      <c r="E754" s="7"/>
      <c r="F754" s="7"/>
      <c r="G754" s="7"/>
      <c r="H754" s="7"/>
      <c r="I754" s="7"/>
      <c r="J754" s="7"/>
      <c r="K754" s="7"/>
      <c r="L754" s="7"/>
      <c r="M754" s="7"/>
      <c r="N754" s="7"/>
      <c r="O754" s="7"/>
      <c r="P754" s="7"/>
      <c r="Q754" s="7"/>
      <c r="R754" s="7"/>
    </row>
    <row r="755" spans="4:18" ht="0" hidden="1" customHeight="1">
      <c r="D755" s="23"/>
      <c r="E755" s="7"/>
      <c r="F755" s="7"/>
      <c r="G755" s="7"/>
      <c r="H755" s="7"/>
      <c r="I755" s="7"/>
      <c r="J755" s="7"/>
      <c r="K755" s="7"/>
      <c r="L755" s="7"/>
      <c r="M755" s="7"/>
      <c r="N755" s="7"/>
      <c r="O755" s="7"/>
      <c r="P755" s="7"/>
      <c r="Q755" s="7"/>
      <c r="R755" s="7"/>
    </row>
    <row r="756" spans="4:18" ht="0" hidden="1" customHeight="1">
      <c r="D756" s="23"/>
      <c r="E756" s="7"/>
      <c r="F756" s="7"/>
      <c r="G756" s="7"/>
      <c r="H756" s="7"/>
      <c r="I756" s="7"/>
      <c r="J756" s="7"/>
      <c r="K756" s="7"/>
      <c r="L756" s="7"/>
      <c r="M756" s="7"/>
      <c r="N756" s="7"/>
      <c r="O756" s="7"/>
      <c r="P756" s="7"/>
      <c r="Q756" s="7"/>
      <c r="R756" s="7"/>
    </row>
    <row r="757" spans="4:18" ht="0" hidden="1" customHeight="1">
      <c r="D757" s="23"/>
      <c r="E757" s="7"/>
      <c r="F757" s="7"/>
      <c r="G757" s="7"/>
      <c r="H757" s="7"/>
      <c r="I757" s="7"/>
      <c r="J757" s="7"/>
      <c r="K757" s="7"/>
      <c r="L757" s="7"/>
      <c r="M757" s="7"/>
      <c r="N757" s="7"/>
      <c r="O757" s="7"/>
      <c r="P757" s="7"/>
      <c r="Q757" s="7"/>
      <c r="R757" s="7"/>
    </row>
    <row r="758" spans="4:18" ht="0" hidden="1" customHeight="1">
      <c r="D758" s="23"/>
      <c r="E758" s="7"/>
      <c r="F758" s="7"/>
      <c r="G758" s="7"/>
      <c r="H758" s="7"/>
      <c r="I758" s="7"/>
      <c r="J758" s="7"/>
      <c r="K758" s="7"/>
      <c r="L758" s="7"/>
      <c r="M758" s="7"/>
      <c r="N758" s="7"/>
      <c r="O758" s="7"/>
      <c r="P758" s="7"/>
      <c r="Q758" s="7"/>
      <c r="R758" s="7"/>
    </row>
    <row r="759" spans="4:18" ht="0" hidden="1" customHeight="1">
      <c r="D759" s="23"/>
      <c r="E759" s="7"/>
      <c r="F759" s="7"/>
      <c r="G759" s="7"/>
      <c r="H759" s="7"/>
      <c r="I759" s="7"/>
      <c r="J759" s="7"/>
      <c r="K759" s="7"/>
      <c r="L759" s="7"/>
      <c r="M759" s="7"/>
      <c r="N759" s="7"/>
      <c r="O759" s="7"/>
      <c r="P759" s="7"/>
      <c r="Q759" s="7"/>
      <c r="R759" s="7"/>
    </row>
    <row r="760" spans="4:18" ht="0" hidden="1" customHeight="1">
      <c r="D760" s="23"/>
      <c r="E760" s="7"/>
      <c r="F760" s="7"/>
      <c r="G760" s="7"/>
      <c r="H760" s="7"/>
      <c r="I760" s="7"/>
      <c r="J760" s="7"/>
      <c r="K760" s="7"/>
      <c r="L760" s="7"/>
      <c r="M760" s="7"/>
      <c r="N760" s="7"/>
      <c r="O760" s="7"/>
      <c r="P760" s="7"/>
      <c r="Q760" s="7"/>
      <c r="R760" s="7"/>
    </row>
    <row r="761" spans="4:18" ht="0" hidden="1" customHeight="1">
      <c r="D761" s="23"/>
      <c r="E761" s="7"/>
      <c r="F761" s="7"/>
      <c r="G761" s="7"/>
      <c r="H761" s="7"/>
      <c r="I761" s="7"/>
      <c r="J761" s="7"/>
      <c r="K761" s="7"/>
      <c r="L761" s="7"/>
      <c r="M761" s="7"/>
      <c r="N761" s="7"/>
      <c r="O761" s="7"/>
      <c r="P761" s="7"/>
      <c r="Q761" s="7"/>
      <c r="R761" s="7"/>
    </row>
    <row r="762" spans="4:18" ht="0" hidden="1" customHeight="1">
      <c r="D762" s="23"/>
      <c r="E762" s="7"/>
      <c r="F762" s="7"/>
      <c r="G762" s="7"/>
      <c r="H762" s="7"/>
      <c r="I762" s="7"/>
      <c r="J762" s="7"/>
      <c r="K762" s="7"/>
      <c r="L762" s="7"/>
      <c r="M762" s="7"/>
      <c r="N762" s="7"/>
      <c r="O762" s="7"/>
      <c r="P762" s="7"/>
      <c r="Q762" s="7"/>
      <c r="R762" s="7"/>
    </row>
    <row r="763" spans="4:18" ht="0" hidden="1" customHeight="1">
      <c r="D763" s="23"/>
      <c r="E763" s="7"/>
      <c r="F763" s="7"/>
      <c r="G763" s="7"/>
      <c r="H763" s="7"/>
      <c r="I763" s="7"/>
      <c r="J763" s="7"/>
      <c r="K763" s="7"/>
      <c r="L763" s="7"/>
      <c r="M763" s="7"/>
      <c r="N763" s="7"/>
      <c r="O763" s="7"/>
      <c r="P763" s="7"/>
      <c r="Q763" s="7"/>
      <c r="R763" s="7"/>
    </row>
    <row r="764" spans="4:18" ht="0" hidden="1" customHeight="1">
      <c r="D764" s="23"/>
      <c r="E764" s="7"/>
      <c r="F764" s="7"/>
      <c r="G764" s="7"/>
      <c r="H764" s="7"/>
      <c r="I764" s="7"/>
      <c r="J764" s="7"/>
      <c r="K764" s="7"/>
      <c r="L764" s="7"/>
      <c r="M764" s="7"/>
      <c r="N764" s="7"/>
      <c r="O764" s="7"/>
      <c r="P764" s="7"/>
      <c r="Q764" s="7"/>
      <c r="R764" s="7"/>
    </row>
    <row r="765" spans="4:18" ht="0" hidden="1" customHeight="1">
      <c r="D765" s="23"/>
      <c r="E765" s="7"/>
      <c r="F765" s="7"/>
      <c r="G765" s="7"/>
      <c r="H765" s="7"/>
      <c r="I765" s="7"/>
      <c r="J765" s="7"/>
      <c r="K765" s="7"/>
      <c r="L765" s="7"/>
      <c r="M765" s="7"/>
      <c r="N765" s="7"/>
      <c r="O765" s="7"/>
      <c r="P765" s="7"/>
      <c r="Q765" s="7"/>
      <c r="R765" s="7"/>
    </row>
    <row r="766" spans="4:18" ht="0" hidden="1" customHeight="1">
      <c r="D766" s="23"/>
      <c r="E766" s="7"/>
      <c r="F766" s="7"/>
      <c r="G766" s="7"/>
      <c r="H766" s="7"/>
      <c r="I766" s="7"/>
      <c r="J766" s="7"/>
      <c r="K766" s="7"/>
      <c r="L766" s="7"/>
      <c r="M766" s="7"/>
      <c r="N766" s="7"/>
      <c r="O766" s="7"/>
      <c r="P766" s="7"/>
      <c r="Q766" s="7"/>
      <c r="R766" s="7"/>
    </row>
    <row r="767" spans="4:18" ht="0" hidden="1" customHeight="1">
      <c r="D767" s="23"/>
      <c r="E767" s="7"/>
      <c r="F767" s="7"/>
      <c r="G767" s="7"/>
      <c r="H767" s="7"/>
      <c r="I767" s="7"/>
      <c r="J767" s="7"/>
      <c r="K767" s="7"/>
      <c r="L767" s="7"/>
      <c r="M767" s="7"/>
      <c r="N767" s="7"/>
      <c r="O767" s="7"/>
      <c r="P767" s="7"/>
      <c r="Q767" s="7"/>
      <c r="R767" s="7"/>
    </row>
    <row r="768" spans="4:18" ht="0" hidden="1" customHeight="1">
      <c r="D768" s="23"/>
      <c r="E768" s="7"/>
      <c r="F768" s="7"/>
      <c r="G768" s="7"/>
      <c r="H768" s="7"/>
      <c r="I768" s="7"/>
      <c r="J768" s="7"/>
      <c r="K768" s="7"/>
      <c r="L768" s="7"/>
      <c r="M768" s="7"/>
      <c r="N768" s="7"/>
      <c r="O768" s="7"/>
      <c r="P768" s="7"/>
      <c r="Q768" s="7"/>
      <c r="R768" s="7"/>
    </row>
    <row r="769" spans="4:18" ht="0" hidden="1" customHeight="1">
      <c r="D769" s="23"/>
      <c r="E769" s="7"/>
      <c r="F769" s="7"/>
      <c r="G769" s="7"/>
      <c r="H769" s="7"/>
      <c r="I769" s="7"/>
      <c r="J769" s="7"/>
      <c r="K769" s="7"/>
      <c r="L769" s="7"/>
      <c r="M769" s="7"/>
      <c r="N769" s="7"/>
      <c r="O769" s="7"/>
      <c r="P769" s="7"/>
      <c r="Q769" s="7"/>
      <c r="R769" s="7"/>
    </row>
    <row r="770" spans="4:18" ht="0" hidden="1" customHeight="1">
      <c r="D770" s="23"/>
      <c r="E770" s="7"/>
      <c r="F770" s="7"/>
      <c r="G770" s="7"/>
      <c r="H770" s="7"/>
      <c r="I770" s="7"/>
      <c r="J770" s="7"/>
      <c r="K770" s="7"/>
      <c r="L770" s="7"/>
      <c r="M770" s="7"/>
      <c r="N770" s="7"/>
      <c r="O770" s="7"/>
      <c r="P770" s="7"/>
      <c r="Q770" s="7"/>
      <c r="R770" s="7"/>
    </row>
    <row r="771" spans="4:18" ht="0" hidden="1" customHeight="1">
      <c r="D771" s="23"/>
      <c r="E771" s="7"/>
      <c r="F771" s="7"/>
      <c r="G771" s="7"/>
      <c r="H771" s="7"/>
      <c r="I771" s="7"/>
      <c r="J771" s="7"/>
      <c r="K771" s="7"/>
      <c r="L771" s="7"/>
      <c r="M771" s="7"/>
      <c r="N771" s="7"/>
      <c r="O771" s="7"/>
      <c r="P771" s="7"/>
      <c r="Q771" s="7"/>
      <c r="R771" s="7"/>
    </row>
    <row r="772" spans="4:18" ht="0" hidden="1" customHeight="1">
      <c r="D772" s="23"/>
      <c r="E772" s="7"/>
      <c r="F772" s="7"/>
      <c r="G772" s="7"/>
      <c r="H772" s="7"/>
      <c r="I772" s="7"/>
      <c r="J772" s="7"/>
      <c r="K772" s="7"/>
      <c r="L772" s="7"/>
      <c r="M772" s="7"/>
      <c r="N772" s="7"/>
      <c r="O772" s="7"/>
      <c r="P772" s="7"/>
      <c r="Q772" s="7"/>
      <c r="R772" s="7"/>
    </row>
    <row r="773" spans="4:18" ht="0" hidden="1" customHeight="1">
      <c r="D773" s="23"/>
      <c r="E773" s="7"/>
      <c r="F773" s="7"/>
      <c r="G773" s="7"/>
      <c r="H773" s="7"/>
      <c r="I773" s="7"/>
      <c r="J773" s="7"/>
      <c r="K773" s="7"/>
      <c r="L773" s="7"/>
      <c r="M773" s="7"/>
      <c r="N773" s="7"/>
      <c r="O773" s="7"/>
      <c r="P773" s="7"/>
      <c r="Q773" s="7"/>
      <c r="R773" s="7"/>
    </row>
    <row r="774" spans="4:18" ht="0" hidden="1" customHeight="1">
      <c r="D774" s="23"/>
      <c r="E774" s="7"/>
      <c r="F774" s="7"/>
      <c r="G774" s="7"/>
      <c r="H774" s="7"/>
      <c r="I774" s="7"/>
      <c r="J774" s="7"/>
      <c r="K774" s="7"/>
      <c r="L774" s="7"/>
      <c r="M774" s="7"/>
      <c r="N774" s="7"/>
      <c r="O774" s="7"/>
      <c r="P774" s="7"/>
      <c r="Q774" s="7"/>
      <c r="R774" s="7"/>
    </row>
    <row r="775" spans="4:18" ht="0" hidden="1" customHeight="1">
      <c r="D775" s="23"/>
      <c r="E775" s="7"/>
      <c r="F775" s="7"/>
      <c r="G775" s="7"/>
      <c r="H775" s="7"/>
      <c r="I775" s="7"/>
      <c r="J775" s="7"/>
      <c r="K775" s="7"/>
      <c r="L775" s="7"/>
      <c r="M775" s="7"/>
      <c r="N775" s="7"/>
      <c r="O775" s="7"/>
      <c r="P775" s="7"/>
      <c r="Q775" s="7"/>
      <c r="R775" s="7"/>
    </row>
    <row r="776" spans="4:18" ht="0" hidden="1" customHeight="1">
      <c r="D776" s="23"/>
      <c r="E776" s="7"/>
      <c r="F776" s="7"/>
      <c r="G776" s="7"/>
      <c r="H776" s="7"/>
      <c r="I776" s="7"/>
      <c r="J776" s="7"/>
      <c r="K776" s="7"/>
      <c r="L776" s="7"/>
      <c r="M776" s="7"/>
      <c r="N776" s="7"/>
      <c r="O776" s="7"/>
      <c r="P776" s="7"/>
      <c r="Q776" s="7"/>
      <c r="R776" s="7"/>
    </row>
    <row r="777" spans="4:18" ht="0" hidden="1" customHeight="1">
      <c r="D777" s="23"/>
      <c r="E777" s="7"/>
      <c r="F777" s="7"/>
      <c r="G777" s="7"/>
      <c r="H777" s="7"/>
      <c r="I777" s="7"/>
      <c r="J777" s="7"/>
      <c r="K777" s="7"/>
      <c r="L777" s="7"/>
      <c r="M777" s="7"/>
      <c r="N777" s="7"/>
      <c r="O777" s="7"/>
      <c r="P777" s="7"/>
      <c r="Q777" s="7"/>
      <c r="R777" s="7"/>
    </row>
    <row r="778" spans="4:18" ht="0" hidden="1" customHeight="1">
      <c r="D778" s="23"/>
      <c r="E778" s="7"/>
      <c r="F778" s="7"/>
      <c r="G778" s="7"/>
      <c r="H778" s="7"/>
      <c r="I778" s="7"/>
      <c r="J778" s="7"/>
      <c r="K778" s="7"/>
      <c r="L778" s="7"/>
      <c r="M778" s="7"/>
      <c r="N778" s="7"/>
      <c r="O778" s="7"/>
      <c r="P778" s="7"/>
      <c r="Q778" s="7"/>
      <c r="R778" s="7"/>
    </row>
    <row r="779" spans="4:18" ht="0" hidden="1" customHeight="1">
      <c r="D779" s="23"/>
      <c r="E779" s="7"/>
      <c r="F779" s="7"/>
      <c r="G779" s="7"/>
      <c r="H779" s="7"/>
      <c r="I779" s="7"/>
      <c r="J779" s="7"/>
      <c r="K779" s="7"/>
      <c r="L779" s="7"/>
      <c r="M779" s="7"/>
      <c r="N779" s="7"/>
      <c r="O779" s="7"/>
      <c r="P779" s="7"/>
      <c r="Q779" s="7"/>
      <c r="R779" s="7"/>
    </row>
    <row r="780" spans="4:18" ht="0" hidden="1" customHeight="1">
      <c r="D780" s="23"/>
      <c r="E780" s="7"/>
      <c r="F780" s="7"/>
      <c r="G780" s="7"/>
      <c r="H780" s="7"/>
      <c r="I780" s="7"/>
      <c r="J780" s="7"/>
      <c r="K780" s="7"/>
      <c r="L780" s="7"/>
      <c r="M780" s="7"/>
      <c r="N780" s="7"/>
      <c r="O780" s="7"/>
      <c r="P780" s="7"/>
      <c r="Q780" s="7"/>
      <c r="R780" s="7"/>
    </row>
    <row r="781" spans="4:18" ht="0" hidden="1" customHeight="1">
      <c r="D781" s="23"/>
      <c r="E781" s="7"/>
      <c r="F781" s="7"/>
      <c r="G781" s="7"/>
      <c r="H781" s="7"/>
      <c r="I781" s="7"/>
      <c r="J781" s="7"/>
      <c r="K781" s="7"/>
      <c r="L781" s="7"/>
      <c r="M781" s="7"/>
      <c r="N781" s="7"/>
      <c r="O781" s="7"/>
      <c r="P781" s="7"/>
      <c r="Q781" s="7"/>
      <c r="R781" s="7"/>
    </row>
    <row r="782" spans="4:18" ht="0" hidden="1" customHeight="1">
      <c r="D782" s="23"/>
      <c r="E782" s="7"/>
      <c r="F782" s="7"/>
      <c r="G782" s="7"/>
      <c r="H782" s="7"/>
      <c r="I782" s="7"/>
      <c r="J782" s="7"/>
      <c r="K782" s="7"/>
      <c r="L782" s="7"/>
      <c r="M782" s="7"/>
      <c r="N782" s="7"/>
      <c r="O782" s="7"/>
      <c r="P782" s="7"/>
      <c r="Q782" s="7"/>
      <c r="R782" s="7"/>
    </row>
    <row r="783" spans="4:18" ht="0" hidden="1" customHeight="1">
      <c r="D783" s="23"/>
      <c r="E783" s="7"/>
      <c r="F783" s="7"/>
      <c r="G783" s="7"/>
      <c r="H783" s="7"/>
      <c r="I783" s="7"/>
      <c r="J783" s="7"/>
      <c r="K783" s="7"/>
      <c r="L783" s="7"/>
      <c r="M783" s="7"/>
      <c r="N783" s="7"/>
      <c r="O783" s="7"/>
      <c r="P783" s="7"/>
      <c r="Q783" s="7"/>
      <c r="R783" s="7"/>
    </row>
    <row r="784" spans="4:18" ht="0" hidden="1" customHeight="1">
      <c r="D784" s="23"/>
      <c r="E784" s="7"/>
      <c r="F784" s="7"/>
      <c r="G784" s="7"/>
      <c r="H784" s="7"/>
      <c r="I784" s="7"/>
      <c r="J784" s="7"/>
      <c r="K784" s="7"/>
      <c r="L784" s="7"/>
      <c r="M784" s="7"/>
      <c r="N784" s="7"/>
      <c r="O784" s="7"/>
      <c r="P784" s="7"/>
      <c r="Q784" s="7"/>
      <c r="R784" s="7"/>
    </row>
    <row r="785" spans="4:18" ht="0" hidden="1" customHeight="1">
      <c r="D785" s="23"/>
      <c r="E785" s="7"/>
      <c r="F785" s="7"/>
      <c r="G785" s="7"/>
      <c r="H785" s="7"/>
      <c r="I785" s="7"/>
      <c r="J785" s="7"/>
      <c r="K785" s="7"/>
      <c r="L785" s="7"/>
      <c r="M785" s="7"/>
      <c r="N785" s="7"/>
      <c r="O785" s="7"/>
      <c r="P785" s="7"/>
      <c r="Q785" s="7"/>
      <c r="R785" s="7"/>
    </row>
    <row r="786" spans="4:18" ht="0" hidden="1" customHeight="1">
      <c r="D786" s="23"/>
      <c r="E786" s="7"/>
      <c r="F786" s="7"/>
      <c r="G786" s="7"/>
      <c r="H786" s="7"/>
      <c r="I786" s="7"/>
      <c r="J786" s="7"/>
      <c r="K786" s="7"/>
      <c r="L786" s="7"/>
      <c r="M786" s="7"/>
      <c r="N786" s="7"/>
      <c r="O786" s="7"/>
      <c r="P786" s="7"/>
      <c r="Q786" s="7"/>
      <c r="R786" s="7"/>
    </row>
    <row r="787" spans="4:18" ht="0" hidden="1" customHeight="1">
      <c r="D787" s="23"/>
      <c r="E787" s="7"/>
      <c r="F787" s="7"/>
      <c r="G787" s="7"/>
      <c r="H787" s="7"/>
      <c r="I787" s="7"/>
      <c r="J787" s="7"/>
      <c r="K787" s="7"/>
      <c r="L787" s="7"/>
      <c r="M787" s="7"/>
      <c r="N787" s="7"/>
      <c r="O787" s="7"/>
      <c r="P787" s="7"/>
      <c r="Q787" s="7"/>
      <c r="R787" s="7"/>
    </row>
    <row r="788" spans="4:18" ht="0" hidden="1" customHeight="1">
      <c r="D788" s="23"/>
      <c r="E788" s="7"/>
      <c r="F788" s="7"/>
      <c r="G788" s="7"/>
      <c r="H788" s="7"/>
      <c r="I788" s="7"/>
      <c r="J788" s="7"/>
      <c r="K788" s="7"/>
      <c r="L788" s="7"/>
      <c r="M788" s="7"/>
      <c r="N788" s="7"/>
      <c r="O788" s="7"/>
      <c r="P788" s="7"/>
      <c r="Q788" s="7"/>
      <c r="R788" s="7"/>
    </row>
    <row r="789" spans="4:18" ht="0" hidden="1" customHeight="1">
      <c r="D789" s="23"/>
      <c r="E789" s="7"/>
      <c r="F789" s="7"/>
      <c r="G789" s="7"/>
      <c r="H789" s="7"/>
      <c r="I789" s="7"/>
      <c r="J789" s="7"/>
      <c r="K789" s="7"/>
      <c r="L789" s="7"/>
      <c r="M789" s="7"/>
      <c r="N789" s="7"/>
      <c r="O789" s="7"/>
      <c r="P789" s="7"/>
      <c r="Q789" s="7"/>
      <c r="R789" s="7"/>
    </row>
    <row r="790" spans="4:18" ht="0" hidden="1" customHeight="1">
      <c r="D790" s="23"/>
      <c r="E790" s="7"/>
      <c r="F790" s="7"/>
      <c r="G790" s="7"/>
      <c r="H790" s="7"/>
      <c r="I790" s="7"/>
      <c r="J790" s="7"/>
      <c r="K790" s="7"/>
      <c r="L790" s="7"/>
      <c r="M790" s="7"/>
      <c r="N790" s="7"/>
      <c r="O790" s="7"/>
      <c r="P790" s="7"/>
      <c r="Q790" s="7"/>
      <c r="R790" s="7"/>
    </row>
    <row r="791" spans="4:18" ht="0" hidden="1" customHeight="1">
      <c r="D791" s="23"/>
      <c r="E791" s="7"/>
      <c r="F791" s="7"/>
      <c r="G791" s="7"/>
      <c r="H791" s="7"/>
      <c r="I791" s="7"/>
      <c r="J791" s="7"/>
      <c r="K791" s="7"/>
      <c r="L791" s="7"/>
      <c r="M791" s="7"/>
      <c r="N791" s="7"/>
      <c r="O791" s="7"/>
      <c r="P791" s="7"/>
      <c r="Q791" s="7"/>
      <c r="R791" s="7"/>
    </row>
    <row r="792" spans="4:18" ht="0" hidden="1" customHeight="1">
      <c r="D792" s="23"/>
      <c r="E792" s="7"/>
      <c r="F792" s="7"/>
      <c r="G792" s="7"/>
      <c r="H792" s="7"/>
      <c r="I792" s="7"/>
      <c r="J792" s="7"/>
      <c r="K792" s="7"/>
      <c r="L792" s="7"/>
      <c r="M792" s="7"/>
      <c r="N792" s="7"/>
      <c r="O792" s="7"/>
      <c r="P792" s="7"/>
      <c r="Q792" s="7"/>
      <c r="R792" s="7"/>
    </row>
    <row r="793" spans="4:18" ht="0" hidden="1" customHeight="1">
      <c r="D793" s="23"/>
      <c r="E793" s="7"/>
      <c r="F793" s="7"/>
      <c r="G793" s="7"/>
      <c r="H793" s="7"/>
      <c r="I793" s="7"/>
      <c r="J793" s="7"/>
      <c r="K793" s="7"/>
      <c r="L793" s="7"/>
      <c r="M793" s="7"/>
      <c r="N793" s="7"/>
      <c r="O793" s="7"/>
      <c r="P793" s="7"/>
      <c r="Q793" s="7"/>
      <c r="R793" s="7"/>
    </row>
    <row r="794" spans="4:18" ht="0" hidden="1" customHeight="1">
      <c r="D794" s="23"/>
      <c r="E794" s="7"/>
      <c r="F794" s="7"/>
      <c r="G794" s="7"/>
      <c r="H794" s="7"/>
      <c r="I794" s="7"/>
      <c r="J794" s="7"/>
      <c r="K794" s="7"/>
      <c r="L794" s="7"/>
      <c r="M794" s="7"/>
      <c r="N794" s="7"/>
      <c r="O794" s="7"/>
      <c r="P794" s="7"/>
      <c r="Q794" s="7"/>
      <c r="R794" s="7"/>
    </row>
    <row r="795" spans="4:18" ht="0" hidden="1" customHeight="1">
      <c r="D795" s="23"/>
      <c r="E795" s="7"/>
      <c r="F795" s="7"/>
      <c r="G795" s="7"/>
      <c r="H795" s="7"/>
      <c r="I795" s="7"/>
      <c r="J795" s="7"/>
      <c r="K795" s="7"/>
      <c r="L795" s="7"/>
      <c r="M795" s="7"/>
      <c r="N795" s="7"/>
      <c r="O795" s="7"/>
      <c r="P795" s="7"/>
      <c r="Q795" s="7"/>
      <c r="R795" s="7"/>
    </row>
    <row r="796" spans="4:18" ht="0" hidden="1" customHeight="1">
      <c r="D796" s="23"/>
      <c r="E796" s="7"/>
      <c r="F796" s="7"/>
      <c r="G796" s="7"/>
      <c r="H796" s="7"/>
      <c r="I796" s="7"/>
      <c r="J796" s="7"/>
      <c r="K796" s="7"/>
      <c r="L796" s="7"/>
      <c r="M796" s="7"/>
      <c r="N796" s="7"/>
      <c r="O796" s="7"/>
      <c r="P796" s="7"/>
      <c r="Q796" s="7"/>
      <c r="R796" s="7"/>
    </row>
    <row r="797" spans="4:18" ht="0" hidden="1" customHeight="1">
      <c r="D797" s="23"/>
      <c r="E797" s="7"/>
      <c r="F797" s="7"/>
      <c r="G797" s="7"/>
      <c r="H797" s="7"/>
      <c r="I797" s="7"/>
      <c r="J797" s="7"/>
      <c r="K797" s="7"/>
      <c r="L797" s="7"/>
      <c r="M797" s="7"/>
      <c r="N797" s="7"/>
      <c r="O797" s="7"/>
      <c r="P797" s="7"/>
      <c r="Q797" s="7"/>
      <c r="R797" s="7"/>
    </row>
    <row r="798" spans="4:18" ht="0" hidden="1" customHeight="1">
      <c r="D798" s="23"/>
      <c r="E798" s="7"/>
      <c r="F798" s="7"/>
      <c r="G798" s="7"/>
      <c r="H798" s="7"/>
      <c r="I798" s="7"/>
      <c r="J798" s="7"/>
      <c r="K798" s="7"/>
      <c r="L798" s="7"/>
      <c r="M798" s="7"/>
      <c r="N798" s="7"/>
      <c r="O798" s="7"/>
      <c r="P798" s="7"/>
      <c r="Q798" s="7"/>
      <c r="R798" s="7"/>
    </row>
    <row r="799" spans="4:18" ht="0" hidden="1" customHeight="1">
      <c r="D799" s="23"/>
      <c r="E799" s="7"/>
      <c r="F799" s="7"/>
      <c r="G799" s="7"/>
      <c r="H799" s="7"/>
      <c r="I799" s="7"/>
      <c r="J799" s="7"/>
      <c r="K799" s="7"/>
      <c r="L799" s="7"/>
      <c r="M799" s="7"/>
      <c r="N799" s="7"/>
      <c r="O799" s="7"/>
      <c r="P799" s="7"/>
      <c r="Q799" s="7"/>
      <c r="R799" s="7"/>
    </row>
    <row r="800" spans="4:18" ht="0" hidden="1" customHeight="1">
      <c r="D800" s="23"/>
      <c r="E800" s="7"/>
      <c r="F800" s="7"/>
      <c r="G800" s="7"/>
      <c r="H800" s="7"/>
      <c r="I800" s="7"/>
      <c r="J800" s="7"/>
      <c r="K800" s="7"/>
      <c r="L800" s="7"/>
      <c r="M800" s="7"/>
      <c r="N800" s="7"/>
      <c r="O800" s="7"/>
      <c r="P800" s="7"/>
      <c r="Q800" s="7"/>
      <c r="R800" s="7"/>
    </row>
    <row r="801" spans="4:18" ht="0" hidden="1" customHeight="1">
      <c r="D801" s="23"/>
      <c r="E801" s="7"/>
      <c r="F801" s="7"/>
      <c r="G801" s="7"/>
      <c r="H801" s="7"/>
      <c r="I801" s="7"/>
      <c r="J801" s="7"/>
      <c r="K801" s="7"/>
      <c r="L801" s="7"/>
      <c r="M801" s="7"/>
      <c r="N801" s="7"/>
      <c r="O801" s="7"/>
      <c r="P801" s="7"/>
      <c r="Q801" s="7"/>
      <c r="R801" s="7"/>
    </row>
    <row r="802" spans="4:18" ht="0" hidden="1" customHeight="1">
      <c r="D802" s="23"/>
      <c r="E802" s="7"/>
      <c r="F802" s="7"/>
      <c r="G802" s="7"/>
      <c r="H802" s="7"/>
      <c r="I802" s="7"/>
      <c r="J802" s="7"/>
      <c r="K802" s="7"/>
      <c r="L802" s="7"/>
      <c r="M802" s="7"/>
      <c r="N802" s="7"/>
      <c r="O802" s="7"/>
      <c r="P802" s="7"/>
      <c r="Q802" s="7"/>
      <c r="R802" s="7"/>
    </row>
    <row r="803" spans="4:18" ht="0" hidden="1" customHeight="1">
      <c r="D803" s="23"/>
      <c r="E803" s="7"/>
      <c r="F803" s="7"/>
      <c r="G803" s="7"/>
      <c r="H803" s="7"/>
      <c r="I803" s="7"/>
      <c r="J803" s="7"/>
      <c r="K803" s="7"/>
      <c r="L803" s="7"/>
      <c r="M803" s="7"/>
      <c r="N803" s="7"/>
      <c r="O803" s="7"/>
      <c r="P803" s="7"/>
      <c r="Q803" s="7"/>
      <c r="R803" s="7"/>
    </row>
    <row r="804" spans="4:18" ht="0" hidden="1" customHeight="1">
      <c r="D804" s="23"/>
      <c r="E804" s="7"/>
      <c r="F804" s="7"/>
      <c r="G804" s="7"/>
      <c r="H804" s="7"/>
      <c r="I804" s="7"/>
      <c r="J804" s="7"/>
      <c r="K804" s="7"/>
      <c r="L804" s="7"/>
      <c r="M804" s="7"/>
      <c r="N804" s="7"/>
      <c r="O804" s="7"/>
      <c r="P804" s="7"/>
      <c r="Q804" s="7"/>
      <c r="R804" s="7"/>
    </row>
    <row r="805" spans="4:18" ht="0" hidden="1" customHeight="1">
      <c r="D805" s="23"/>
      <c r="E805" s="7"/>
      <c r="F805" s="7"/>
      <c r="G805" s="7"/>
      <c r="H805" s="7"/>
      <c r="I805" s="7"/>
      <c r="J805" s="7"/>
      <c r="K805" s="7"/>
      <c r="L805" s="7"/>
      <c r="M805" s="7"/>
      <c r="N805" s="7"/>
      <c r="O805" s="7"/>
      <c r="P805" s="7"/>
      <c r="Q805" s="7"/>
      <c r="R805" s="7"/>
    </row>
    <row r="806" spans="4:18" ht="0" hidden="1" customHeight="1">
      <c r="D806" s="23"/>
      <c r="E806" s="7"/>
      <c r="F806" s="7"/>
      <c r="G806" s="7"/>
      <c r="H806" s="7"/>
      <c r="I806" s="7"/>
      <c r="J806" s="7"/>
      <c r="K806" s="7"/>
      <c r="L806" s="7"/>
      <c r="M806" s="7"/>
      <c r="N806" s="7"/>
      <c r="O806" s="7"/>
      <c r="P806" s="7"/>
      <c r="Q806" s="7"/>
      <c r="R806" s="7"/>
    </row>
    <row r="807" spans="4:18" ht="0" hidden="1" customHeight="1">
      <c r="D807" s="23"/>
      <c r="E807" s="7"/>
      <c r="F807" s="7"/>
      <c r="G807" s="7"/>
      <c r="H807" s="7"/>
      <c r="I807" s="7"/>
      <c r="J807" s="7"/>
      <c r="K807" s="7"/>
      <c r="L807" s="7"/>
      <c r="M807" s="7"/>
      <c r="N807" s="7"/>
      <c r="O807" s="7"/>
      <c r="P807" s="7"/>
      <c r="Q807" s="7"/>
      <c r="R807" s="7"/>
    </row>
    <row r="808" spans="4:18" ht="0" hidden="1" customHeight="1">
      <c r="D808" s="23"/>
      <c r="E808" s="7"/>
      <c r="F808" s="7"/>
      <c r="G808" s="7"/>
      <c r="H808" s="7"/>
      <c r="I808" s="7"/>
      <c r="J808" s="7"/>
      <c r="K808" s="7"/>
      <c r="L808" s="7"/>
      <c r="M808" s="7"/>
      <c r="N808" s="7"/>
      <c r="O808" s="7"/>
      <c r="P808" s="7"/>
      <c r="Q808" s="7"/>
      <c r="R808" s="7"/>
    </row>
    <row r="809" spans="4:18" ht="0" hidden="1" customHeight="1">
      <c r="D809" s="23"/>
      <c r="E809" s="7"/>
      <c r="F809" s="7"/>
      <c r="G809" s="7"/>
      <c r="H809" s="7"/>
      <c r="I809" s="7"/>
      <c r="J809" s="7"/>
      <c r="K809" s="7"/>
      <c r="L809" s="7"/>
      <c r="M809" s="7"/>
      <c r="N809" s="7"/>
      <c r="O809" s="7"/>
      <c r="P809" s="7"/>
      <c r="Q809" s="7"/>
      <c r="R809" s="7"/>
    </row>
    <row r="810" spans="4:18" ht="0" hidden="1" customHeight="1">
      <c r="D810" s="23"/>
      <c r="E810" s="7"/>
      <c r="F810" s="7"/>
      <c r="G810" s="7"/>
      <c r="H810" s="7"/>
      <c r="I810" s="7"/>
      <c r="J810" s="7"/>
      <c r="K810" s="7"/>
      <c r="L810" s="7"/>
      <c r="M810" s="7"/>
      <c r="N810" s="7"/>
      <c r="O810" s="7"/>
      <c r="P810" s="7"/>
      <c r="Q810" s="7"/>
      <c r="R810" s="7"/>
    </row>
    <row r="811" spans="4:18" ht="0" hidden="1" customHeight="1">
      <c r="D811" s="23"/>
      <c r="E811" s="7"/>
      <c r="F811" s="7"/>
      <c r="G811" s="7"/>
      <c r="H811" s="7"/>
      <c r="I811" s="7"/>
      <c r="J811" s="7"/>
      <c r="K811" s="7"/>
      <c r="L811" s="7"/>
      <c r="M811" s="7"/>
      <c r="N811" s="7"/>
      <c r="O811" s="7"/>
      <c r="P811" s="7"/>
      <c r="Q811" s="7"/>
      <c r="R811" s="7"/>
    </row>
    <row r="812" spans="4:18" ht="0" hidden="1" customHeight="1">
      <c r="D812" s="23"/>
      <c r="E812" s="7"/>
      <c r="F812" s="7"/>
      <c r="G812" s="7"/>
      <c r="H812" s="7"/>
      <c r="I812" s="7"/>
      <c r="J812" s="7"/>
      <c r="K812" s="7"/>
      <c r="L812" s="7"/>
      <c r="M812" s="7"/>
      <c r="N812" s="7"/>
      <c r="O812" s="7"/>
      <c r="P812" s="7"/>
      <c r="Q812" s="7"/>
      <c r="R812" s="7"/>
    </row>
    <row r="813" spans="4:18" ht="0" hidden="1" customHeight="1">
      <c r="D813" s="23"/>
      <c r="E813" s="7"/>
      <c r="F813" s="7"/>
      <c r="G813" s="7"/>
      <c r="H813" s="7"/>
      <c r="I813" s="7"/>
      <c r="J813" s="7"/>
      <c r="K813" s="7"/>
      <c r="L813" s="7"/>
      <c r="M813" s="7"/>
      <c r="N813" s="7"/>
      <c r="O813" s="7"/>
      <c r="P813" s="7"/>
      <c r="Q813" s="7"/>
      <c r="R813" s="7"/>
    </row>
    <row r="814" spans="4:18" ht="0" hidden="1" customHeight="1">
      <c r="D814" s="23"/>
      <c r="E814" s="7"/>
      <c r="F814" s="7"/>
      <c r="G814" s="7"/>
      <c r="H814" s="7"/>
      <c r="I814" s="7"/>
      <c r="J814" s="7"/>
      <c r="K814" s="7"/>
      <c r="L814" s="7"/>
      <c r="M814" s="7"/>
      <c r="N814" s="7"/>
      <c r="O814" s="7"/>
      <c r="P814" s="7"/>
      <c r="Q814" s="7"/>
      <c r="R814" s="7"/>
    </row>
    <row r="815" spans="4:18" ht="0" hidden="1" customHeight="1">
      <c r="D815" s="23"/>
      <c r="E815" s="7"/>
      <c r="F815" s="7"/>
      <c r="G815" s="7"/>
      <c r="H815" s="7"/>
      <c r="I815" s="7"/>
      <c r="J815" s="7"/>
      <c r="K815" s="7"/>
      <c r="L815" s="7"/>
      <c r="M815" s="7"/>
      <c r="N815" s="7"/>
      <c r="O815" s="7"/>
      <c r="P815" s="7"/>
      <c r="Q815" s="7"/>
      <c r="R815" s="7"/>
    </row>
    <row r="816" spans="4:18" ht="0" hidden="1" customHeight="1">
      <c r="D816" s="23"/>
      <c r="E816" s="7"/>
      <c r="F816" s="7"/>
      <c r="G816" s="7"/>
      <c r="H816" s="7"/>
      <c r="I816" s="7"/>
      <c r="J816" s="7"/>
      <c r="K816" s="7"/>
      <c r="L816" s="7"/>
      <c r="M816" s="7"/>
      <c r="N816" s="7"/>
      <c r="O816" s="7"/>
      <c r="P816" s="7"/>
      <c r="Q816" s="7"/>
      <c r="R816" s="7"/>
    </row>
    <row r="817" spans="4:18" ht="0" hidden="1" customHeight="1">
      <c r="D817" s="23"/>
      <c r="E817" s="7"/>
      <c r="F817" s="7"/>
      <c r="G817" s="7"/>
      <c r="H817" s="7"/>
      <c r="I817" s="7"/>
      <c r="J817" s="7"/>
      <c r="K817" s="7"/>
      <c r="L817" s="7"/>
      <c r="M817" s="7"/>
      <c r="N817" s="7"/>
      <c r="O817" s="7"/>
      <c r="P817" s="7"/>
      <c r="Q817" s="7"/>
      <c r="R817" s="7"/>
    </row>
    <row r="818" spans="4:18" ht="0" hidden="1" customHeight="1">
      <c r="D818" s="23"/>
      <c r="E818" s="7"/>
      <c r="F818" s="7"/>
      <c r="G818" s="7"/>
      <c r="H818" s="7"/>
      <c r="I818" s="7"/>
      <c r="J818" s="7"/>
      <c r="K818" s="7"/>
      <c r="L818" s="7"/>
      <c r="M818" s="7"/>
      <c r="N818" s="7"/>
      <c r="O818" s="7"/>
      <c r="P818" s="7"/>
      <c r="Q818" s="7"/>
      <c r="R818" s="7"/>
    </row>
    <row r="819" spans="4:18" ht="0" hidden="1" customHeight="1">
      <c r="D819" s="23"/>
      <c r="E819" s="7"/>
      <c r="F819" s="7"/>
      <c r="G819" s="7"/>
      <c r="H819" s="7"/>
      <c r="I819" s="7"/>
      <c r="J819" s="7"/>
      <c r="K819" s="7"/>
      <c r="L819" s="7"/>
      <c r="M819" s="7"/>
      <c r="N819" s="7"/>
      <c r="O819" s="7"/>
      <c r="P819" s="7"/>
      <c r="Q819" s="7"/>
      <c r="R819" s="7"/>
    </row>
    <row r="820" spans="4:18" ht="0" hidden="1" customHeight="1">
      <c r="D820" s="23"/>
      <c r="E820" s="7"/>
      <c r="F820" s="7"/>
      <c r="G820" s="7"/>
      <c r="H820" s="7"/>
      <c r="I820" s="7"/>
      <c r="J820" s="7"/>
      <c r="K820" s="7"/>
      <c r="L820" s="7"/>
      <c r="M820" s="7"/>
      <c r="N820" s="7"/>
      <c r="O820" s="7"/>
      <c r="P820" s="7"/>
      <c r="Q820" s="7"/>
      <c r="R820" s="7"/>
    </row>
    <row r="821" spans="4:18" ht="0" hidden="1" customHeight="1">
      <c r="D821" s="23"/>
      <c r="E821" s="7"/>
      <c r="F821" s="7"/>
      <c r="G821" s="7"/>
      <c r="H821" s="7"/>
      <c r="I821" s="7"/>
      <c r="J821" s="7"/>
      <c r="K821" s="7"/>
      <c r="L821" s="7"/>
      <c r="M821" s="7"/>
      <c r="N821" s="7"/>
      <c r="O821" s="7"/>
      <c r="P821" s="7"/>
      <c r="Q821" s="7"/>
      <c r="R821" s="7"/>
    </row>
    <row r="822" spans="4:18" ht="0" hidden="1" customHeight="1">
      <c r="D822" s="23"/>
      <c r="E822" s="7"/>
      <c r="F822" s="7"/>
      <c r="G822" s="7"/>
      <c r="H822" s="7"/>
      <c r="I822" s="7"/>
      <c r="J822" s="7"/>
      <c r="K822" s="7"/>
      <c r="L822" s="7"/>
      <c r="M822" s="7"/>
      <c r="N822" s="7"/>
      <c r="O822" s="7"/>
      <c r="P822" s="7"/>
      <c r="Q822" s="7"/>
      <c r="R822" s="7"/>
    </row>
    <row r="823" spans="4:18" ht="0" hidden="1" customHeight="1">
      <c r="D823" s="23"/>
      <c r="E823" s="7"/>
      <c r="F823" s="7"/>
      <c r="G823" s="7"/>
      <c r="H823" s="7"/>
      <c r="I823" s="7"/>
      <c r="J823" s="7"/>
      <c r="K823" s="7"/>
      <c r="L823" s="7"/>
      <c r="M823" s="7"/>
      <c r="N823" s="7"/>
      <c r="O823" s="7"/>
      <c r="P823" s="7"/>
      <c r="Q823" s="7"/>
      <c r="R823" s="7"/>
    </row>
    <row r="824" spans="4:18" ht="0" hidden="1" customHeight="1">
      <c r="D824" s="23"/>
      <c r="E824" s="7"/>
      <c r="F824" s="7"/>
      <c r="G824" s="7"/>
      <c r="H824" s="7"/>
      <c r="I824" s="7"/>
      <c r="J824" s="7"/>
      <c r="K824" s="7"/>
      <c r="L824" s="7"/>
      <c r="M824" s="7"/>
      <c r="N824" s="7"/>
      <c r="O824" s="7"/>
      <c r="P824" s="7"/>
      <c r="Q824" s="7"/>
      <c r="R824" s="7"/>
    </row>
    <row r="825" spans="4:18" ht="0" hidden="1" customHeight="1">
      <c r="D825" s="23"/>
      <c r="E825" s="7"/>
      <c r="F825" s="7"/>
      <c r="G825" s="7"/>
      <c r="H825" s="7"/>
      <c r="I825" s="7"/>
      <c r="J825" s="7"/>
      <c r="K825" s="7"/>
      <c r="L825" s="7"/>
      <c r="M825" s="7"/>
      <c r="N825" s="7"/>
      <c r="O825" s="7"/>
      <c r="P825" s="7"/>
      <c r="Q825" s="7"/>
      <c r="R825" s="7"/>
    </row>
    <row r="826" spans="4:18" ht="0" hidden="1" customHeight="1">
      <c r="D826" s="23"/>
      <c r="E826" s="7"/>
      <c r="F826" s="7"/>
      <c r="G826" s="7"/>
      <c r="H826" s="7"/>
      <c r="I826" s="7"/>
      <c r="J826" s="7"/>
      <c r="K826" s="7"/>
      <c r="L826" s="7"/>
      <c r="M826" s="7"/>
      <c r="N826" s="7"/>
      <c r="O826" s="7"/>
      <c r="P826" s="7"/>
      <c r="Q826" s="7"/>
      <c r="R826" s="7"/>
    </row>
    <row r="827" spans="4:18" ht="0" hidden="1" customHeight="1">
      <c r="D827" s="23"/>
      <c r="E827" s="7"/>
      <c r="F827" s="7"/>
      <c r="G827" s="7"/>
      <c r="H827" s="7"/>
      <c r="I827" s="7"/>
      <c r="J827" s="7"/>
      <c r="K827" s="7"/>
      <c r="L827" s="7"/>
      <c r="M827" s="7"/>
      <c r="N827" s="7"/>
      <c r="O827" s="7"/>
      <c r="P827" s="7"/>
      <c r="Q827" s="7"/>
      <c r="R827" s="7"/>
    </row>
    <row r="828" spans="4:18" ht="0" hidden="1" customHeight="1">
      <c r="D828" s="23"/>
      <c r="E828" s="7"/>
      <c r="F828" s="7"/>
      <c r="G828" s="7"/>
      <c r="H828" s="7"/>
      <c r="I828" s="7"/>
      <c r="J828" s="7"/>
      <c r="K828" s="7"/>
      <c r="L828" s="7"/>
      <c r="M828" s="7"/>
      <c r="N828" s="7"/>
      <c r="O828" s="7"/>
      <c r="P828" s="7"/>
      <c r="Q828" s="7"/>
      <c r="R828" s="7"/>
    </row>
    <row r="829" spans="4:18" ht="0" hidden="1" customHeight="1">
      <c r="D829" s="23"/>
      <c r="E829" s="7"/>
      <c r="F829" s="7"/>
      <c r="G829" s="7"/>
      <c r="H829" s="7"/>
      <c r="I829" s="7"/>
      <c r="J829" s="7"/>
      <c r="K829" s="7"/>
      <c r="L829" s="7"/>
      <c r="M829" s="7"/>
      <c r="N829" s="7"/>
      <c r="O829" s="7"/>
      <c r="P829" s="7"/>
      <c r="Q829" s="7"/>
      <c r="R829" s="7"/>
    </row>
    <row r="830" spans="4:18" ht="0" hidden="1" customHeight="1">
      <c r="D830" s="23"/>
      <c r="E830" s="7"/>
      <c r="F830" s="7"/>
      <c r="G830" s="7"/>
      <c r="H830" s="7"/>
      <c r="I830" s="7"/>
      <c r="J830" s="7"/>
      <c r="K830" s="7"/>
      <c r="L830" s="7"/>
      <c r="M830" s="7"/>
      <c r="N830" s="7"/>
      <c r="O830" s="7"/>
      <c r="P830" s="7"/>
      <c r="Q830" s="7"/>
      <c r="R830" s="7"/>
    </row>
    <row r="831" spans="4:18" ht="0" hidden="1" customHeight="1">
      <c r="D831" s="23"/>
      <c r="E831" s="7"/>
      <c r="F831" s="7"/>
      <c r="G831" s="7"/>
      <c r="H831" s="7"/>
      <c r="I831" s="7"/>
      <c r="J831" s="7"/>
      <c r="K831" s="7"/>
      <c r="L831" s="7"/>
      <c r="M831" s="7"/>
      <c r="N831" s="7"/>
      <c r="O831" s="7"/>
      <c r="P831" s="7"/>
      <c r="Q831" s="7"/>
      <c r="R831" s="7"/>
    </row>
    <row r="832" spans="4:18" ht="0" hidden="1" customHeight="1">
      <c r="D832" s="23"/>
      <c r="E832" s="7"/>
      <c r="F832" s="7"/>
      <c r="G832" s="7"/>
      <c r="H832" s="7"/>
      <c r="I832" s="7"/>
      <c r="J832" s="7"/>
      <c r="K832" s="7"/>
      <c r="L832" s="7"/>
      <c r="M832" s="7"/>
      <c r="N832" s="7"/>
      <c r="O832" s="7"/>
      <c r="P832" s="7"/>
      <c r="Q832" s="7"/>
      <c r="R832" s="7"/>
    </row>
    <row r="833" spans="4:18" ht="0" hidden="1" customHeight="1">
      <c r="D833" s="23"/>
      <c r="E833" s="7"/>
      <c r="F833" s="7"/>
      <c r="G833" s="7"/>
      <c r="H833" s="7"/>
      <c r="I833" s="7"/>
      <c r="J833" s="7"/>
      <c r="K833" s="7"/>
      <c r="L833" s="7"/>
      <c r="M833" s="7"/>
      <c r="N833" s="7"/>
      <c r="O833" s="7"/>
      <c r="P833" s="7"/>
      <c r="Q833" s="7"/>
      <c r="R833" s="7"/>
    </row>
    <row r="834" spans="4:18" ht="0" hidden="1" customHeight="1">
      <c r="D834" s="23"/>
      <c r="E834" s="7"/>
      <c r="F834" s="7"/>
      <c r="G834" s="7"/>
      <c r="H834" s="7"/>
      <c r="I834" s="7"/>
      <c r="J834" s="7"/>
      <c r="K834" s="7"/>
      <c r="L834" s="7"/>
      <c r="M834" s="7"/>
      <c r="N834" s="7"/>
      <c r="O834" s="7"/>
      <c r="P834" s="7"/>
      <c r="Q834" s="7"/>
      <c r="R834" s="7"/>
    </row>
    <row r="835" spans="4:18" ht="0" hidden="1" customHeight="1">
      <c r="D835" s="23"/>
      <c r="E835" s="7"/>
      <c r="F835" s="7"/>
      <c r="G835" s="7"/>
      <c r="H835" s="7"/>
      <c r="I835" s="7"/>
      <c r="J835" s="7"/>
      <c r="K835" s="7"/>
      <c r="L835" s="7"/>
      <c r="M835" s="7"/>
      <c r="N835" s="7"/>
      <c r="O835" s="7"/>
      <c r="P835" s="7"/>
      <c r="Q835" s="7"/>
      <c r="R835" s="7"/>
    </row>
    <row r="836" spans="4:18" ht="0" hidden="1" customHeight="1">
      <c r="D836" s="23"/>
      <c r="E836" s="7"/>
      <c r="F836" s="7"/>
      <c r="G836" s="7"/>
      <c r="H836" s="7"/>
      <c r="I836" s="7"/>
      <c r="J836" s="7"/>
      <c r="K836" s="7"/>
      <c r="L836" s="7"/>
      <c r="M836" s="7"/>
      <c r="N836" s="7"/>
      <c r="O836" s="7"/>
      <c r="P836" s="7"/>
      <c r="Q836" s="7"/>
      <c r="R836" s="7"/>
    </row>
    <row r="837" spans="4:18" ht="0" hidden="1" customHeight="1">
      <c r="D837" s="23"/>
      <c r="E837" s="7"/>
      <c r="F837" s="7"/>
      <c r="G837" s="7"/>
      <c r="H837" s="7"/>
      <c r="I837" s="7"/>
      <c r="J837" s="7"/>
      <c r="K837" s="7"/>
      <c r="L837" s="7"/>
      <c r="M837" s="7"/>
      <c r="N837" s="7"/>
      <c r="O837" s="7"/>
      <c r="P837" s="7"/>
      <c r="Q837" s="7"/>
      <c r="R837" s="7"/>
    </row>
    <row r="838" spans="4:18" ht="0" hidden="1" customHeight="1">
      <c r="D838" s="23"/>
      <c r="E838" s="7"/>
      <c r="F838" s="7"/>
      <c r="G838" s="7"/>
      <c r="H838" s="7"/>
      <c r="I838" s="7"/>
      <c r="J838" s="7"/>
      <c r="K838" s="7"/>
      <c r="L838" s="7"/>
      <c r="M838" s="7"/>
      <c r="N838" s="7"/>
      <c r="O838" s="7"/>
      <c r="P838" s="7"/>
      <c r="Q838" s="7"/>
      <c r="R838" s="7"/>
    </row>
    <row r="839" spans="4:18" ht="0" hidden="1" customHeight="1">
      <c r="D839" s="23"/>
      <c r="E839" s="7"/>
      <c r="F839" s="7"/>
      <c r="G839" s="7"/>
      <c r="H839" s="7"/>
      <c r="I839" s="7"/>
      <c r="J839" s="7"/>
      <c r="K839" s="7"/>
      <c r="L839" s="7"/>
      <c r="M839" s="7"/>
      <c r="N839" s="7"/>
      <c r="O839" s="7"/>
      <c r="P839" s="7"/>
      <c r="Q839" s="7"/>
      <c r="R839" s="7"/>
    </row>
    <row r="840" spans="4:18" ht="0" hidden="1" customHeight="1">
      <c r="D840" s="23"/>
      <c r="E840" s="7"/>
      <c r="F840" s="7"/>
      <c r="G840" s="7"/>
      <c r="H840" s="7"/>
      <c r="I840" s="7"/>
      <c r="J840" s="7"/>
      <c r="K840" s="7"/>
      <c r="L840" s="7"/>
      <c r="M840" s="7"/>
      <c r="N840" s="7"/>
      <c r="O840" s="7"/>
      <c r="P840" s="7"/>
      <c r="Q840" s="7"/>
      <c r="R840" s="7"/>
    </row>
    <row r="841" spans="4:18" ht="0" hidden="1" customHeight="1">
      <c r="D841" s="23"/>
      <c r="E841" s="7"/>
      <c r="F841" s="7"/>
      <c r="G841" s="7"/>
      <c r="H841" s="7"/>
      <c r="I841" s="7"/>
      <c r="J841" s="7"/>
      <c r="K841" s="7"/>
      <c r="L841" s="7"/>
      <c r="M841" s="7"/>
      <c r="N841" s="7"/>
      <c r="O841" s="7"/>
      <c r="P841" s="7"/>
      <c r="Q841" s="7"/>
      <c r="R841" s="7"/>
    </row>
    <row r="842" spans="4:18" ht="0" hidden="1" customHeight="1">
      <c r="D842" s="23"/>
      <c r="E842" s="7"/>
      <c r="F842" s="7"/>
      <c r="G842" s="7"/>
      <c r="H842" s="7"/>
      <c r="I842" s="7"/>
      <c r="J842" s="7"/>
      <c r="K842" s="7"/>
      <c r="L842" s="7"/>
      <c r="M842" s="7"/>
      <c r="N842" s="7"/>
      <c r="O842" s="7"/>
      <c r="P842" s="7"/>
      <c r="Q842" s="7"/>
      <c r="R842" s="7"/>
    </row>
    <row r="843" spans="4:18" ht="0" hidden="1" customHeight="1">
      <c r="D843" s="23"/>
      <c r="E843" s="7"/>
      <c r="F843" s="7"/>
      <c r="G843" s="7"/>
      <c r="H843" s="7"/>
      <c r="I843" s="7"/>
      <c r="J843" s="7"/>
      <c r="K843" s="7"/>
      <c r="L843" s="7"/>
      <c r="M843" s="7"/>
      <c r="N843" s="7"/>
      <c r="O843" s="7"/>
      <c r="P843" s="7"/>
      <c r="Q843" s="7"/>
      <c r="R843" s="7"/>
    </row>
    <row r="844" spans="4:18" ht="0" hidden="1" customHeight="1">
      <c r="D844" s="23"/>
      <c r="E844" s="7"/>
      <c r="F844" s="7"/>
      <c r="G844" s="7"/>
      <c r="H844" s="7"/>
      <c r="I844" s="7"/>
      <c r="J844" s="7"/>
      <c r="K844" s="7"/>
      <c r="L844" s="7"/>
      <c r="M844" s="7"/>
      <c r="N844" s="7"/>
      <c r="O844" s="7"/>
      <c r="P844" s="7"/>
      <c r="Q844" s="7"/>
      <c r="R844" s="7"/>
    </row>
    <row r="845" spans="4:18" ht="0" hidden="1" customHeight="1">
      <c r="D845" s="23"/>
      <c r="E845" s="7"/>
      <c r="F845" s="7"/>
      <c r="G845" s="7"/>
      <c r="H845" s="7"/>
      <c r="I845" s="7"/>
      <c r="J845" s="7"/>
      <c r="K845" s="7"/>
      <c r="L845" s="7"/>
      <c r="M845" s="7"/>
      <c r="N845" s="7"/>
      <c r="O845" s="7"/>
      <c r="P845" s="7"/>
      <c r="Q845" s="7"/>
      <c r="R845" s="7"/>
    </row>
    <row r="846" spans="4:18" ht="0" hidden="1" customHeight="1">
      <c r="D846" s="23"/>
      <c r="E846" s="7"/>
      <c r="F846" s="7"/>
      <c r="G846" s="7"/>
      <c r="H846" s="7"/>
      <c r="I846" s="7"/>
      <c r="J846" s="7"/>
      <c r="K846" s="7"/>
      <c r="L846" s="7"/>
      <c r="M846" s="7"/>
      <c r="N846" s="7"/>
      <c r="O846" s="7"/>
      <c r="P846" s="7"/>
      <c r="Q846" s="7"/>
      <c r="R846" s="7"/>
    </row>
    <row r="847" spans="4:18" ht="0" hidden="1" customHeight="1">
      <c r="D847" s="23"/>
      <c r="E847" s="7"/>
      <c r="F847" s="7"/>
      <c r="G847" s="7"/>
      <c r="H847" s="7"/>
      <c r="I847" s="7"/>
      <c r="J847" s="7"/>
      <c r="K847" s="7"/>
      <c r="L847" s="7"/>
      <c r="M847" s="7"/>
      <c r="N847" s="7"/>
      <c r="O847" s="7"/>
      <c r="P847" s="7"/>
      <c r="Q847" s="7"/>
      <c r="R847" s="7"/>
    </row>
    <row r="848" spans="4:18" ht="0" hidden="1" customHeight="1">
      <c r="D848" s="23"/>
      <c r="E848" s="7"/>
      <c r="F848" s="7"/>
      <c r="G848" s="7"/>
      <c r="H848" s="7"/>
      <c r="I848" s="7"/>
      <c r="J848" s="7"/>
      <c r="K848" s="7"/>
      <c r="L848" s="7"/>
      <c r="M848" s="7"/>
      <c r="N848" s="7"/>
      <c r="O848" s="7"/>
      <c r="P848" s="7"/>
      <c r="Q848" s="7"/>
      <c r="R848" s="7"/>
    </row>
    <row r="849" spans="4:18" ht="0" hidden="1" customHeight="1">
      <c r="D849" s="23"/>
      <c r="E849" s="7"/>
      <c r="F849" s="7"/>
      <c r="G849" s="7"/>
      <c r="H849" s="7"/>
      <c r="I849" s="7"/>
      <c r="J849" s="7"/>
      <c r="K849" s="7"/>
      <c r="L849" s="7"/>
      <c r="M849" s="7"/>
      <c r="N849" s="7"/>
      <c r="O849" s="7"/>
      <c r="P849" s="7"/>
      <c r="Q849" s="7"/>
      <c r="R849" s="7"/>
    </row>
    <row r="850" spans="4:18" ht="0" hidden="1" customHeight="1">
      <c r="D850" s="23"/>
      <c r="E850" s="7"/>
      <c r="F850" s="7"/>
      <c r="G850" s="7"/>
      <c r="H850" s="7"/>
      <c r="I850" s="7"/>
      <c r="J850" s="7"/>
      <c r="K850" s="7"/>
      <c r="L850" s="7"/>
      <c r="M850" s="7"/>
      <c r="N850" s="7"/>
      <c r="O850" s="7"/>
      <c r="P850" s="7"/>
      <c r="Q850" s="7"/>
      <c r="R850" s="7"/>
    </row>
    <row r="851" spans="4:18" ht="0" hidden="1" customHeight="1">
      <c r="D851" s="23"/>
      <c r="E851" s="7"/>
      <c r="F851" s="7"/>
      <c r="G851" s="7"/>
      <c r="H851" s="7"/>
      <c r="I851" s="7"/>
      <c r="J851" s="7"/>
      <c r="K851" s="7"/>
      <c r="L851" s="7"/>
      <c r="M851" s="7"/>
      <c r="N851" s="7"/>
      <c r="O851" s="7"/>
      <c r="P851" s="7"/>
      <c r="Q851" s="7"/>
      <c r="R851" s="7"/>
    </row>
    <row r="852" spans="4:18" ht="0" hidden="1" customHeight="1">
      <c r="D852" s="23"/>
      <c r="E852" s="7"/>
      <c r="F852" s="7"/>
      <c r="G852" s="7"/>
      <c r="H852" s="7"/>
      <c r="I852" s="7"/>
      <c r="J852" s="7"/>
      <c r="K852" s="7"/>
      <c r="L852" s="7"/>
      <c r="M852" s="7"/>
      <c r="N852" s="7"/>
      <c r="O852" s="7"/>
      <c r="P852" s="7"/>
      <c r="Q852" s="7"/>
      <c r="R852" s="7"/>
    </row>
    <row r="853" spans="4:18" ht="0" hidden="1" customHeight="1">
      <c r="D853" s="23"/>
      <c r="E853" s="7"/>
      <c r="F853" s="7"/>
      <c r="G853" s="7"/>
      <c r="H853" s="7"/>
      <c r="I853" s="7"/>
      <c r="J853" s="7"/>
      <c r="K853" s="7"/>
      <c r="L853" s="7"/>
      <c r="M853" s="7"/>
      <c r="N853" s="7"/>
      <c r="O853" s="7"/>
      <c r="P853" s="7"/>
      <c r="Q853" s="7"/>
      <c r="R853" s="7"/>
    </row>
    <row r="854" spans="4:18" ht="0" hidden="1" customHeight="1">
      <c r="D854" s="23"/>
      <c r="E854" s="7"/>
      <c r="F854" s="7"/>
      <c r="G854" s="7"/>
      <c r="H854" s="7"/>
      <c r="I854" s="7"/>
      <c r="J854" s="7"/>
      <c r="K854" s="7"/>
      <c r="L854" s="7"/>
      <c r="M854" s="7"/>
      <c r="N854" s="7"/>
      <c r="O854" s="7"/>
      <c r="P854" s="7"/>
      <c r="Q854" s="7"/>
      <c r="R854" s="7"/>
    </row>
    <row r="855" spans="4:18" ht="0" hidden="1" customHeight="1">
      <c r="D855" s="23"/>
      <c r="E855" s="7"/>
      <c r="F855" s="7"/>
      <c r="G855" s="7"/>
      <c r="H855" s="7"/>
      <c r="I855" s="7"/>
      <c r="J855" s="7"/>
      <c r="K855" s="7"/>
      <c r="L855" s="7"/>
      <c r="M855" s="7"/>
      <c r="N855" s="7"/>
      <c r="O855" s="7"/>
      <c r="P855" s="7"/>
      <c r="Q855" s="7"/>
      <c r="R855" s="7"/>
    </row>
    <row r="856" spans="4:18" ht="0" hidden="1" customHeight="1">
      <c r="D856" s="23"/>
      <c r="E856" s="7"/>
      <c r="F856" s="7"/>
      <c r="G856" s="7"/>
      <c r="H856" s="7"/>
      <c r="I856" s="7"/>
      <c r="J856" s="7"/>
      <c r="K856" s="7"/>
      <c r="L856" s="7"/>
      <c r="M856" s="7"/>
      <c r="N856" s="7"/>
      <c r="O856" s="7"/>
      <c r="P856" s="7"/>
      <c r="Q856" s="7"/>
      <c r="R856" s="7"/>
    </row>
    <row r="857" spans="4:18" ht="0" hidden="1" customHeight="1">
      <c r="D857" s="23"/>
      <c r="E857" s="7"/>
      <c r="F857" s="7"/>
      <c r="G857" s="7"/>
      <c r="H857" s="7"/>
      <c r="I857" s="7"/>
      <c r="J857" s="7"/>
      <c r="K857" s="7"/>
      <c r="L857" s="7"/>
      <c r="M857" s="7"/>
      <c r="N857" s="7"/>
      <c r="O857" s="7"/>
      <c r="P857" s="7"/>
      <c r="Q857" s="7"/>
      <c r="R857" s="7"/>
    </row>
    <row r="858" spans="4:18" ht="0" hidden="1" customHeight="1">
      <c r="D858" s="23"/>
      <c r="E858" s="7"/>
      <c r="F858" s="7"/>
      <c r="G858" s="7"/>
      <c r="H858" s="7"/>
      <c r="I858" s="7"/>
      <c r="J858" s="7"/>
      <c r="K858" s="7"/>
      <c r="L858" s="7"/>
      <c r="M858" s="7"/>
      <c r="N858" s="7"/>
      <c r="O858" s="7"/>
      <c r="P858" s="7"/>
      <c r="Q858" s="7"/>
      <c r="R858" s="7"/>
    </row>
    <row r="859" spans="4:18" ht="0" hidden="1" customHeight="1">
      <c r="D859" s="23"/>
      <c r="E859" s="7"/>
      <c r="F859" s="7"/>
      <c r="G859" s="7"/>
      <c r="H859" s="7"/>
      <c r="I859" s="7"/>
      <c r="J859" s="7"/>
      <c r="K859" s="7"/>
      <c r="L859" s="7"/>
      <c r="M859" s="7"/>
      <c r="N859" s="7"/>
      <c r="O859" s="7"/>
      <c r="P859" s="7"/>
      <c r="Q859" s="7"/>
      <c r="R859" s="7"/>
    </row>
    <row r="860" spans="4:18" ht="0" hidden="1" customHeight="1">
      <c r="D860" s="23"/>
      <c r="E860" s="7"/>
      <c r="F860" s="7"/>
      <c r="G860" s="7"/>
      <c r="H860" s="7"/>
      <c r="I860" s="7"/>
      <c r="J860" s="7"/>
      <c r="K860" s="7"/>
      <c r="L860" s="7"/>
      <c r="M860" s="7"/>
      <c r="N860" s="7"/>
      <c r="O860" s="7"/>
      <c r="P860" s="7"/>
      <c r="Q860" s="7"/>
      <c r="R860" s="7"/>
    </row>
    <row r="861" spans="4:18" ht="0" hidden="1" customHeight="1">
      <c r="D861" s="23"/>
      <c r="E861" s="7"/>
      <c r="F861" s="7"/>
      <c r="G861" s="7"/>
      <c r="H861" s="7"/>
      <c r="I861" s="7"/>
      <c r="J861" s="7"/>
      <c r="K861" s="7"/>
      <c r="L861" s="7"/>
      <c r="M861" s="7"/>
      <c r="N861" s="7"/>
      <c r="O861" s="7"/>
      <c r="P861" s="7"/>
      <c r="Q861" s="7"/>
      <c r="R861" s="7"/>
    </row>
    <row r="862" spans="4:18" ht="0" hidden="1" customHeight="1">
      <c r="D862" s="23"/>
      <c r="E862" s="7"/>
      <c r="F862" s="7"/>
      <c r="G862" s="7"/>
      <c r="H862" s="7"/>
      <c r="I862" s="7"/>
      <c r="J862" s="7"/>
      <c r="K862" s="7"/>
      <c r="L862" s="7"/>
      <c r="M862" s="7"/>
      <c r="N862" s="7"/>
      <c r="O862" s="7"/>
      <c r="P862" s="7"/>
      <c r="Q862" s="7"/>
      <c r="R862" s="7"/>
    </row>
    <row r="863" spans="4:18" ht="0" hidden="1" customHeight="1">
      <c r="D863" s="23"/>
      <c r="E863" s="7"/>
      <c r="F863" s="7"/>
      <c r="G863" s="7"/>
      <c r="H863" s="7"/>
      <c r="I863" s="7"/>
      <c r="J863" s="7"/>
      <c r="K863" s="7"/>
      <c r="L863" s="7"/>
      <c r="M863" s="7"/>
      <c r="N863" s="7"/>
      <c r="O863" s="7"/>
      <c r="P863" s="7"/>
      <c r="Q863" s="7"/>
      <c r="R863" s="7"/>
    </row>
    <row r="864" spans="4:18" ht="0" hidden="1" customHeight="1">
      <c r="D864" s="23"/>
      <c r="E864" s="7"/>
      <c r="F864" s="7"/>
      <c r="G864" s="7"/>
      <c r="H864" s="7"/>
      <c r="I864" s="7"/>
      <c r="J864" s="7"/>
      <c r="K864" s="7"/>
      <c r="L864" s="7"/>
      <c r="M864" s="7"/>
      <c r="N864" s="7"/>
      <c r="O864" s="7"/>
      <c r="P864" s="7"/>
      <c r="Q864" s="7"/>
      <c r="R864" s="7"/>
    </row>
    <row r="865" spans="4:18" ht="0" hidden="1" customHeight="1">
      <c r="D865" s="23"/>
      <c r="E865" s="7"/>
      <c r="F865" s="7"/>
      <c r="G865" s="7"/>
      <c r="H865" s="7"/>
      <c r="I865" s="7"/>
      <c r="J865" s="7"/>
      <c r="K865" s="7"/>
      <c r="L865" s="7"/>
      <c r="M865" s="7"/>
      <c r="N865" s="7"/>
      <c r="O865" s="7"/>
      <c r="P865" s="7"/>
      <c r="Q865" s="7"/>
      <c r="R865" s="7"/>
    </row>
    <row r="866" spans="4:18" ht="0" hidden="1" customHeight="1">
      <c r="D866" s="23"/>
      <c r="E866" s="7"/>
      <c r="F866" s="7"/>
      <c r="G866" s="7"/>
      <c r="H866" s="7"/>
      <c r="I866" s="7"/>
      <c r="J866" s="7"/>
      <c r="K866" s="7"/>
      <c r="L866" s="7"/>
      <c r="M866" s="7"/>
      <c r="N866" s="7"/>
      <c r="O866" s="7"/>
      <c r="P866" s="7"/>
      <c r="Q866" s="7"/>
      <c r="R866" s="7"/>
    </row>
    <row r="867" spans="4:18" ht="0" hidden="1" customHeight="1">
      <c r="D867" s="23"/>
      <c r="E867" s="7"/>
      <c r="F867" s="7"/>
      <c r="G867" s="7"/>
      <c r="H867" s="7"/>
      <c r="I867" s="7"/>
      <c r="J867" s="7"/>
      <c r="K867" s="7"/>
      <c r="L867" s="7"/>
      <c r="M867" s="7"/>
      <c r="N867" s="7"/>
      <c r="O867" s="7"/>
      <c r="P867" s="7"/>
      <c r="Q867" s="7"/>
      <c r="R867" s="7"/>
    </row>
    <row r="868" spans="4:18" ht="0" hidden="1" customHeight="1">
      <c r="D868" s="23"/>
      <c r="E868" s="7"/>
      <c r="F868" s="7"/>
      <c r="G868" s="7"/>
      <c r="H868" s="7"/>
      <c r="I868" s="7"/>
      <c r="J868" s="7"/>
      <c r="K868" s="7"/>
      <c r="L868" s="7"/>
      <c r="M868" s="7"/>
      <c r="N868" s="7"/>
      <c r="O868" s="7"/>
      <c r="P868" s="7"/>
      <c r="Q868" s="7"/>
      <c r="R868" s="7"/>
    </row>
    <row r="869" spans="4:18" ht="0" hidden="1" customHeight="1">
      <c r="D869" s="23"/>
      <c r="E869" s="7"/>
      <c r="F869" s="7"/>
      <c r="G869" s="7"/>
      <c r="H869" s="7"/>
      <c r="I869" s="7"/>
      <c r="J869" s="7"/>
      <c r="K869" s="7"/>
      <c r="L869" s="7"/>
      <c r="M869" s="7"/>
      <c r="N869" s="7"/>
      <c r="O869" s="7"/>
      <c r="P869" s="7"/>
      <c r="Q869" s="7"/>
      <c r="R869" s="7"/>
    </row>
    <row r="870" spans="4:18" ht="0" hidden="1" customHeight="1">
      <c r="D870" s="23"/>
      <c r="E870" s="7"/>
      <c r="F870" s="7"/>
      <c r="G870" s="7"/>
      <c r="H870" s="7"/>
      <c r="I870" s="7"/>
      <c r="J870" s="7"/>
      <c r="K870" s="7"/>
      <c r="L870" s="7"/>
      <c r="M870" s="7"/>
      <c r="N870" s="7"/>
      <c r="O870" s="7"/>
      <c r="P870" s="7"/>
      <c r="Q870" s="7"/>
      <c r="R870" s="7"/>
    </row>
    <row r="871" spans="4:18" ht="0" hidden="1" customHeight="1">
      <c r="D871" s="23"/>
      <c r="E871" s="7"/>
      <c r="F871" s="7"/>
      <c r="G871" s="7"/>
      <c r="H871" s="7"/>
      <c r="I871" s="7"/>
      <c r="J871" s="7"/>
      <c r="K871" s="7"/>
      <c r="L871" s="7"/>
      <c r="M871" s="7"/>
      <c r="N871" s="7"/>
      <c r="O871" s="7"/>
      <c r="P871" s="7"/>
      <c r="Q871" s="7"/>
      <c r="R871" s="7"/>
    </row>
    <row r="872" spans="4:18" ht="0" hidden="1" customHeight="1">
      <c r="D872" s="23"/>
      <c r="E872" s="7"/>
      <c r="F872" s="7"/>
      <c r="G872" s="7"/>
      <c r="H872" s="7"/>
      <c r="I872" s="7"/>
      <c r="J872" s="7"/>
      <c r="K872" s="7"/>
      <c r="L872" s="7"/>
      <c r="M872" s="7"/>
      <c r="N872" s="7"/>
      <c r="O872" s="7"/>
      <c r="P872" s="7"/>
      <c r="Q872" s="7"/>
      <c r="R872" s="7"/>
    </row>
    <row r="873" spans="4:18" ht="0" hidden="1" customHeight="1">
      <c r="D873" s="23"/>
      <c r="E873" s="7"/>
      <c r="F873" s="7"/>
      <c r="G873" s="7"/>
      <c r="H873" s="7"/>
      <c r="I873" s="7"/>
      <c r="J873" s="7"/>
      <c r="K873" s="7"/>
      <c r="L873" s="7"/>
      <c r="M873" s="7"/>
      <c r="N873" s="7"/>
      <c r="O873" s="7"/>
      <c r="P873" s="7"/>
      <c r="Q873" s="7"/>
      <c r="R873" s="7"/>
    </row>
    <row r="874" spans="4:18" ht="0" hidden="1" customHeight="1">
      <c r="D874" s="23"/>
      <c r="E874" s="7"/>
      <c r="F874" s="7"/>
      <c r="G874" s="7"/>
      <c r="H874" s="7"/>
      <c r="I874" s="7"/>
      <c r="J874" s="7"/>
      <c r="K874" s="7"/>
      <c r="L874" s="7"/>
      <c r="M874" s="7"/>
      <c r="N874" s="7"/>
      <c r="O874" s="7"/>
      <c r="P874" s="7"/>
      <c r="Q874" s="7"/>
      <c r="R874" s="7"/>
    </row>
    <row r="875" spans="4:18" ht="0" hidden="1" customHeight="1">
      <c r="D875" s="23"/>
      <c r="E875" s="7"/>
      <c r="F875" s="7"/>
      <c r="G875" s="7"/>
      <c r="H875" s="7"/>
      <c r="I875" s="7"/>
      <c r="J875" s="7"/>
      <c r="K875" s="7"/>
      <c r="L875" s="7"/>
      <c r="M875" s="7"/>
      <c r="N875" s="7"/>
      <c r="O875" s="7"/>
      <c r="P875" s="7"/>
      <c r="Q875" s="7"/>
      <c r="R875" s="7"/>
    </row>
    <row r="876" spans="4:18" ht="0" hidden="1" customHeight="1">
      <c r="D876" s="23"/>
      <c r="E876" s="7"/>
      <c r="F876" s="7"/>
      <c r="G876" s="7"/>
      <c r="H876" s="7"/>
      <c r="I876" s="7"/>
      <c r="J876" s="7"/>
      <c r="K876" s="7"/>
      <c r="L876" s="7"/>
      <c r="M876" s="7"/>
      <c r="N876" s="7"/>
      <c r="O876" s="7"/>
      <c r="P876" s="7"/>
      <c r="Q876" s="7"/>
      <c r="R876" s="7"/>
    </row>
    <row r="877" spans="4:18" ht="0" hidden="1" customHeight="1">
      <c r="D877" s="23"/>
      <c r="E877" s="7"/>
      <c r="F877" s="7"/>
      <c r="G877" s="7"/>
      <c r="H877" s="7"/>
      <c r="I877" s="7"/>
      <c r="J877" s="7"/>
      <c r="K877" s="7"/>
      <c r="L877" s="7"/>
      <c r="M877" s="7"/>
      <c r="N877" s="7"/>
      <c r="O877" s="7"/>
      <c r="P877" s="7"/>
      <c r="Q877" s="7"/>
      <c r="R877" s="7"/>
    </row>
    <row r="878" spans="4:18" ht="0" hidden="1" customHeight="1">
      <c r="D878" s="23"/>
      <c r="E878" s="7"/>
      <c r="F878" s="7"/>
      <c r="G878" s="7"/>
      <c r="H878" s="7"/>
      <c r="I878" s="7"/>
      <c r="J878" s="7"/>
      <c r="K878" s="7"/>
      <c r="L878" s="7"/>
      <c r="M878" s="7"/>
      <c r="N878" s="7"/>
      <c r="O878" s="7"/>
      <c r="P878" s="7"/>
      <c r="Q878" s="7"/>
      <c r="R878" s="7"/>
    </row>
    <row r="879" spans="4:18" ht="0" hidden="1" customHeight="1">
      <c r="D879" s="23"/>
      <c r="E879" s="7"/>
      <c r="F879" s="7"/>
      <c r="G879" s="7"/>
      <c r="H879" s="7"/>
      <c r="I879" s="7"/>
      <c r="J879" s="7"/>
      <c r="K879" s="7"/>
      <c r="L879" s="7"/>
      <c r="M879" s="7"/>
      <c r="N879" s="7"/>
      <c r="O879" s="7"/>
      <c r="P879" s="7"/>
      <c r="Q879" s="7"/>
      <c r="R879" s="7"/>
    </row>
    <row r="880" spans="4:18" ht="0" hidden="1" customHeight="1">
      <c r="D880" s="23"/>
      <c r="E880" s="7"/>
      <c r="F880" s="7"/>
      <c r="G880" s="7"/>
      <c r="H880" s="7"/>
      <c r="I880" s="7"/>
      <c r="J880" s="7"/>
      <c r="K880" s="7"/>
      <c r="L880" s="7"/>
      <c r="M880" s="7"/>
      <c r="N880" s="7"/>
      <c r="O880" s="7"/>
      <c r="P880" s="7"/>
      <c r="Q880" s="7"/>
      <c r="R880" s="7"/>
    </row>
    <row r="881" spans="4:18" ht="0" hidden="1" customHeight="1">
      <c r="D881" s="23"/>
      <c r="E881" s="7"/>
      <c r="F881" s="7"/>
      <c r="G881" s="7"/>
      <c r="H881" s="7"/>
      <c r="I881" s="7"/>
      <c r="J881" s="7"/>
      <c r="K881" s="7"/>
      <c r="L881" s="7"/>
      <c r="M881" s="7"/>
      <c r="N881" s="7"/>
      <c r="O881" s="7"/>
      <c r="P881" s="7"/>
      <c r="Q881" s="7"/>
      <c r="R881" s="7"/>
    </row>
    <row r="882" spans="4:18" ht="0" hidden="1" customHeight="1">
      <c r="D882" s="23"/>
      <c r="E882" s="7"/>
      <c r="F882" s="7"/>
      <c r="G882" s="7"/>
      <c r="H882" s="7"/>
      <c r="I882" s="7"/>
      <c r="J882" s="7"/>
      <c r="K882" s="7"/>
      <c r="L882" s="7"/>
      <c r="M882" s="7"/>
      <c r="N882" s="7"/>
      <c r="O882" s="7"/>
      <c r="P882" s="7"/>
      <c r="Q882" s="7"/>
      <c r="R882" s="7"/>
    </row>
    <row r="883" spans="4:18" ht="0" hidden="1" customHeight="1">
      <c r="D883" s="23"/>
      <c r="E883" s="7"/>
      <c r="F883" s="7"/>
      <c r="G883" s="7"/>
      <c r="H883" s="7"/>
      <c r="I883" s="7"/>
      <c r="J883" s="7"/>
      <c r="K883" s="7"/>
      <c r="L883" s="7"/>
      <c r="M883" s="7"/>
      <c r="N883" s="7"/>
      <c r="O883" s="7"/>
      <c r="P883" s="7"/>
      <c r="Q883" s="7"/>
      <c r="R883" s="7"/>
    </row>
    <row r="884" spans="4:18" ht="0" hidden="1" customHeight="1">
      <c r="D884" s="23"/>
      <c r="E884" s="7"/>
      <c r="F884" s="7"/>
      <c r="G884" s="7"/>
      <c r="H884" s="7"/>
      <c r="I884" s="7"/>
      <c r="J884" s="7"/>
      <c r="K884" s="7"/>
      <c r="L884" s="7"/>
      <c r="M884" s="7"/>
      <c r="N884" s="7"/>
      <c r="O884" s="7"/>
      <c r="P884" s="7"/>
      <c r="Q884" s="7"/>
      <c r="R884" s="7"/>
    </row>
    <row r="885" spans="4:18" ht="0" hidden="1" customHeight="1">
      <c r="D885" s="23"/>
      <c r="E885" s="7"/>
      <c r="F885" s="7"/>
      <c r="G885" s="7"/>
      <c r="H885" s="7"/>
      <c r="I885" s="7"/>
      <c r="J885" s="7"/>
      <c r="K885" s="7"/>
      <c r="L885" s="7"/>
      <c r="M885" s="7"/>
      <c r="N885" s="7"/>
      <c r="O885" s="7"/>
      <c r="P885" s="7"/>
      <c r="Q885" s="7"/>
      <c r="R885" s="7"/>
    </row>
    <row r="886" spans="4:18" ht="0" hidden="1" customHeight="1">
      <c r="D886" s="23"/>
      <c r="E886" s="7"/>
      <c r="F886" s="7"/>
      <c r="G886" s="7"/>
      <c r="H886" s="7"/>
      <c r="I886" s="7"/>
      <c r="J886" s="7"/>
      <c r="K886" s="7"/>
      <c r="L886" s="7"/>
      <c r="M886" s="7"/>
      <c r="N886" s="7"/>
      <c r="O886" s="7"/>
      <c r="P886" s="7"/>
      <c r="Q886" s="7"/>
      <c r="R886" s="7"/>
    </row>
    <row r="887" spans="4:18" ht="0" hidden="1" customHeight="1">
      <c r="D887" s="23"/>
      <c r="E887" s="7"/>
      <c r="F887" s="7"/>
      <c r="G887" s="7"/>
      <c r="H887" s="7"/>
      <c r="I887" s="7"/>
      <c r="J887" s="7"/>
      <c r="K887" s="7"/>
      <c r="L887" s="7"/>
      <c r="M887" s="7"/>
      <c r="N887" s="7"/>
      <c r="O887" s="7"/>
      <c r="P887" s="7"/>
      <c r="Q887" s="7"/>
      <c r="R887" s="7"/>
    </row>
    <row r="888" spans="4:18" ht="0" hidden="1" customHeight="1">
      <c r="D888" s="23"/>
      <c r="E888" s="7"/>
      <c r="F888" s="7"/>
      <c r="G888" s="7"/>
      <c r="H888" s="7"/>
      <c r="I888" s="7"/>
      <c r="J888" s="7"/>
      <c r="K888" s="7"/>
      <c r="L888" s="7"/>
      <c r="M888" s="7"/>
      <c r="N888" s="7"/>
      <c r="O888" s="7"/>
      <c r="P888" s="7"/>
      <c r="Q888" s="7"/>
      <c r="R888" s="7"/>
    </row>
    <row r="889" spans="4:18" ht="0" hidden="1" customHeight="1">
      <c r="D889" s="23"/>
      <c r="E889" s="7"/>
      <c r="F889" s="7"/>
      <c r="G889" s="7"/>
      <c r="H889" s="7"/>
      <c r="I889" s="7"/>
      <c r="J889" s="7"/>
      <c r="K889" s="7"/>
      <c r="L889" s="7"/>
      <c r="M889" s="7"/>
      <c r="N889" s="7"/>
      <c r="O889" s="7"/>
      <c r="P889" s="7"/>
      <c r="Q889" s="7"/>
      <c r="R889" s="7"/>
    </row>
    <row r="890" spans="4:18" ht="0" hidden="1" customHeight="1">
      <c r="D890" s="23"/>
      <c r="E890" s="7"/>
      <c r="F890" s="7"/>
      <c r="G890" s="7"/>
      <c r="H890" s="7"/>
      <c r="I890" s="7"/>
      <c r="J890" s="7"/>
      <c r="K890" s="7"/>
      <c r="L890" s="7"/>
      <c r="M890" s="7"/>
      <c r="N890" s="7"/>
      <c r="O890" s="7"/>
      <c r="P890" s="7"/>
      <c r="Q890" s="7"/>
      <c r="R890" s="7"/>
    </row>
    <row r="891" spans="4:18" ht="0" hidden="1" customHeight="1">
      <c r="D891" s="23"/>
      <c r="E891" s="7"/>
      <c r="F891" s="7"/>
      <c r="G891" s="7"/>
      <c r="H891" s="7"/>
      <c r="I891" s="7"/>
      <c r="J891" s="7"/>
      <c r="K891" s="7"/>
      <c r="L891" s="7"/>
      <c r="M891" s="7"/>
      <c r="N891" s="7"/>
      <c r="O891" s="7"/>
      <c r="P891" s="7"/>
      <c r="Q891" s="7"/>
      <c r="R891" s="7"/>
    </row>
    <row r="892" spans="4:18" ht="0" hidden="1" customHeight="1">
      <c r="D892" s="23"/>
      <c r="E892" s="7"/>
      <c r="F892" s="7"/>
      <c r="G892" s="7"/>
      <c r="H892" s="7"/>
      <c r="I892" s="7"/>
      <c r="J892" s="7"/>
      <c r="K892" s="7"/>
      <c r="L892" s="7"/>
      <c r="M892" s="7"/>
      <c r="N892" s="7"/>
      <c r="O892" s="7"/>
      <c r="P892" s="7"/>
      <c r="Q892" s="7"/>
      <c r="R892" s="7"/>
    </row>
    <row r="893" spans="4:18" ht="0" hidden="1" customHeight="1">
      <c r="D893" s="23"/>
      <c r="E893" s="7"/>
      <c r="F893" s="7"/>
      <c r="G893" s="7"/>
      <c r="H893" s="7"/>
      <c r="I893" s="7"/>
      <c r="J893" s="7"/>
      <c r="K893" s="7"/>
      <c r="L893" s="7"/>
      <c r="M893" s="7"/>
      <c r="N893" s="7"/>
      <c r="O893" s="7"/>
      <c r="P893" s="7"/>
      <c r="Q893" s="7"/>
      <c r="R893" s="7"/>
    </row>
    <row r="894" spans="4:18" ht="0" hidden="1" customHeight="1">
      <c r="D894" s="23"/>
      <c r="E894" s="7"/>
      <c r="F894" s="7"/>
      <c r="G894" s="7"/>
      <c r="H894" s="7"/>
      <c r="I894" s="7"/>
      <c r="J894" s="7"/>
      <c r="K894" s="7"/>
      <c r="L894" s="7"/>
      <c r="M894" s="7"/>
      <c r="N894" s="7"/>
      <c r="O894" s="7"/>
      <c r="P894" s="7"/>
      <c r="Q894" s="7"/>
      <c r="R894" s="7"/>
    </row>
    <row r="895" spans="4:18" ht="0" hidden="1" customHeight="1">
      <c r="D895" s="23"/>
      <c r="E895" s="7"/>
      <c r="F895" s="7"/>
      <c r="G895" s="7"/>
      <c r="H895" s="7"/>
      <c r="I895" s="7"/>
      <c r="J895" s="7"/>
      <c r="K895" s="7"/>
      <c r="L895" s="7"/>
      <c r="M895" s="7"/>
      <c r="N895" s="7"/>
      <c r="O895" s="7"/>
      <c r="P895" s="7"/>
      <c r="Q895" s="7"/>
      <c r="R895" s="7"/>
    </row>
    <row r="896" spans="4:18" ht="0" hidden="1" customHeight="1">
      <c r="D896" s="23"/>
      <c r="E896" s="7"/>
      <c r="F896" s="7"/>
      <c r="G896" s="7"/>
      <c r="H896" s="7"/>
      <c r="I896" s="7"/>
      <c r="J896" s="7"/>
      <c r="K896" s="7"/>
      <c r="L896" s="7"/>
      <c r="M896" s="7"/>
      <c r="N896" s="7"/>
      <c r="O896" s="7"/>
      <c r="P896" s="7"/>
      <c r="Q896" s="7"/>
      <c r="R896" s="7"/>
    </row>
    <row r="897" spans="4:18" ht="0" hidden="1" customHeight="1">
      <c r="D897" s="23"/>
      <c r="E897" s="7"/>
      <c r="F897" s="7"/>
      <c r="G897" s="7"/>
      <c r="H897" s="7"/>
      <c r="I897" s="7"/>
      <c r="J897" s="7"/>
      <c r="K897" s="7"/>
      <c r="L897" s="7"/>
      <c r="M897" s="7"/>
      <c r="N897" s="7"/>
      <c r="O897" s="7"/>
      <c r="P897" s="7"/>
      <c r="Q897" s="7"/>
      <c r="R897" s="7"/>
    </row>
    <row r="898" spans="4:18" ht="0" hidden="1" customHeight="1">
      <c r="D898" s="23"/>
      <c r="E898" s="7"/>
      <c r="F898" s="7"/>
      <c r="G898" s="7"/>
      <c r="H898" s="7"/>
      <c r="I898" s="7"/>
      <c r="J898" s="7"/>
      <c r="K898" s="7"/>
      <c r="L898" s="7"/>
      <c r="M898" s="7"/>
      <c r="N898" s="7"/>
      <c r="O898" s="7"/>
      <c r="P898" s="7"/>
      <c r="Q898" s="7"/>
      <c r="R898" s="7"/>
    </row>
    <row r="899" spans="4:18" ht="0" hidden="1" customHeight="1">
      <c r="D899" s="23"/>
      <c r="E899" s="7"/>
      <c r="F899" s="7"/>
      <c r="G899" s="7"/>
      <c r="H899" s="7"/>
      <c r="I899" s="7"/>
      <c r="J899" s="7"/>
      <c r="K899" s="7"/>
      <c r="L899" s="7"/>
      <c r="M899" s="7"/>
      <c r="N899" s="7"/>
      <c r="O899" s="7"/>
      <c r="P899" s="7"/>
      <c r="Q899" s="7"/>
      <c r="R899" s="7"/>
    </row>
    <row r="900" spans="4:18" ht="0" hidden="1" customHeight="1">
      <c r="D900" s="23"/>
      <c r="E900" s="7"/>
      <c r="F900" s="7"/>
      <c r="G900" s="7"/>
      <c r="H900" s="7"/>
      <c r="I900" s="7"/>
      <c r="J900" s="7"/>
      <c r="K900" s="7"/>
      <c r="L900" s="7"/>
      <c r="M900" s="7"/>
      <c r="N900" s="7"/>
      <c r="O900" s="7"/>
      <c r="P900" s="7"/>
      <c r="Q900" s="7"/>
      <c r="R900" s="7"/>
    </row>
    <row r="901" spans="4:18" ht="0" hidden="1" customHeight="1">
      <c r="D901" s="23"/>
      <c r="E901" s="7"/>
      <c r="F901" s="7"/>
      <c r="G901" s="7"/>
      <c r="H901" s="7"/>
      <c r="I901" s="7"/>
      <c r="J901" s="7"/>
      <c r="K901" s="7"/>
      <c r="L901" s="7"/>
      <c r="M901" s="7"/>
      <c r="N901" s="7"/>
      <c r="O901" s="7"/>
      <c r="P901" s="7"/>
      <c r="Q901" s="7"/>
      <c r="R901" s="7"/>
    </row>
    <row r="902" spans="4:18" ht="0" hidden="1" customHeight="1">
      <c r="D902" s="23"/>
      <c r="E902" s="7"/>
      <c r="F902" s="7"/>
      <c r="G902" s="7"/>
      <c r="H902" s="7"/>
      <c r="I902" s="7"/>
      <c r="J902" s="7"/>
      <c r="K902" s="7"/>
      <c r="L902" s="7"/>
      <c r="M902" s="7"/>
      <c r="N902" s="7"/>
      <c r="O902" s="7"/>
      <c r="P902" s="7"/>
      <c r="Q902" s="7"/>
      <c r="R902" s="7"/>
    </row>
    <row r="903" spans="4:18" ht="0" hidden="1" customHeight="1">
      <c r="D903" s="23"/>
      <c r="E903" s="7"/>
      <c r="F903" s="7"/>
      <c r="G903" s="7"/>
      <c r="H903" s="7"/>
      <c r="I903" s="7"/>
      <c r="J903" s="7"/>
      <c r="K903" s="7"/>
      <c r="L903" s="7"/>
      <c r="M903" s="7"/>
      <c r="N903" s="7"/>
      <c r="O903" s="7"/>
      <c r="P903" s="7"/>
      <c r="Q903" s="7"/>
      <c r="R903" s="7"/>
    </row>
    <row r="904" spans="4:18" ht="0" hidden="1" customHeight="1">
      <c r="D904" s="23"/>
      <c r="E904" s="7"/>
      <c r="F904" s="7"/>
      <c r="G904" s="7"/>
      <c r="H904" s="7"/>
      <c r="I904" s="7"/>
      <c r="J904" s="7"/>
      <c r="K904" s="7"/>
      <c r="L904" s="7"/>
      <c r="M904" s="7"/>
      <c r="N904" s="7"/>
      <c r="O904" s="7"/>
      <c r="P904" s="7"/>
      <c r="Q904" s="7"/>
      <c r="R904" s="7"/>
    </row>
    <row r="905" spans="4:18" ht="0" hidden="1" customHeight="1">
      <c r="D905" s="23"/>
      <c r="E905" s="7"/>
      <c r="F905" s="7"/>
      <c r="G905" s="7"/>
      <c r="H905" s="7"/>
      <c r="I905" s="7"/>
      <c r="J905" s="7"/>
      <c r="K905" s="7"/>
      <c r="L905" s="7"/>
      <c r="M905" s="7"/>
      <c r="N905" s="7"/>
      <c r="O905" s="7"/>
      <c r="P905" s="7"/>
      <c r="Q905" s="7"/>
      <c r="R905" s="7"/>
    </row>
    <row r="906" spans="4:18" ht="0" hidden="1" customHeight="1">
      <c r="D906" s="23"/>
      <c r="E906" s="7"/>
      <c r="F906" s="7"/>
      <c r="G906" s="7"/>
      <c r="H906" s="7"/>
      <c r="I906" s="7"/>
      <c r="J906" s="7"/>
      <c r="K906" s="7"/>
      <c r="L906" s="7"/>
      <c r="M906" s="7"/>
      <c r="N906" s="7"/>
      <c r="O906" s="7"/>
      <c r="P906" s="7"/>
      <c r="Q906" s="7"/>
      <c r="R906" s="7"/>
    </row>
    <row r="907" spans="4:18" ht="0" hidden="1" customHeight="1">
      <c r="D907" s="23"/>
      <c r="E907" s="7"/>
      <c r="F907" s="7"/>
      <c r="G907" s="7"/>
      <c r="H907" s="7"/>
      <c r="I907" s="7"/>
      <c r="J907" s="7"/>
      <c r="K907" s="7"/>
      <c r="L907" s="7"/>
      <c r="M907" s="7"/>
      <c r="N907" s="7"/>
      <c r="O907" s="7"/>
      <c r="P907" s="7"/>
      <c r="Q907" s="7"/>
      <c r="R907" s="7"/>
    </row>
    <row r="908" spans="4:18" ht="0" hidden="1" customHeight="1">
      <c r="D908" s="23"/>
      <c r="E908" s="7"/>
      <c r="F908" s="7"/>
      <c r="G908" s="7"/>
      <c r="H908" s="7"/>
      <c r="I908" s="7"/>
      <c r="J908" s="7"/>
      <c r="K908" s="7"/>
      <c r="L908" s="7"/>
      <c r="M908" s="7"/>
      <c r="N908" s="7"/>
      <c r="O908" s="7"/>
      <c r="P908" s="7"/>
      <c r="Q908" s="7"/>
      <c r="R908" s="7"/>
    </row>
    <row r="909" spans="4:18" ht="0" hidden="1" customHeight="1">
      <c r="D909" s="23"/>
      <c r="E909" s="7"/>
      <c r="F909" s="7"/>
      <c r="G909" s="7"/>
      <c r="H909" s="7"/>
      <c r="I909" s="7"/>
      <c r="J909" s="7"/>
      <c r="K909" s="7"/>
      <c r="L909" s="7"/>
      <c r="M909" s="7"/>
      <c r="N909" s="7"/>
      <c r="O909" s="7"/>
      <c r="P909" s="7"/>
      <c r="Q909" s="7"/>
      <c r="R909" s="7"/>
    </row>
    <row r="910" spans="4:18" ht="0" hidden="1" customHeight="1">
      <c r="D910" s="23"/>
      <c r="E910" s="7"/>
      <c r="F910" s="7"/>
      <c r="G910" s="7"/>
      <c r="H910" s="7"/>
      <c r="I910" s="7"/>
      <c r="J910" s="7"/>
      <c r="K910" s="7"/>
      <c r="L910" s="7"/>
      <c r="M910" s="7"/>
      <c r="N910" s="7"/>
      <c r="O910" s="7"/>
      <c r="P910" s="7"/>
      <c r="Q910" s="7"/>
      <c r="R910" s="7"/>
    </row>
    <row r="911" spans="4:18" ht="0" hidden="1" customHeight="1">
      <c r="D911" s="23"/>
      <c r="E911" s="7"/>
      <c r="F911" s="7"/>
      <c r="G911" s="7"/>
      <c r="H911" s="7"/>
      <c r="I911" s="7"/>
      <c r="J911" s="7"/>
      <c r="K911" s="7"/>
      <c r="L911" s="7"/>
      <c r="M911" s="7"/>
      <c r="N911" s="7"/>
      <c r="O911" s="7"/>
      <c r="P911" s="7"/>
      <c r="Q911" s="7"/>
      <c r="R911" s="7"/>
    </row>
    <row r="912" spans="4:18" ht="0" hidden="1" customHeight="1">
      <c r="D912" s="23"/>
      <c r="E912" s="7"/>
      <c r="F912" s="7"/>
      <c r="G912" s="7"/>
      <c r="H912" s="7"/>
      <c r="I912" s="7"/>
      <c r="J912" s="7"/>
      <c r="K912" s="7"/>
      <c r="L912" s="7"/>
      <c r="M912" s="7"/>
      <c r="N912" s="7"/>
      <c r="O912" s="7"/>
      <c r="P912" s="7"/>
      <c r="Q912" s="7"/>
      <c r="R912" s="7"/>
    </row>
    <row r="913" spans="4:18" ht="0" hidden="1" customHeight="1">
      <c r="D913" s="23"/>
      <c r="E913" s="7"/>
      <c r="F913" s="7"/>
      <c r="G913" s="7"/>
      <c r="H913" s="7"/>
      <c r="I913" s="7"/>
      <c r="J913" s="7"/>
      <c r="K913" s="7"/>
      <c r="L913" s="7"/>
      <c r="M913" s="7"/>
      <c r="N913" s="7"/>
      <c r="O913" s="7"/>
      <c r="P913" s="7"/>
      <c r="Q913" s="7"/>
      <c r="R913" s="7"/>
    </row>
    <row r="914" spans="4:18" ht="0" hidden="1" customHeight="1">
      <c r="D914" s="23"/>
      <c r="E914" s="7"/>
      <c r="F914" s="7"/>
      <c r="G914" s="7"/>
      <c r="H914" s="7"/>
      <c r="I914" s="7"/>
      <c r="J914" s="7"/>
      <c r="K914" s="7"/>
      <c r="L914" s="7"/>
      <c r="M914" s="7"/>
      <c r="N914" s="7"/>
      <c r="O914" s="7"/>
      <c r="P914" s="7"/>
      <c r="Q914" s="7"/>
      <c r="R914" s="7"/>
    </row>
    <row r="915" spans="4:18" ht="0" hidden="1" customHeight="1">
      <c r="D915" s="23"/>
      <c r="E915" s="7"/>
      <c r="F915" s="7"/>
      <c r="G915" s="7"/>
      <c r="H915" s="7"/>
      <c r="I915" s="7"/>
      <c r="J915" s="7"/>
      <c r="K915" s="7"/>
      <c r="L915" s="7"/>
      <c r="M915" s="7"/>
      <c r="N915" s="7"/>
      <c r="O915" s="7"/>
      <c r="P915" s="7"/>
      <c r="Q915" s="7"/>
      <c r="R915" s="7"/>
    </row>
    <row r="916" spans="4:18" ht="0" hidden="1" customHeight="1">
      <c r="D916" s="23"/>
      <c r="E916" s="7"/>
      <c r="F916" s="7"/>
      <c r="G916" s="7"/>
      <c r="H916" s="7"/>
      <c r="I916" s="7"/>
      <c r="J916" s="7"/>
      <c r="K916" s="7"/>
      <c r="L916" s="7"/>
      <c r="M916" s="7"/>
      <c r="N916" s="7"/>
      <c r="O916" s="7"/>
      <c r="P916" s="7"/>
      <c r="Q916" s="7"/>
      <c r="R916" s="7"/>
    </row>
    <row r="917" spans="4:18" ht="0" hidden="1" customHeight="1">
      <c r="D917" s="23"/>
      <c r="E917" s="7"/>
      <c r="F917" s="7"/>
      <c r="G917" s="7"/>
      <c r="H917" s="7"/>
      <c r="I917" s="7"/>
      <c r="J917" s="7"/>
      <c r="K917" s="7"/>
      <c r="L917" s="7"/>
      <c r="M917" s="7"/>
      <c r="N917" s="7"/>
      <c r="O917" s="7"/>
      <c r="P917" s="7"/>
      <c r="Q917" s="7"/>
      <c r="R917" s="7"/>
    </row>
    <row r="918" spans="4:18" ht="0" hidden="1" customHeight="1">
      <c r="D918" s="23"/>
      <c r="E918" s="7"/>
      <c r="F918" s="7"/>
      <c r="G918" s="7"/>
      <c r="H918" s="7"/>
      <c r="I918" s="7"/>
      <c r="J918" s="7"/>
      <c r="K918" s="7"/>
      <c r="L918" s="7"/>
      <c r="M918" s="7"/>
      <c r="N918" s="7"/>
      <c r="O918" s="7"/>
      <c r="P918" s="7"/>
      <c r="Q918" s="7"/>
      <c r="R918" s="7"/>
    </row>
    <row r="919" spans="4:18" ht="0" hidden="1" customHeight="1">
      <c r="D919" s="23"/>
      <c r="E919" s="7"/>
      <c r="F919" s="7"/>
      <c r="G919" s="7"/>
      <c r="H919" s="7"/>
      <c r="I919" s="7"/>
      <c r="J919" s="7"/>
      <c r="K919" s="7"/>
      <c r="L919" s="7"/>
      <c r="M919" s="7"/>
      <c r="N919" s="7"/>
      <c r="O919" s="7"/>
      <c r="P919" s="7"/>
      <c r="Q919" s="7"/>
      <c r="R919" s="7"/>
    </row>
    <row r="920" spans="4:18" ht="0" hidden="1" customHeight="1">
      <c r="D920" s="23"/>
      <c r="E920" s="7"/>
      <c r="F920" s="7"/>
      <c r="G920" s="7"/>
      <c r="H920" s="7"/>
      <c r="I920" s="7"/>
      <c r="J920" s="7"/>
      <c r="K920" s="7"/>
      <c r="L920" s="7"/>
      <c r="M920" s="7"/>
      <c r="N920" s="7"/>
      <c r="O920" s="7"/>
      <c r="P920" s="7"/>
      <c r="Q920" s="7"/>
      <c r="R920" s="7"/>
    </row>
    <row r="921" spans="4:18" ht="0" hidden="1" customHeight="1">
      <c r="D921" s="23"/>
      <c r="E921" s="7"/>
      <c r="F921" s="7"/>
      <c r="G921" s="7"/>
      <c r="H921" s="7"/>
      <c r="I921" s="7"/>
      <c r="J921" s="7"/>
      <c r="K921" s="7"/>
      <c r="L921" s="7"/>
      <c r="M921" s="7"/>
      <c r="N921" s="7"/>
      <c r="O921" s="7"/>
      <c r="P921" s="7"/>
      <c r="Q921" s="7"/>
      <c r="R921" s="7"/>
    </row>
    <row r="922" spans="4:18" ht="0" hidden="1" customHeight="1">
      <c r="D922" s="23"/>
      <c r="E922" s="7"/>
      <c r="F922" s="7"/>
      <c r="G922" s="7"/>
      <c r="H922" s="7"/>
      <c r="I922" s="7"/>
      <c r="J922" s="7"/>
      <c r="K922" s="7"/>
      <c r="L922" s="7"/>
      <c r="M922" s="7"/>
      <c r="N922" s="7"/>
      <c r="O922" s="7"/>
      <c r="P922" s="7"/>
      <c r="Q922" s="7"/>
      <c r="R922" s="7"/>
    </row>
    <row r="923" spans="4:18" ht="0" hidden="1" customHeight="1">
      <c r="D923" s="23"/>
      <c r="E923" s="7"/>
      <c r="F923" s="7"/>
      <c r="G923" s="7"/>
      <c r="H923" s="7"/>
      <c r="I923" s="7"/>
      <c r="J923" s="7"/>
      <c r="K923" s="7"/>
      <c r="L923" s="7"/>
      <c r="M923" s="7"/>
      <c r="N923" s="7"/>
      <c r="O923" s="7"/>
      <c r="P923" s="7"/>
      <c r="Q923" s="7"/>
      <c r="R923" s="7"/>
    </row>
    <row r="924" spans="4:18" ht="0" hidden="1" customHeight="1">
      <c r="D924" s="23"/>
      <c r="E924" s="7"/>
      <c r="F924" s="7"/>
      <c r="G924" s="7"/>
      <c r="H924" s="7"/>
      <c r="I924" s="7"/>
      <c r="J924" s="7"/>
      <c r="K924" s="7"/>
      <c r="L924" s="7"/>
      <c r="M924" s="7"/>
      <c r="N924" s="7"/>
      <c r="O924" s="7"/>
      <c r="P924" s="7"/>
      <c r="Q924" s="7"/>
      <c r="R924" s="7"/>
    </row>
    <row r="925" spans="4:18" ht="0" hidden="1" customHeight="1">
      <c r="D925" s="23"/>
      <c r="E925" s="7"/>
      <c r="F925" s="7"/>
      <c r="G925" s="7"/>
      <c r="H925" s="7"/>
      <c r="I925" s="7"/>
      <c r="J925" s="7"/>
      <c r="K925" s="7"/>
      <c r="L925" s="7"/>
      <c r="M925" s="7"/>
      <c r="N925" s="7"/>
      <c r="O925" s="7"/>
      <c r="P925" s="7"/>
      <c r="Q925" s="7"/>
      <c r="R925" s="7"/>
    </row>
    <row r="926" spans="4:18" ht="0" hidden="1" customHeight="1">
      <c r="D926" s="23"/>
      <c r="E926" s="7"/>
      <c r="F926" s="7"/>
      <c r="G926" s="7"/>
      <c r="H926" s="7"/>
      <c r="I926" s="7"/>
      <c r="J926" s="7"/>
      <c r="K926" s="7"/>
      <c r="L926" s="7"/>
      <c r="M926" s="7"/>
      <c r="N926" s="7"/>
      <c r="O926" s="7"/>
      <c r="P926" s="7"/>
      <c r="Q926" s="7"/>
      <c r="R926" s="7"/>
    </row>
    <row r="927" spans="4:18" ht="0" hidden="1" customHeight="1">
      <c r="D927" s="23"/>
      <c r="E927" s="7"/>
      <c r="F927" s="7"/>
      <c r="G927" s="7"/>
      <c r="H927" s="7"/>
      <c r="I927" s="7"/>
      <c r="J927" s="7"/>
      <c r="K927" s="7"/>
      <c r="L927" s="7"/>
      <c r="M927" s="7"/>
      <c r="N927" s="7"/>
      <c r="O927" s="7"/>
      <c r="P927" s="7"/>
      <c r="Q927" s="7"/>
      <c r="R927" s="7"/>
    </row>
    <row r="928" spans="4:18" ht="0" hidden="1" customHeight="1">
      <c r="D928" s="23"/>
      <c r="E928" s="7"/>
      <c r="F928" s="7"/>
      <c r="G928" s="7"/>
      <c r="H928" s="7"/>
      <c r="I928" s="7"/>
      <c r="J928" s="7"/>
      <c r="K928" s="7"/>
      <c r="L928" s="7"/>
      <c r="M928" s="7"/>
      <c r="N928" s="7"/>
      <c r="O928" s="7"/>
      <c r="P928" s="7"/>
      <c r="Q928" s="7"/>
      <c r="R928" s="7"/>
    </row>
    <row r="929" spans="4:18" ht="0" hidden="1" customHeight="1">
      <c r="D929" s="23"/>
      <c r="E929" s="7"/>
      <c r="F929" s="7"/>
      <c r="G929" s="7"/>
      <c r="H929" s="7"/>
      <c r="I929" s="7"/>
      <c r="J929" s="7"/>
      <c r="K929" s="7"/>
      <c r="L929" s="7"/>
      <c r="M929" s="7"/>
      <c r="N929" s="7"/>
      <c r="O929" s="7"/>
      <c r="P929" s="7"/>
      <c r="Q929" s="7"/>
      <c r="R929" s="7"/>
    </row>
    <row r="930" spans="4:18" ht="0" hidden="1" customHeight="1">
      <c r="D930" s="23"/>
      <c r="E930" s="7"/>
      <c r="F930" s="7"/>
      <c r="G930" s="7"/>
      <c r="H930" s="7"/>
      <c r="I930" s="7"/>
      <c r="J930" s="7"/>
      <c r="K930" s="7"/>
      <c r="L930" s="7"/>
      <c r="M930" s="7"/>
      <c r="N930" s="7"/>
      <c r="O930" s="7"/>
      <c r="P930" s="7"/>
      <c r="Q930" s="7"/>
      <c r="R930" s="7"/>
    </row>
    <row r="931" spans="4:18" ht="0" hidden="1" customHeight="1">
      <c r="D931" s="23"/>
      <c r="E931" s="7"/>
      <c r="F931" s="7"/>
      <c r="G931" s="7"/>
      <c r="H931" s="7"/>
      <c r="I931" s="7"/>
      <c r="J931" s="7"/>
      <c r="K931" s="7"/>
      <c r="L931" s="7"/>
      <c r="M931" s="7"/>
      <c r="N931" s="7"/>
      <c r="O931" s="7"/>
      <c r="P931" s="7"/>
      <c r="Q931" s="7"/>
      <c r="R931" s="7"/>
    </row>
    <row r="932" spans="4:18" ht="0" hidden="1" customHeight="1">
      <c r="D932" s="23"/>
      <c r="E932" s="7"/>
      <c r="F932" s="7"/>
      <c r="G932" s="7"/>
      <c r="H932" s="7"/>
      <c r="I932" s="7"/>
      <c r="J932" s="7"/>
      <c r="K932" s="7"/>
      <c r="L932" s="7"/>
      <c r="M932" s="7"/>
      <c r="N932" s="7"/>
      <c r="O932" s="7"/>
      <c r="P932" s="7"/>
      <c r="Q932" s="7"/>
      <c r="R932" s="7"/>
    </row>
    <row r="933" spans="4:18" ht="0" hidden="1" customHeight="1">
      <c r="D933" s="23"/>
      <c r="E933" s="7"/>
      <c r="F933" s="7"/>
      <c r="G933" s="7"/>
      <c r="H933" s="7"/>
      <c r="I933" s="7"/>
      <c r="J933" s="7"/>
      <c r="K933" s="7"/>
      <c r="L933" s="7"/>
      <c r="M933" s="7"/>
      <c r="N933" s="7"/>
      <c r="O933" s="7"/>
      <c r="P933" s="7"/>
      <c r="Q933" s="7"/>
      <c r="R933" s="7"/>
    </row>
    <row r="934" spans="4:18" ht="0" hidden="1" customHeight="1">
      <c r="D934" s="23"/>
      <c r="E934" s="7"/>
      <c r="F934" s="7"/>
      <c r="G934" s="7"/>
      <c r="H934" s="7"/>
      <c r="I934" s="7"/>
      <c r="J934" s="7"/>
      <c r="K934" s="7"/>
      <c r="L934" s="7"/>
      <c r="M934" s="7"/>
      <c r="N934" s="7"/>
      <c r="O934" s="7"/>
      <c r="P934" s="7"/>
      <c r="Q934" s="7"/>
      <c r="R934" s="7"/>
    </row>
    <row r="935" spans="4:18" ht="0" hidden="1" customHeight="1">
      <c r="D935" s="23"/>
      <c r="E935" s="7"/>
      <c r="F935" s="7"/>
      <c r="G935" s="7"/>
      <c r="H935" s="7"/>
      <c r="I935" s="7"/>
      <c r="J935" s="7"/>
      <c r="K935" s="7"/>
      <c r="L935" s="7"/>
      <c r="M935" s="7"/>
      <c r="N935" s="7"/>
      <c r="O935" s="7"/>
      <c r="P935" s="7"/>
      <c r="Q935" s="7"/>
      <c r="R935" s="7"/>
    </row>
    <row r="936" spans="4:18" ht="0" hidden="1" customHeight="1">
      <c r="D936" s="23"/>
      <c r="E936" s="7"/>
      <c r="F936" s="7"/>
      <c r="G936" s="7"/>
      <c r="H936" s="7"/>
      <c r="I936" s="7"/>
      <c r="J936" s="7"/>
      <c r="K936" s="7"/>
      <c r="L936" s="7"/>
      <c r="M936" s="7"/>
      <c r="N936" s="7"/>
      <c r="O936" s="7"/>
      <c r="P936" s="7"/>
      <c r="Q936" s="7"/>
      <c r="R936" s="7"/>
    </row>
    <row r="937" spans="4:18" ht="0" hidden="1" customHeight="1">
      <c r="D937" s="23"/>
      <c r="E937" s="7"/>
      <c r="F937" s="7"/>
      <c r="G937" s="7"/>
      <c r="H937" s="7"/>
      <c r="I937" s="7"/>
      <c r="J937" s="7"/>
      <c r="K937" s="7"/>
      <c r="L937" s="7"/>
      <c r="M937" s="7"/>
      <c r="N937" s="7"/>
      <c r="O937" s="7"/>
      <c r="P937" s="7"/>
      <c r="Q937" s="7"/>
      <c r="R937" s="7"/>
    </row>
    <row r="938" spans="4:18" ht="0" hidden="1" customHeight="1">
      <c r="D938" s="23"/>
      <c r="E938" s="7"/>
      <c r="F938" s="7"/>
      <c r="G938" s="7"/>
      <c r="H938" s="7"/>
      <c r="I938" s="7"/>
      <c r="J938" s="7"/>
      <c r="K938" s="7"/>
      <c r="L938" s="7"/>
      <c r="M938" s="7"/>
      <c r="N938" s="7"/>
      <c r="O938" s="7"/>
      <c r="P938" s="7"/>
      <c r="Q938" s="7"/>
      <c r="R938" s="7"/>
    </row>
    <row r="939" spans="4:18" ht="0" hidden="1" customHeight="1">
      <c r="D939" s="23"/>
      <c r="E939" s="7"/>
      <c r="F939" s="7"/>
      <c r="G939" s="7"/>
      <c r="H939" s="7"/>
      <c r="I939" s="7"/>
      <c r="J939" s="7"/>
      <c r="K939" s="7"/>
      <c r="L939" s="7"/>
      <c r="M939" s="7"/>
      <c r="N939" s="7"/>
      <c r="O939" s="7"/>
      <c r="P939" s="7"/>
      <c r="Q939" s="7"/>
      <c r="R939" s="7"/>
    </row>
    <row r="940" spans="4:18" ht="0" hidden="1" customHeight="1">
      <c r="D940" s="23"/>
      <c r="E940" s="7"/>
      <c r="F940" s="7"/>
      <c r="G940" s="7"/>
      <c r="H940" s="7"/>
      <c r="I940" s="7"/>
      <c r="J940" s="7"/>
      <c r="K940" s="7"/>
      <c r="L940" s="7"/>
      <c r="M940" s="7"/>
      <c r="N940" s="7"/>
      <c r="O940" s="7"/>
      <c r="P940" s="7"/>
      <c r="Q940" s="7"/>
      <c r="R940" s="7"/>
    </row>
    <row r="941" spans="4:18" ht="0" hidden="1" customHeight="1">
      <c r="D941" s="23"/>
      <c r="E941" s="7"/>
      <c r="F941" s="7"/>
      <c r="G941" s="7"/>
      <c r="H941" s="7"/>
      <c r="I941" s="7"/>
      <c r="J941" s="7"/>
      <c r="K941" s="7"/>
      <c r="L941" s="7"/>
      <c r="M941" s="7"/>
      <c r="N941" s="7"/>
      <c r="O941" s="7"/>
      <c r="P941" s="7"/>
      <c r="Q941" s="7"/>
      <c r="R941" s="7"/>
    </row>
    <row r="942" spans="4:18" ht="0" hidden="1" customHeight="1">
      <c r="D942" s="23"/>
      <c r="E942" s="7"/>
      <c r="F942" s="7"/>
      <c r="G942" s="7"/>
      <c r="H942" s="7"/>
      <c r="I942" s="7"/>
      <c r="J942" s="7"/>
      <c r="K942" s="7"/>
      <c r="L942" s="7"/>
      <c r="M942" s="7"/>
      <c r="N942" s="7"/>
      <c r="O942" s="7"/>
      <c r="P942" s="7"/>
      <c r="Q942" s="7"/>
      <c r="R942" s="7"/>
    </row>
    <row r="943" spans="4:18" ht="0" hidden="1" customHeight="1">
      <c r="D943" s="23"/>
      <c r="E943" s="7"/>
      <c r="F943" s="7"/>
      <c r="G943" s="7"/>
      <c r="H943" s="7"/>
      <c r="I943" s="7"/>
      <c r="J943" s="7"/>
      <c r="K943" s="7"/>
      <c r="L943" s="7"/>
      <c r="M943" s="7"/>
      <c r="N943" s="7"/>
      <c r="O943" s="7"/>
      <c r="P943" s="7"/>
      <c r="Q943" s="7"/>
      <c r="R943" s="7"/>
    </row>
    <row r="944" spans="4:18" ht="0" hidden="1" customHeight="1">
      <c r="D944" s="23"/>
      <c r="E944" s="7"/>
      <c r="F944" s="7"/>
      <c r="G944" s="7"/>
      <c r="H944" s="7"/>
      <c r="I944" s="7"/>
      <c r="J944" s="7"/>
      <c r="K944" s="7"/>
      <c r="L944" s="7"/>
      <c r="M944" s="7"/>
      <c r="N944" s="7"/>
      <c r="O944" s="7"/>
      <c r="P944" s="7"/>
      <c r="Q944" s="7"/>
      <c r="R944" s="7"/>
    </row>
    <row r="945" spans="4:18" ht="0" hidden="1" customHeight="1">
      <c r="D945" s="23"/>
      <c r="E945" s="7"/>
      <c r="F945" s="7"/>
      <c r="G945" s="7"/>
      <c r="H945" s="7"/>
      <c r="I945" s="7"/>
      <c r="J945" s="7"/>
      <c r="K945" s="7"/>
      <c r="L945" s="7"/>
      <c r="M945" s="7"/>
      <c r="N945" s="7"/>
      <c r="O945" s="7"/>
      <c r="P945" s="7"/>
      <c r="Q945" s="7"/>
      <c r="R945" s="7"/>
    </row>
    <row r="946" spans="4:18" ht="0" hidden="1" customHeight="1">
      <c r="D946" s="23"/>
      <c r="E946" s="7"/>
      <c r="F946" s="7"/>
      <c r="G946" s="7"/>
      <c r="H946" s="7"/>
      <c r="I946" s="7"/>
      <c r="J946" s="7"/>
      <c r="K946" s="7"/>
      <c r="L946" s="7"/>
      <c r="M946" s="7"/>
      <c r="N946" s="7"/>
      <c r="O946" s="7"/>
      <c r="P946" s="7"/>
      <c r="Q946" s="7"/>
      <c r="R946" s="7"/>
    </row>
    <row r="947" spans="4:18" ht="0" hidden="1" customHeight="1">
      <c r="D947" s="23"/>
      <c r="E947" s="7"/>
      <c r="F947" s="7"/>
      <c r="G947" s="7"/>
      <c r="H947" s="7"/>
      <c r="I947" s="7"/>
      <c r="J947" s="7"/>
      <c r="K947" s="7"/>
      <c r="L947" s="7"/>
      <c r="M947" s="7"/>
      <c r="N947" s="7"/>
      <c r="O947" s="7"/>
      <c r="P947" s="7"/>
      <c r="Q947" s="7"/>
      <c r="R947" s="7"/>
    </row>
    <row r="948" spans="4:18" ht="0" hidden="1" customHeight="1">
      <c r="D948" s="23"/>
      <c r="E948" s="7"/>
      <c r="F948" s="7"/>
      <c r="G948" s="7"/>
      <c r="H948" s="7"/>
      <c r="I948" s="7"/>
      <c r="J948" s="7"/>
      <c r="K948" s="7"/>
      <c r="L948" s="7"/>
      <c r="M948" s="7"/>
      <c r="N948" s="7"/>
      <c r="O948" s="7"/>
      <c r="P948" s="7"/>
      <c r="Q948" s="7"/>
      <c r="R948" s="7"/>
    </row>
    <row r="949" spans="4:18" ht="0" hidden="1" customHeight="1">
      <c r="D949" s="23"/>
      <c r="E949" s="7"/>
      <c r="F949" s="7"/>
      <c r="G949" s="7"/>
      <c r="H949" s="7"/>
      <c r="I949" s="7"/>
      <c r="J949" s="7"/>
      <c r="K949" s="7"/>
      <c r="L949" s="7"/>
      <c r="M949" s="7"/>
      <c r="N949" s="7"/>
      <c r="O949" s="7"/>
      <c r="P949" s="7"/>
      <c r="Q949" s="7"/>
      <c r="R949" s="7"/>
    </row>
    <row r="950" spans="4:18" ht="0" hidden="1" customHeight="1">
      <c r="D950" s="23"/>
      <c r="E950" s="7"/>
      <c r="F950" s="7"/>
      <c r="G950" s="7"/>
      <c r="H950" s="7"/>
      <c r="I950" s="7"/>
      <c r="J950" s="7"/>
      <c r="K950" s="7"/>
      <c r="L950" s="7"/>
      <c r="M950" s="7"/>
      <c r="N950" s="7"/>
      <c r="O950" s="7"/>
      <c r="P950" s="7"/>
      <c r="Q950" s="7"/>
      <c r="R950" s="7"/>
    </row>
    <row r="951" spans="4:18" ht="0" hidden="1" customHeight="1">
      <c r="D951" s="23"/>
      <c r="E951" s="7"/>
      <c r="F951" s="7"/>
      <c r="G951" s="7"/>
      <c r="H951" s="7"/>
      <c r="I951" s="7"/>
      <c r="J951" s="7"/>
      <c r="K951" s="7"/>
      <c r="L951" s="7"/>
      <c r="M951" s="7"/>
      <c r="N951" s="7"/>
      <c r="O951" s="7"/>
      <c r="P951" s="7"/>
      <c r="Q951" s="7"/>
      <c r="R951" s="7"/>
    </row>
    <row r="952" spans="4:18" ht="0" hidden="1" customHeight="1">
      <c r="D952" s="23"/>
      <c r="E952" s="7"/>
      <c r="F952" s="7"/>
      <c r="G952" s="7"/>
      <c r="H952" s="7"/>
      <c r="I952" s="7"/>
      <c r="J952" s="7"/>
      <c r="K952" s="7"/>
      <c r="L952" s="7"/>
      <c r="M952" s="7"/>
      <c r="N952" s="7"/>
      <c r="O952" s="7"/>
      <c r="P952" s="7"/>
      <c r="Q952" s="7"/>
      <c r="R952" s="7"/>
    </row>
    <row r="953" spans="4:18" ht="0" hidden="1" customHeight="1">
      <c r="D953" s="23"/>
      <c r="E953" s="7"/>
      <c r="F953" s="7"/>
      <c r="G953" s="7"/>
      <c r="H953" s="7"/>
      <c r="I953" s="7"/>
      <c r="J953" s="7"/>
      <c r="K953" s="7"/>
      <c r="L953" s="7"/>
      <c r="M953" s="7"/>
      <c r="N953" s="7"/>
      <c r="O953" s="7"/>
      <c r="P953" s="7"/>
      <c r="Q953" s="7"/>
      <c r="R953" s="7"/>
    </row>
    <row r="954" spans="4:18" ht="0" hidden="1" customHeight="1">
      <c r="D954" s="23"/>
      <c r="E954" s="7"/>
      <c r="F954" s="7"/>
      <c r="G954" s="7"/>
      <c r="H954" s="7"/>
      <c r="I954" s="7"/>
      <c r="J954" s="7"/>
      <c r="K954" s="7"/>
      <c r="L954" s="7"/>
      <c r="M954" s="7"/>
      <c r="N954" s="7"/>
      <c r="O954" s="7"/>
      <c r="P954" s="7"/>
      <c r="Q954" s="7"/>
      <c r="R954" s="7"/>
    </row>
    <row r="955" spans="4:18" ht="0" hidden="1" customHeight="1">
      <c r="D955" s="23"/>
      <c r="E955" s="7"/>
      <c r="F955" s="7"/>
      <c r="G955" s="7"/>
      <c r="H955" s="7"/>
      <c r="I955" s="7"/>
      <c r="J955" s="7"/>
      <c r="K955" s="7"/>
      <c r="L955" s="7"/>
      <c r="M955" s="7"/>
      <c r="N955" s="7"/>
      <c r="O955" s="7"/>
      <c r="P955" s="7"/>
      <c r="Q955" s="7"/>
      <c r="R955" s="7"/>
    </row>
    <row r="956" spans="4:18" ht="0" hidden="1" customHeight="1">
      <c r="D956" s="23"/>
      <c r="E956" s="7"/>
      <c r="F956" s="7"/>
      <c r="G956" s="7"/>
      <c r="H956" s="7"/>
      <c r="I956" s="7"/>
      <c r="J956" s="7"/>
      <c r="K956" s="7"/>
      <c r="L956" s="7"/>
      <c r="M956" s="7"/>
      <c r="N956" s="7"/>
      <c r="O956" s="7"/>
      <c r="P956" s="7"/>
      <c r="Q956" s="7"/>
      <c r="R956" s="7"/>
    </row>
    <row r="957" spans="4:18" ht="0" hidden="1" customHeight="1">
      <c r="D957" s="23"/>
      <c r="E957" s="7"/>
      <c r="F957" s="7"/>
      <c r="G957" s="7"/>
      <c r="H957" s="7"/>
      <c r="I957" s="7"/>
      <c r="J957" s="7"/>
      <c r="K957" s="7"/>
      <c r="L957" s="7"/>
      <c r="M957" s="7"/>
      <c r="N957" s="7"/>
      <c r="O957" s="7"/>
      <c r="P957" s="7"/>
      <c r="Q957" s="7"/>
      <c r="R957" s="7"/>
    </row>
    <row r="958" spans="4:18" ht="0" hidden="1" customHeight="1">
      <c r="D958" s="23"/>
      <c r="E958" s="7"/>
      <c r="F958" s="7"/>
      <c r="G958" s="7"/>
      <c r="H958" s="7"/>
      <c r="I958" s="7"/>
      <c r="J958" s="7"/>
      <c r="K958" s="7"/>
      <c r="L958" s="7"/>
      <c r="M958" s="7"/>
      <c r="N958" s="7"/>
      <c r="O958" s="7"/>
      <c r="P958" s="7"/>
      <c r="Q958" s="7"/>
      <c r="R958" s="7"/>
    </row>
    <row r="959" spans="4:18" ht="0" hidden="1" customHeight="1">
      <c r="D959" s="23"/>
      <c r="E959" s="7"/>
      <c r="F959" s="7"/>
      <c r="G959" s="7"/>
      <c r="H959" s="7"/>
      <c r="I959" s="7"/>
      <c r="J959" s="7"/>
      <c r="K959" s="7"/>
      <c r="L959" s="7"/>
      <c r="M959" s="7"/>
      <c r="N959" s="7"/>
      <c r="O959" s="7"/>
      <c r="P959" s="7"/>
      <c r="Q959" s="7"/>
      <c r="R959" s="7"/>
    </row>
    <row r="960" spans="4:18" ht="0" hidden="1" customHeight="1">
      <c r="D960" s="23"/>
      <c r="E960" s="7"/>
      <c r="F960" s="7"/>
      <c r="G960" s="7"/>
      <c r="H960" s="7"/>
      <c r="I960" s="7"/>
      <c r="J960" s="7"/>
      <c r="K960" s="7"/>
      <c r="L960" s="7"/>
      <c r="M960" s="7"/>
      <c r="N960" s="7"/>
      <c r="O960" s="7"/>
      <c r="P960" s="7"/>
      <c r="Q960" s="7"/>
      <c r="R960" s="7"/>
    </row>
    <row r="961" spans="4:18" ht="0" hidden="1" customHeight="1">
      <c r="D961" s="23"/>
      <c r="E961" s="7"/>
      <c r="F961" s="7"/>
      <c r="G961" s="7"/>
      <c r="H961" s="7"/>
      <c r="I961" s="7"/>
      <c r="J961" s="7"/>
      <c r="K961" s="7"/>
      <c r="L961" s="7"/>
      <c r="M961" s="7"/>
      <c r="N961" s="7"/>
      <c r="O961" s="7"/>
      <c r="P961" s="7"/>
      <c r="Q961" s="7"/>
      <c r="R961" s="7"/>
    </row>
    <row r="962" spans="4:18" ht="0" hidden="1" customHeight="1">
      <c r="D962" s="23"/>
      <c r="E962" s="7"/>
      <c r="F962" s="7"/>
      <c r="G962" s="7"/>
      <c r="H962" s="7"/>
      <c r="I962" s="7"/>
      <c r="J962" s="7"/>
      <c r="K962" s="7"/>
      <c r="L962" s="7"/>
      <c r="M962" s="7"/>
      <c r="N962" s="7"/>
      <c r="O962" s="7"/>
      <c r="P962" s="7"/>
      <c r="Q962" s="7"/>
      <c r="R962" s="7"/>
    </row>
    <row r="963" spans="4:18" ht="0" hidden="1" customHeight="1">
      <c r="D963" s="23"/>
      <c r="E963" s="7"/>
      <c r="F963" s="7"/>
      <c r="G963" s="7"/>
      <c r="H963" s="7"/>
      <c r="I963" s="7"/>
      <c r="J963" s="7"/>
      <c r="K963" s="7"/>
      <c r="L963" s="7"/>
      <c r="M963" s="7"/>
      <c r="N963" s="7"/>
      <c r="O963" s="7"/>
      <c r="P963" s="7"/>
      <c r="Q963" s="7"/>
      <c r="R963" s="7"/>
    </row>
    <row r="964" spans="4:18" ht="0" hidden="1" customHeight="1">
      <c r="D964" s="23"/>
      <c r="E964" s="7"/>
      <c r="F964" s="7"/>
      <c r="G964" s="7"/>
      <c r="H964" s="7"/>
      <c r="I964" s="7"/>
      <c r="J964" s="7"/>
      <c r="K964" s="7"/>
      <c r="L964" s="7"/>
      <c r="M964" s="7"/>
      <c r="N964" s="7"/>
      <c r="O964" s="7"/>
      <c r="P964" s="7"/>
      <c r="Q964" s="7"/>
      <c r="R964" s="7"/>
    </row>
    <row r="965" spans="4:18" ht="0" hidden="1" customHeight="1">
      <c r="D965" s="23"/>
      <c r="E965" s="7"/>
      <c r="F965" s="7"/>
      <c r="G965" s="7"/>
      <c r="H965" s="7"/>
      <c r="I965" s="7"/>
      <c r="J965" s="7"/>
      <c r="K965" s="7"/>
      <c r="L965" s="7"/>
      <c r="M965" s="7"/>
      <c r="N965" s="7"/>
      <c r="O965" s="7"/>
      <c r="P965" s="7"/>
      <c r="Q965" s="7"/>
      <c r="R965" s="7"/>
    </row>
    <row r="966" spans="4:18" ht="0" hidden="1" customHeight="1">
      <c r="D966" s="23"/>
      <c r="E966" s="7"/>
      <c r="F966" s="7"/>
      <c r="G966" s="7"/>
      <c r="H966" s="7"/>
      <c r="I966" s="7"/>
      <c r="J966" s="7"/>
      <c r="K966" s="7"/>
      <c r="L966" s="7"/>
      <c r="M966" s="7"/>
      <c r="N966" s="7"/>
      <c r="O966" s="7"/>
      <c r="P966" s="7"/>
      <c r="Q966" s="7"/>
      <c r="R966" s="7"/>
    </row>
    <row r="967" spans="4:18" ht="0" hidden="1" customHeight="1">
      <c r="D967" s="23"/>
      <c r="E967" s="7"/>
      <c r="F967" s="7"/>
      <c r="G967" s="7"/>
      <c r="H967" s="7"/>
      <c r="I967" s="7"/>
      <c r="J967" s="7"/>
      <c r="K967" s="7"/>
      <c r="L967" s="7"/>
      <c r="M967" s="7"/>
      <c r="N967" s="7"/>
      <c r="O967" s="7"/>
      <c r="P967" s="7"/>
      <c r="Q967" s="7"/>
      <c r="R967" s="7"/>
    </row>
    <row r="968" spans="4:18" ht="0" hidden="1" customHeight="1">
      <c r="D968" s="23"/>
      <c r="E968" s="7"/>
      <c r="F968" s="7"/>
      <c r="G968" s="7"/>
      <c r="H968" s="7"/>
      <c r="I968" s="7"/>
      <c r="J968" s="7"/>
      <c r="K968" s="7"/>
      <c r="L968" s="7"/>
      <c r="M968" s="7"/>
      <c r="N968" s="7"/>
      <c r="O968" s="7"/>
      <c r="P968" s="7"/>
      <c r="Q968" s="7"/>
      <c r="R968" s="7"/>
    </row>
    <row r="969" spans="4:18" ht="0" hidden="1" customHeight="1">
      <c r="D969" s="23"/>
      <c r="E969" s="7"/>
      <c r="F969" s="7"/>
      <c r="G969" s="7"/>
      <c r="H969" s="7"/>
      <c r="I969" s="7"/>
      <c r="J969" s="7"/>
      <c r="K969" s="7"/>
      <c r="L969" s="7"/>
      <c r="M969" s="7"/>
      <c r="N969" s="7"/>
      <c r="O969" s="7"/>
      <c r="P969" s="7"/>
      <c r="Q969" s="7"/>
      <c r="R969" s="7"/>
    </row>
    <row r="970" spans="4:18" ht="0" hidden="1" customHeight="1">
      <c r="D970" s="23"/>
      <c r="E970" s="7"/>
      <c r="F970" s="7"/>
      <c r="G970" s="7"/>
      <c r="H970" s="7"/>
      <c r="I970" s="7"/>
      <c r="J970" s="7"/>
      <c r="K970" s="7"/>
      <c r="L970" s="7"/>
      <c r="M970" s="7"/>
      <c r="N970" s="7"/>
      <c r="O970" s="7"/>
      <c r="P970" s="7"/>
      <c r="Q970" s="7"/>
      <c r="R970" s="7"/>
    </row>
    <row r="971" spans="4:18" ht="0" hidden="1" customHeight="1">
      <c r="D971" s="23"/>
      <c r="E971" s="7"/>
      <c r="F971" s="7"/>
      <c r="G971" s="7"/>
      <c r="H971" s="7"/>
      <c r="I971" s="7"/>
      <c r="J971" s="7"/>
      <c r="K971" s="7"/>
      <c r="L971" s="7"/>
      <c r="M971" s="7"/>
      <c r="N971" s="7"/>
      <c r="O971" s="7"/>
      <c r="P971" s="7"/>
      <c r="Q971" s="7"/>
      <c r="R971" s="7"/>
    </row>
    <row r="972" spans="4:18" ht="0" hidden="1" customHeight="1">
      <c r="D972" s="23"/>
      <c r="E972" s="7"/>
      <c r="F972" s="7"/>
      <c r="G972" s="7"/>
      <c r="H972" s="7"/>
      <c r="I972" s="7"/>
      <c r="J972" s="7"/>
      <c r="K972" s="7"/>
      <c r="L972" s="7"/>
      <c r="M972" s="7"/>
      <c r="N972" s="7"/>
      <c r="O972" s="7"/>
      <c r="P972" s="7"/>
      <c r="Q972" s="7"/>
      <c r="R972" s="7"/>
    </row>
    <row r="973" spans="4:18" ht="0" hidden="1" customHeight="1">
      <c r="D973" s="23"/>
      <c r="E973" s="7"/>
      <c r="F973" s="7"/>
      <c r="G973" s="7"/>
      <c r="H973" s="7"/>
      <c r="I973" s="7"/>
      <c r="J973" s="7"/>
      <c r="K973" s="7"/>
      <c r="L973" s="7"/>
      <c r="M973" s="7"/>
      <c r="N973" s="7"/>
      <c r="O973" s="7"/>
      <c r="P973" s="7"/>
      <c r="Q973" s="7"/>
      <c r="R973" s="7"/>
    </row>
    <row r="974" spans="4:18" ht="0" hidden="1" customHeight="1">
      <c r="D974" s="23"/>
      <c r="E974" s="7"/>
      <c r="F974" s="7"/>
      <c r="G974" s="7"/>
      <c r="H974" s="7"/>
      <c r="I974" s="7"/>
      <c r="J974" s="7"/>
      <c r="K974" s="7"/>
      <c r="L974" s="7"/>
      <c r="M974" s="7"/>
      <c r="N974" s="7"/>
      <c r="O974" s="7"/>
      <c r="P974" s="7"/>
      <c r="Q974" s="7"/>
      <c r="R974" s="7"/>
    </row>
    <row r="975" spans="4:18" ht="0" hidden="1" customHeight="1">
      <c r="D975" s="23"/>
      <c r="E975" s="7"/>
      <c r="F975" s="7"/>
      <c r="G975" s="7"/>
      <c r="H975" s="7"/>
      <c r="I975" s="7"/>
      <c r="J975" s="7"/>
      <c r="K975" s="7"/>
      <c r="L975" s="7"/>
      <c r="M975" s="7"/>
      <c r="N975" s="7"/>
      <c r="O975" s="7"/>
      <c r="P975" s="7"/>
      <c r="Q975" s="7"/>
      <c r="R975" s="7"/>
    </row>
    <row r="976" spans="4:18" ht="0" hidden="1" customHeight="1">
      <c r="D976" s="23"/>
      <c r="E976" s="7"/>
      <c r="F976" s="7"/>
      <c r="G976" s="7"/>
      <c r="H976" s="7"/>
      <c r="I976" s="7"/>
      <c r="J976" s="7"/>
      <c r="K976" s="7"/>
      <c r="L976" s="7"/>
      <c r="M976" s="7"/>
      <c r="N976" s="7"/>
      <c r="O976" s="7"/>
      <c r="P976" s="7"/>
      <c r="Q976" s="7"/>
      <c r="R976" s="7"/>
    </row>
    <row r="977" spans="4:18" ht="0" hidden="1" customHeight="1">
      <c r="D977" s="23"/>
      <c r="E977" s="7"/>
      <c r="F977" s="7"/>
      <c r="G977" s="7"/>
      <c r="H977" s="7"/>
      <c r="I977" s="7"/>
      <c r="J977" s="7"/>
      <c r="K977" s="7"/>
      <c r="L977" s="7"/>
      <c r="M977" s="7"/>
      <c r="N977" s="7"/>
      <c r="O977" s="7"/>
      <c r="P977" s="7"/>
      <c r="Q977" s="7"/>
      <c r="R977" s="7"/>
    </row>
    <row r="978" spans="4:18" ht="0" hidden="1" customHeight="1">
      <c r="D978" s="23"/>
      <c r="E978" s="7"/>
      <c r="F978" s="7"/>
      <c r="G978" s="7"/>
      <c r="H978" s="7"/>
      <c r="I978" s="7"/>
      <c r="J978" s="7"/>
      <c r="K978" s="7"/>
      <c r="L978" s="7"/>
      <c r="M978" s="7"/>
      <c r="N978" s="7"/>
      <c r="O978" s="7"/>
      <c r="P978" s="7"/>
      <c r="Q978" s="7"/>
      <c r="R978" s="7"/>
    </row>
    <row r="979" spans="4:18" ht="0" hidden="1" customHeight="1">
      <c r="D979" s="23"/>
      <c r="E979" s="7"/>
      <c r="F979" s="7"/>
      <c r="G979" s="7"/>
      <c r="H979" s="7"/>
      <c r="I979" s="7"/>
      <c r="J979" s="7"/>
      <c r="K979" s="7"/>
      <c r="L979" s="7"/>
      <c r="M979" s="7"/>
      <c r="N979" s="7"/>
      <c r="O979" s="7"/>
      <c r="P979" s="7"/>
      <c r="Q979" s="7"/>
      <c r="R979" s="7"/>
    </row>
    <row r="980" spans="4:18" ht="0" hidden="1" customHeight="1">
      <c r="D980" s="23"/>
      <c r="E980" s="7"/>
      <c r="F980" s="7"/>
      <c r="G980" s="7"/>
      <c r="H980" s="7"/>
      <c r="I980" s="7"/>
      <c r="J980" s="7"/>
      <c r="K980" s="7"/>
      <c r="L980" s="7"/>
      <c r="M980" s="7"/>
      <c r="N980" s="7"/>
      <c r="O980" s="7"/>
      <c r="P980" s="7"/>
      <c r="Q980" s="7"/>
      <c r="R980" s="7"/>
    </row>
    <row r="981" spans="4:18" ht="0" hidden="1" customHeight="1">
      <c r="D981" s="23"/>
      <c r="E981" s="7"/>
      <c r="F981" s="7"/>
      <c r="G981" s="7"/>
      <c r="H981" s="7"/>
      <c r="I981" s="7"/>
      <c r="J981" s="7"/>
      <c r="K981" s="7"/>
      <c r="L981" s="7"/>
      <c r="M981" s="7"/>
      <c r="N981" s="7"/>
      <c r="O981" s="7"/>
      <c r="P981" s="7"/>
      <c r="Q981" s="7"/>
      <c r="R981" s="7"/>
    </row>
    <row r="982" spans="4:18" ht="0" hidden="1" customHeight="1">
      <c r="D982" s="23"/>
      <c r="E982" s="7"/>
      <c r="F982" s="7"/>
      <c r="G982" s="7"/>
      <c r="H982" s="7"/>
      <c r="I982" s="7"/>
      <c r="J982" s="7"/>
      <c r="K982" s="7"/>
      <c r="L982" s="7"/>
      <c r="M982" s="7"/>
      <c r="N982" s="7"/>
      <c r="O982" s="7"/>
      <c r="P982" s="7"/>
      <c r="Q982" s="7"/>
      <c r="R982" s="7"/>
    </row>
    <row r="983" spans="4:18" ht="0" hidden="1" customHeight="1">
      <c r="D983" s="23"/>
      <c r="E983" s="7"/>
      <c r="F983" s="7"/>
      <c r="G983" s="7"/>
      <c r="H983" s="7"/>
      <c r="I983" s="7"/>
      <c r="J983" s="7"/>
      <c r="K983" s="7"/>
      <c r="L983" s="7"/>
      <c r="M983" s="7"/>
      <c r="N983" s="7"/>
      <c r="O983" s="7"/>
      <c r="P983" s="7"/>
      <c r="Q983" s="7"/>
      <c r="R983" s="7"/>
    </row>
    <row r="984" spans="4:18" ht="0" hidden="1" customHeight="1">
      <c r="D984" s="23"/>
      <c r="E984" s="7"/>
      <c r="F984" s="7"/>
      <c r="G984" s="7"/>
      <c r="H984" s="7"/>
      <c r="I984" s="7"/>
      <c r="J984" s="7"/>
      <c r="K984" s="7"/>
      <c r="L984" s="7"/>
      <c r="M984" s="7"/>
      <c r="N984" s="7"/>
      <c r="O984" s="7"/>
      <c r="P984" s="7"/>
      <c r="Q984" s="7"/>
      <c r="R984" s="7"/>
    </row>
    <row r="985" spans="4:18" ht="0" hidden="1" customHeight="1">
      <c r="D985" s="23"/>
      <c r="E985" s="7"/>
      <c r="F985" s="7"/>
      <c r="G985" s="7"/>
      <c r="H985" s="7"/>
      <c r="I985" s="7"/>
      <c r="J985" s="7"/>
      <c r="K985" s="7"/>
      <c r="L985" s="7"/>
      <c r="M985" s="7"/>
      <c r="N985" s="7"/>
      <c r="O985" s="7"/>
      <c r="P985" s="7"/>
      <c r="Q985" s="7"/>
      <c r="R985" s="7"/>
    </row>
    <row r="986" spans="4:18" ht="0" hidden="1" customHeight="1">
      <c r="D986" s="23"/>
      <c r="E986" s="7"/>
      <c r="F986" s="7"/>
      <c r="G986" s="7"/>
      <c r="H986" s="7"/>
      <c r="I986" s="7"/>
      <c r="J986" s="7"/>
      <c r="K986" s="7"/>
      <c r="L986" s="7"/>
      <c r="M986" s="7"/>
      <c r="N986" s="7"/>
      <c r="O986" s="7"/>
      <c r="P986" s="7"/>
      <c r="Q986" s="7"/>
      <c r="R986" s="7"/>
    </row>
    <row r="987" spans="4:18" ht="0" hidden="1" customHeight="1">
      <c r="D987" s="23"/>
      <c r="E987" s="7"/>
      <c r="F987" s="7"/>
      <c r="G987" s="7"/>
      <c r="H987" s="7"/>
      <c r="I987" s="7"/>
      <c r="J987" s="7"/>
      <c r="K987" s="7"/>
      <c r="L987" s="7"/>
      <c r="M987" s="7"/>
      <c r="N987" s="7"/>
      <c r="O987" s="7"/>
      <c r="P987" s="7"/>
      <c r="Q987" s="7"/>
      <c r="R987" s="7"/>
    </row>
    <row r="988" spans="4:18" ht="0" hidden="1" customHeight="1">
      <c r="D988" s="23"/>
      <c r="E988" s="7"/>
      <c r="F988" s="7"/>
      <c r="G988" s="7"/>
      <c r="H988" s="7"/>
      <c r="I988" s="7"/>
      <c r="J988" s="7"/>
      <c r="K988" s="7"/>
      <c r="L988" s="7"/>
      <c r="M988" s="7"/>
      <c r="N988" s="7"/>
      <c r="O988" s="7"/>
      <c r="P988" s="7"/>
      <c r="Q988" s="7"/>
      <c r="R988" s="7"/>
    </row>
    <row r="989" spans="4:18" ht="0" hidden="1" customHeight="1">
      <c r="D989" s="23"/>
      <c r="E989" s="7"/>
      <c r="F989" s="7"/>
      <c r="G989" s="7"/>
      <c r="H989" s="7"/>
      <c r="I989" s="7"/>
      <c r="J989" s="7"/>
      <c r="K989" s="7"/>
      <c r="L989" s="7"/>
      <c r="M989" s="7"/>
      <c r="N989" s="7"/>
      <c r="O989" s="7"/>
      <c r="P989" s="7"/>
      <c r="Q989" s="7"/>
      <c r="R989" s="7"/>
    </row>
    <row r="990" spans="4:18" ht="0" hidden="1" customHeight="1">
      <c r="D990" s="23"/>
      <c r="E990" s="7"/>
      <c r="F990" s="7"/>
      <c r="G990" s="7"/>
      <c r="H990" s="7"/>
      <c r="I990" s="7"/>
      <c r="J990" s="7"/>
      <c r="K990" s="7"/>
      <c r="L990" s="7"/>
      <c r="M990" s="7"/>
      <c r="N990" s="7"/>
      <c r="O990" s="7"/>
      <c r="P990" s="7"/>
      <c r="Q990" s="7"/>
      <c r="R990" s="7"/>
    </row>
    <row r="991" spans="4:18" ht="0" hidden="1" customHeight="1">
      <c r="D991" s="23"/>
      <c r="E991" s="7"/>
      <c r="F991" s="7"/>
      <c r="G991" s="7"/>
      <c r="H991" s="7"/>
      <c r="I991" s="7"/>
      <c r="J991" s="7"/>
      <c r="K991" s="7"/>
      <c r="L991" s="7"/>
      <c r="M991" s="7"/>
      <c r="N991" s="7"/>
      <c r="O991" s="7"/>
      <c r="P991" s="7"/>
      <c r="Q991" s="7"/>
      <c r="R991" s="7"/>
    </row>
    <row r="992" spans="4:18" ht="0" hidden="1" customHeight="1">
      <c r="D992" s="23"/>
      <c r="E992" s="7"/>
      <c r="F992" s="7"/>
      <c r="G992" s="7"/>
      <c r="H992" s="7"/>
      <c r="I992" s="7"/>
      <c r="J992" s="7"/>
      <c r="K992" s="7"/>
      <c r="L992" s="7"/>
      <c r="M992" s="7"/>
      <c r="N992" s="7"/>
      <c r="O992" s="7"/>
      <c r="P992" s="7"/>
      <c r="Q992" s="7"/>
      <c r="R992" s="7"/>
    </row>
    <row r="993" spans="4:648" ht="0" hidden="1" customHeight="1">
      <c r="D993" s="23"/>
      <c r="E993" s="7"/>
      <c r="F993" s="7"/>
      <c r="G993" s="7"/>
      <c r="H993" s="7"/>
      <c r="I993" s="7"/>
      <c r="J993" s="7"/>
      <c r="K993" s="7"/>
      <c r="L993" s="7"/>
      <c r="M993" s="7"/>
      <c r="N993" s="7"/>
      <c r="O993" s="7"/>
      <c r="P993" s="7"/>
      <c r="Q993" s="7"/>
      <c r="R993" s="7"/>
    </row>
    <row r="994" spans="4:648" ht="0" hidden="1" customHeight="1">
      <c r="D994" s="23"/>
      <c r="E994" s="7"/>
      <c r="F994" s="7"/>
      <c r="G994" s="7"/>
      <c r="H994" s="7"/>
      <c r="I994" s="7"/>
      <c r="J994" s="7"/>
      <c r="K994" s="7"/>
      <c r="L994" s="7"/>
      <c r="M994" s="7"/>
      <c r="N994" s="7"/>
      <c r="O994" s="7"/>
      <c r="P994" s="7"/>
      <c r="Q994" s="7"/>
      <c r="R994" s="7"/>
    </row>
    <row r="995" spans="4:648" ht="0" hidden="1" customHeight="1">
      <c r="D995" s="23"/>
      <c r="E995" s="7"/>
      <c r="F995" s="7"/>
      <c r="G995" s="7"/>
      <c r="H995" s="7"/>
      <c r="I995" s="7"/>
      <c r="J995" s="7"/>
      <c r="K995" s="7"/>
      <c r="L995" s="7"/>
      <c r="M995" s="7"/>
      <c r="N995" s="7"/>
      <c r="O995" s="7"/>
      <c r="P995" s="7"/>
      <c r="Q995" s="7"/>
      <c r="R995" s="7"/>
    </row>
    <row r="996" spans="4:648" ht="0" hidden="1" customHeight="1">
      <c r="D996" s="23"/>
      <c r="E996" s="7"/>
      <c r="F996" s="7"/>
      <c r="G996" s="7"/>
      <c r="H996" s="7"/>
      <c r="I996" s="7"/>
      <c r="J996" s="7"/>
      <c r="K996" s="7"/>
      <c r="L996" s="7"/>
      <c r="M996" s="7"/>
      <c r="N996" s="7"/>
      <c r="O996" s="7"/>
      <c r="P996" s="7"/>
      <c r="Q996" s="7"/>
      <c r="R996" s="7"/>
    </row>
    <row r="997" spans="4:648" ht="0" hidden="1" customHeight="1">
      <c r="D997" s="23"/>
      <c r="E997" s="7"/>
      <c r="F997" s="7"/>
      <c r="G997" s="7"/>
      <c r="H997" s="7"/>
      <c r="I997" s="7"/>
      <c r="J997" s="7"/>
      <c r="K997" s="7"/>
      <c r="L997" s="7"/>
      <c r="M997" s="7"/>
      <c r="N997" s="7"/>
      <c r="O997" s="7"/>
      <c r="P997" s="7"/>
      <c r="Q997" s="7"/>
      <c r="R997" s="7"/>
    </row>
    <row r="998" spans="4:648" ht="0" hidden="1" customHeight="1">
      <c r="D998" s="23"/>
      <c r="E998" s="7"/>
      <c r="F998" s="7"/>
      <c r="G998" s="7"/>
      <c r="H998" s="7"/>
      <c r="I998" s="7"/>
      <c r="J998" s="7"/>
      <c r="K998" s="7"/>
      <c r="L998" s="7"/>
      <c r="M998" s="7"/>
      <c r="N998" s="7"/>
      <c r="O998" s="7"/>
      <c r="P998" s="7"/>
      <c r="Q998" s="7"/>
      <c r="R998" s="7"/>
    </row>
    <row r="999" spans="4:648" ht="0" hidden="1" customHeight="1">
      <c r="D999" s="23"/>
      <c r="E999" s="7"/>
      <c r="F999" s="7"/>
      <c r="G999" s="7"/>
      <c r="H999" s="7"/>
      <c r="I999" s="7"/>
      <c r="J999" s="7"/>
      <c r="K999" s="7"/>
      <c r="L999" s="7"/>
      <c r="M999" s="7"/>
      <c r="N999" s="7"/>
      <c r="O999" s="7"/>
      <c r="P999" s="7"/>
      <c r="Q999" s="7"/>
      <c r="R999" s="7"/>
    </row>
    <row r="1000" spans="4:648" ht="15.5">
      <c r="D1000" s="23"/>
      <c r="E1000" s="7"/>
      <c r="F1000" s="7"/>
      <c r="G1000" s="7"/>
      <c r="H1000" s="7"/>
      <c r="I1000" s="7"/>
      <c r="J1000" s="7"/>
      <c r="K1000" s="7"/>
      <c r="L1000" s="7"/>
      <c r="M1000" s="7"/>
      <c r="N1000" s="7"/>
      <c r="O1000" s="7"/>
      <c r="P1000" s="7"/>
      <c r="Q1000" s="7"/>
      <c r="R1000" s="7"/>
      <c r="XX1000" s="104">
        <v>56981</v>
      </c>
    </row>
  </sheetData>
  <sheetProtection algorithmName="SHA-512" hashValue="iKtzeSpX6xrzH9qyUE9tTQ6nePuuYJYDl69rQ+6Ok6jP4DSw0SIetsgAicR3yVuIYwTaeH14PiMuaC61y23+fg==" saltValue="zTQyZ8Rg/ddLrpkLlf0Gzg==" spinCount="100000" sheet="1" objects="1" scenarios="1" formatCells="0"/>
  <conditionalFormatting sqref="G27 G15:G20 G22:G25">
    <cfRule type="expression" dxfId="4" priority="3">
      <formula>IFERROR(CheckAnswer(G14,G15),FALSE)</formula>
    </cfRule>
  </conditionalFormatting>
  <conditionalFormatting sqref="G26">
    <cfRule type="expression" dxfId="3" priority="6">
      <formula>IFERROR(CheckAnswer(G23,G26),FALSE)</formula>
    </cfRule>
  </conditionalFormatting>
  <conditionalFormatting sqref="H15:H27">
    <cfRule type="expression" dxfId="2" priority="2">
      <formula>IFERROR(CheckAnswer(#REF!,H15),FALSE)</formula>
    </cfRule>
  </conditionalFormatting>
  <conditionalFormatting sqref="H15:H27">
    <cfRule type="expression" dxfId="1" priority="1">
      <formula>IFERROR(CheckAnswer(G15,H15),FALSE)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9FED-2B7F-423D-AE9F-23D344F4AF05}">
  <sheetPr codeName="Sheet15">
    <tabColor rgb="FF0070C0"/>
  </sheetPr>
  <dimension ref="A1:XX1000"/>
  <sheetViews>
    <sheetView tabSelected="1" topLeftCell="A8" zoomScale="115" zoomScaleNormal="115" workbookViewId="0">
      <selection activeCell="F13" sqref="F13"/>
    </sheetView>
  </sheetViews>
  <sheetFormatPr defaultColWidth="0" defaultRowHeight="0" customHeight="1" zeroHeight="1"/>
  <cols>
    <col min="1" max="1" width="8.7265625" style="4" customWidth="1"/>
    <col min="2" max="2" width="24.36328125" style="4" customWidth="1"/>
    <col min="3" max="7" width="15.7265625" style="4" customWidth="1"/>
    <col min="8" max="8" width="8.7265625" style="4" customWidth="1"/>
    <col min="9" max="29" width="0" style="4" hidden="1" customWidth="1"/>
    <col min="30" max="16384" width="8.7265625" style="4" hidden="1"/>
  </cols>
  <sheetData>
    <row r="1" spans="1:7" ht="14.5"/>
    <row r="2" spans="1:7" ht="15.5">
      <c r="B2" s="83" t="s">
        <v>23</v>
      </c>
      <c r="F2" s="83" t="s">
        <v>114</v>
      </c>
    </row>
    <row r="3" spans="1:7" ht="14.5">
      <c r="B3" s="4" t="s">
        <v>282</v>
      </c>
      <c r="F3" s="41" t="s">
        <v>199</v>
      </c>
      <c r="G3" s="84">
        <f>BackgroundCalcs!Q2</f>
        <v>1200</v>
      </c>
    </row>
    <row r="4" spans="1:7" ht="14.5">
      <c r="B4" s="4" t="s">
        <v>283</v>
      </c>
    </row>
    <row r="5" spans="1:7" ht="14.5">
      <c r="B5" s="4" t="s">
        <v>284</v>
      </c>
    </row>
    <row r="6" spans="1:7" ht="14.5"/>
    <row r="7" spans="1:7" ht="15" thickBot="1">
      <c r="B7" s="21" t="s">
        <v>113</v>
      </c>
      <c r="F7" s="38" t="s">
        <v>112</v>
      </c>
      <c r="G7" s="38" t="s">
        <v>83</v>
      </c>
    </row>
    <row r="8" spans="1:7" ht="15" thickBot="1">
      <c r="A8" s="4">
        <v>28</v>
      </c>
      <c r="B8" s="4" t="s">
        <v>285</v>
      </c>
      <c r="F8" s="5">
        <f>D16</f>
        <v>25624.87691243349</v>
      </c>
      <c r="G8" s="7">
        <f>BackgroundCalcs!AY29</f>
        <v>25624.87691243349</v>
      </c>
    </row>
    <row r="9" spans="1:7" ht="15" thickBot="1">
      <c r="A9" s="4">
        <v>29</v>
      </c>
      <c r="B9" s="4" t="s">
        <v>286</v>
      </c>
      <c r="F9" s="5">
        <f>D19</f>
        <v>3022.4175379674671</v>
      </c>
      <c r="G9" s="7">
        <f>BackgroundCalcs!AY30</f>
        <v>3022.4175379674671</v>
      </c>
    </row>
    <row r="10" spans="1:7" ht="15" thickBot="1">
      <c r="A10" s="4">
        <v>30</v>
      </c>
      <c r="B10" s="4" t="s">
        <v>287</v>
      </c>
      <c r="F10" s="5">
        <f>E21</f>
        <v>13636.205642053239</v>
      </c>
      <c r="G10" s="7">
        <f>BackgroundCalcs!AY31</f>
        <v>13636.205642053239</v>
      </c>
    </row>
    <row r="11" spans="1:7" ht="15" thickBot="1">
      <c r="A11" s="4">
        <v>31</v>
      </c>
      <c r="B11" s="4" t="s">
        <v>288</v>
      </c>
      <c r="F11" s="5">
        <f>E23</f>
        <v>32730.089670255886</v>
      </c>
      <c r="G11" s="7">
        <f>BackgroundCalcs!AY32</f>
        <v>32730.089670255886</v>
      </c>
    </row>
    <row r="12" spans="1:7" ht="15" thickBot="1">
      <c r="A12" s="4">
        <v>32</v>
      </c>
      <c r="B12" s="4" t="s">
        <v>289</v>
      </c>
      <c r="F12" s="5">
        <f>D16-F22</f>
        <v>48718.014223448619</v>
      </c>
      <c r="G12" s="7">
        <f>BackgroundCalcs!AY33</f>
        <v>48718.014223448619</v>
      </c>
    </row>
    <row r="13" spans="1:7" ht="14.5">
      <c r="C13" s="6"/>
      <c r="D13" s="23"/>
      <c r="E13" s="7"/>
      <c r="F13" s="7"/>
      <c r="G13" s="7"/>
    </row>
    <row r="14" spans="1:7" ht="14.5">
      <c r="C14" s="38"/>
      <c r="D14" s="38" t="s">
        <v>290</v>
      </c>
      <c r="E14" s="38" t="s">
        <v>291</v>
      </c>
      <c r="F14" s="38" t="s">
        <v>292</v>
      </c>
    </row>
    <row r="15" spans="1:7" ht="15" thickBot="1">
      <c r="C15" s="38"/>
      <c r="D15" s="42">
        <f>Budget!P90</f>
        <v>0</v>
      </c>
      <c r="E15" s="42">
        <f>Budget!R90</f>
        <v>23093.137311015129</v>
      </c>
      <c r="F15" s="42">
        <f>D15-E15</f>
        <v>-23093.137311015129</v>
      </c>
    </row>
    <row r="16" spans="1:7" ht="14.5">
      <c r="C16" s="75">
        <v>600</v>
      </c>
      <c r="D16" s="76">
        <f t="dataTable" ref="D16:F23" dt2D="0" dtr="0" r1="G3"/>
        <v>25624.87691243349</v>
      </c>
      <c r="E16" s="77">
        <v>0</v>
      </c>
      <c r="F16" s="78">
        <v>25624.87691243349</v>
      </c>
    </row>
    <row r="17" spans="3:7" ht="14.5">
      <c r="C17" s="75">
        <v>700</v>
      </c>
      <c r="D17" s="43">
        <v>18090.723787611489</v>
      </c>
      <c r="E17" s="7">
        <v>0</v>
      </c>
      <c r="F17" s="44">
        <v>18090.723787611489</v>
      </c>
    </row>
    <row r="18" spans="3:7" ht="14.5">
      <c r="C18" s="75">
        <v>800</v>
      </c>
      <c r="D18" s="43">
        <v>10556.570662789476</v>
      </c>
      <c r="E18" s="7">
        <v>0</v>
      </c>
      <c r="F18" s="44">
        <v>10556.570662789476</v>
      </c>
    </row>
    <row r="19" spans="3:7" ht="14.5">
      <c r="C19" s="75">
        <v>900</v>
      </c>
      <c r="D19" s="43">
        <v>3022.4175379674671</v>
      </c>
      <c r="E19" s="7">
        <v>0</v>
      </c>
      <c r="F19" s="44">
        <v>3022.4175379674671</v>
      </c>
    </row>
    <row r="20" spans="3:7" ht="14.5">
      <c r="C20" s="75">
        <v>1000</v>
      </c>
      <c r="D20" s="43">
        <v>0</v>
      </c>
      <c r="E20" s="7">
        <v>4740.6145818456898</v>
      </c>
      <c r="F20" s="44">
        <v>-4740.6145818456898</v>
      </c>
    </row>
    <row r="21" spans="3:7" ht="14.5">
      <c r="C21" s="75">
        <v>1100</v>
      </c>
      <c r="D21" s="43">
        <v>0</v>
      </c>
      <c r="E21" s="7">
        <v>13636.205642053239</v>
      </c>
      <c r="F21" s="44">
        <v>-13636.205642053239</v>
      </c>
    </row>
    <row r="22" spans="3:7" ht="14.5">
      <c r="C22" s="75">
        <v>1200</v>
      </c>
      <c r="D22" s="43">
        <v>0</v>
      </c>
      <c r="E22" s="7">
        <v>23093.137311015129</v>
      </c>
      <c r="F22" s="44">
        <v>-23093.137311015129</v>
      </c>
    </row>
    <row r="23" spans="3:7" ht="15" thickBot="1">
      <c r="C23" s="75">
        <v>1300</v>
      </c>
      <c r="D23" s="45">
        <v>0</v>
      </c>
      <c r="E23" s="79">
        <v>32730.089670255886</v>
      </c>
      <c r="F23" s="46">
        <v>-32730.089670255886</v>
      </c>
    </row>
    <row r="24" spans="3:7" ht="14.5">
      <c r="C24" s="6"/>
      <c r="D24" s="23"/>
      <c r="E24" s="7"/>
      <c r="F24" s="7"/>
      <c r="G24" s="7"/>
    </row>
    <row r="25" spans="3:7" ht="14.5">
      <c r="C25" s="6"/>
      <c r="D25" s="23"/>
      <c r="E25" s="7"/>
      <c r="F25" s="7"/>
      <c r="G25" s="7"/>
    </row>
    <row r="26" spans="3:7" ht="14.9" hidden="1" customHeight="1"/>
    <row r="1000" spans="648:648" ht="15.5">
      <c r="XX1000" s="104">
        <v>56981</v>
      </c>
    </row>
  </sheetData>
  <conditionalFormatting sqref="G8:G12">
    <cfRule type="expression" dxfId="0" priority="1">
      <formula>IFERROR(CheckAnswer(F8,G8),FALSE)</formula>
    </cfRule>
  </conditionalFormatting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B03C0-38C8-4BD9-AC7F-4C3A2C189A35}">
  <sheetPr codeName="Sheet7"/>
  <dimension ref="A1:XX1000"/>
  <sheetViews>
    <sheetView workbookViewId="0"/>
  </sheetViews>
  <sheetFormatPr defaultColWidth="0" defaultRowHeight="14.5" zeroHeight="1"/>
  <cols>
    <col min="1" max="1" width="3.08984375" style="4" customWidth="1"/>
    <col min="2" max="5" width="20.36328125" style="4" customWidth="1"/>
    <col min="6" max="6" width="8.7265625" style="4" customWidth="1"/>
    <col min="7" max="16384" width="8.7265625" style="4" hidden="1"/>
  </cols>
  <sheetData>
    <row r="1" spans="1:7" ht="18.5">
      <c r="A1" s="14"/>
      <c r="B1" s="49"/>
      <c r="C1" s="14"/>
      <c r="D1" s="14"/>
      <c r="E1" s="14"/>
      <c r="F1" s="14"/>
      <c r="G1" s="20"/>
    </row>
    <row r="2" spans="1:7" ht="18.5">
      <c r="A2" s="14"/>
      <c r="B2" s="49" t="str">
        <f>"Results for "&amp;FileName</f>
        <v>Results for MECC Project Your Budget</v>
      </c>
      <c r="C2" s="14"/>
      <c r="D2" s="14"/>
      <c r="E2" s="14"/>
      <c r="F2" s="14"/>
      <c r="G2" s="20"/>
    </row>
    <row r="3" spans="1:7">
      <c r="A3" s="14"/>
      <c r="B3" s="58"/>
      <c r="C3" s="14"/>
      <c r="D3" s="14"/>
      <c r="E3" s="14"/>
      <c r="F3" s="14"/>
      <c r="G3" s="20"/>
    </row>
    <row r="4" spans="1:7" ht="16" thickBot="1">
      <c r="A4" s="14"/>
      <c r="B4" s="59" t="s">
        <v>168</v>
      </c>
      <c r="C4" s="14"/>
      <c r="D4" s="14"/>
      <c r="E4" s="14"/>
      <c r="F4" s="14"/>
      <c r="G4" s="20"/>
    </row>
    <row r="5" spans="1:7" ht="29.5" thickBot="1">
      <c r="A5" s="14"/>
      <c r="B5" s="60" t="str">
        <f>BackgroundCalcs!D62</f>
        <v>I finished the MECC Project Your Budget Challenge in  seconds. Sign up for the Microsoft Excel Collegiate Challenge and give it a try! #ExcelEsports #ExcelAtEller</v>
      </c>
      <c r="C5" s="61"/>
      <c r="D5" s="61"/>
      <c r="E5" s="62"/>
      <c r="F5" s="14"/>
      <c r="G5" s="20"/>
    </row>
    <row r="6" spans="1:7" ht="15" thickBot="1">
      <c r="A6" s="14"/>
      <c r="B6" s="14"/>
      <c r="C6" s="14"/>
      <c r="D6" s="14"/>
      <c r="E6" s="14"/>
      <c r="F6" s="14"/>
      <c r="G6" s="20"/>
    </row>
    <row r="7" spans="1:7">
      <c r="A7" s="14"/>
      <c r="B7" s="14"/>
      <c r="C7" s="107" t="str">
        <f>HYPERLINK(BackgroundCalcs!D71,"Post to Twitter")</f>
        <v>Post to Twitter</v>
      </c>
      <c r="D7" s="107" t="str">
        <f>HYPERLINK(BackgroundCalcs!D65,"Post to LinkedIn")</f>
        <v>Post to LinkedIn</v>
      </c>
      <c r="E7" s="14"/>
      <c r="F7" s="14"/>
      <c r="G7" s="20"/>
    </row>
    <row r="8" spans="1:7" ht="15" thickBot="1">
      <c r="A8" s="14"/>
      <c r="B8" s="14"/>
      <c r="C8" s="108"/>
      <c r="D8" s="108"/>
      <c r="E8" s="14"/>
      <c r="F8" s="14"/>
      <c r="G8" s="20"/>
    </row>
    <row r="9" spans="1:7">
      <c r="A9" s="14"/>
      <c r="B9" s="14"/>
      <c r="C9" s="14"/>
      <c r="D9" s="14"/>
      <c r="E9" s="14"/>
      <c r="F9" s="14"/>
      <c r="G9" s="20"/>
    </row>
    <row r="10" spans="1:7">
      <c r="A10" s="14"/>
      <c r="B10" s="63" t="s">
        <v>18</v>
      </c>
      <c r="C10" s="14"/>
      <c r="D10" s="14"/>
      <c r="E10" s="14"/>
      <c r="F10" s="14"/>
      <c r="G10" s="20"/>
    </row>
    <row r="11" spans="1:7" ht="15" thickBot="1">
      <c r="A11" s="14"/>
      <c r="B11" s="15" t="s">
        <v>19</v>
      </c>
      <c r="C11" s="15" t="s">
        <v>169</v>
      </c>
      <c r="D11" s="15" t="s">
        <v>170</v>
      </c>
      <c r="E11" s="15" t="s">
        <v>82</v>
      </c>
      <c r="F11" s="14"/>
      <c r="G11" s="20"/>
    </row>
    <row r="12" spans="1:7">
      <c r="A12" s="14"/>
      <c r="B12" s="16"/>
      <c r="C12" s="18"/>
      <c r="D12" s="18"/>
      <c r="E12" s="17"/>
      <c r="F12" s="14"/>
      <c r="G12" s="20"/>
    </row>
    <row r="13" spans="1:7">
      <c r="A13" s="14"/>
      <c r="B13" s="14"/>
      <c r="C13" s="14"/>
      <c r="D13" s="14"/>
      <c r="E13" s="14"/>
      <c r="F13" s="14"/>
      <c r="G13" s="20"/>
    </row>
    <row r="14" spans="1:7">
      <c r="A14" s="14"/>
      <c r="B14" s="63" t="s">
        <v>20</v>
      </c>
      <c r="C14" s="14"/>
      <c r="D14" s="14"/>
      <c r="E14" s="14"/>
      <c r="F14" s="14"/>
      <c r="G14" s="20"/>
    </row>
    <row r="15" spans="1:7" ht="15" thickBot="1">
      <c r="A15" s="14"/>
      <c r="B15" s="15" t="s">
        <v>19</v>
      </c>
      <c r="C15" s="15" t="s">
        <v>169</v>
      </c>
      <c r="D15" s="15" t="s">
        <v>170</v>
      </c>
      <c r="E15" s="15" t="s">
        <v>82</v>
      </c>
      <c r="F15" s="14"/>
      <c r="G15" s="20"/>
    </row>
    <row r="16" spans="1:7">
      <c r="A16" s="14"/>
      <c r="B16" s="16" t="str">
        <f>IF(ISBLANK(B20),"",INDEX(B20:B138,MATCH(C16,C20:C138,0)))</f>
        <v/>
      </c>
      <c r="C16" s="18" t="str">
        <f>IF(ISBLANK(C20),"",INDEX(C20:C138,MATCH($E$16,$E$20:$E$138,0)))</f>
        <v/>
      </c>
      <c r="D16" s="18" t="str">
        <f>IF(ISBLANK(D20),"",INDEX(D20:D138,MATCH($E$16,$E$20:$E$138,0)))</f>
        <v/>
      </c>
      <c r="E16" s="17" t="str">
        <f>IF(ISBLANK(E20),"",MIN(E20:E138))</f>
        <v/>
      </c>
      <c r="F16" s="14"/>
      <c r="G16" s="20"/>
    </row>
    <row r="17" spans="1:7">
      <c r="A17" s="14"/>
      <c r="B17" s="14"/>
      <c r="C17" s="14"/>
      <c r="D17" s="14"/>
      <c r="E17" s="14"/>
      <c r="F17" s="14"/>
      <c r="G17" s="20"/>
    </row>
    <row r="18" spans="1:7">
      <c r="A18" s="14"/>
      <c r="B18" s="63" t="s">
        <v>171</v>
      </c>
      <c r="C18" s="14"/>
      <c r="D18" s="14"/>
      <c r="E18" s="14"/>
      <c r="F18" s="14"/>
      <c r="G18" s="20"/>
    </row>
    <row r="19" spans="1:7" ht="15" thickBot="1">
      <c r="A19" s="14"/>
      <c r="B19" s="15" t="s">
        <v>19</v>
      </c>
      <c r="C19" s="15" t="s">
        <v>169</v>
      </c>
      <c r="D19" s="15" t="s">
        <v>170</v>
      </c>
      <c r="E19" s="15" t="s">
        <v>82</v>
      </c>
      <c r="F19" s="14"/>
      <c r="G19" s="20"/>
    </row>
    <row r="20" spans="1:7">
      <c r="A20" s="14"/>
      <c r="B20" s="16"/>
      <c r="C20" s="17"/>
      <c r="D20" s="17"/>
      <c r="E20" s="17"/>
      <c r="F20" s="14"/>
      <c r="G20" s="20"/>
    </row>
    <row r="21" spans="1:7">
      <c r="A21" s="14"/>
      <c r="B21" s="16"/>
      <c r="C21" s="17"/>
      <c r="D21" s="17"/>
      <c r="E21" s="17"/>
      <c r="F21" s="14"/>
      <c r="G21" s="20"/>
    </row>
    <row r="22" spans="1:7">
      <c r="A22" s="14"/>
      <c r="B22" s="16"/>
      <c r="C22" s="17"/>
      <c r="D22" s="17"/>
      <c r="E22" s="17"/>
      <c r="F22" s="14"/>
      <c r="G22" s="20"/>
    </row>
    <row r="23" spans="1:7">
      <c r="A23" s="14"/>
      <c r="B23" s="16"/>
      <c r="C23" s="17"/>
      <c r="D23" s="17"/>
      <c r="E23" s="17"/>
      <c r="F23" s="14"/>
      <c r="G23" s="20"/>
    </row>
    <row r="24" spans="1:7">
      <c r="A24" s="14"/>
      <c r="B24" s="16"/>
      <c r="C24" s="17"/>
      <c r="D24" s="17"/>
      <c r="E24" s="17"/>
      <c r="F24" s="14"/>
      <c r="G24" s="20"/>
    </row>
    <row r="25" spans="1:7">
      <c r="A25" s="14"/>
      <c r="B25" s="16"/>
      <c r="C25" s="17"/>
      <c r="D25" s="17"/>
      <c r="E25" s="17"/>
      <c r="F25" s="14"/>
      <c r="G25" s="20"/>
    </row>
    <row r="26" spans="1:7">
      <c r="A26" s="14"/>
      <c r="B26" s="16"/>
      <c r="C26" s="17"/>
      <c r="D26" s="17"/>
      <c r="E26" s="17"/>
      <c r="F26" s="14"/>
      <c r="G26" s="20"/>
    </row>
    <row r="27" spans="1:7">
      <c r="A27" s="14"/>
      <c r="B27" s="16"/>
      <c r="C27" s="17"/>
      <c r="D27" s="17"/>
      <c r="E27" s="17"/>
      <c r="F27" s="14"/>
      <c r="G27" s="20"/>
    </row>
    <row r="28" spans="1:7">
      <c r="A28" s="14"/>
      <c r="B28" s="16"/>
      <c r="C28" s="17"/>
      <c r="D28" s="17"/>
      <c r="E28" s="17"/>
      <c r="F28" s="14"/>
      <c r="G28" s="20"/>
    </row>
    <row r="29" spans="1:7">
      <c r="A29" s="14"/>
      <c r="B29" s="16"/>
      <c r="C29" s="17"/>
      <c r="D29" s="17"/>
      <c r="E29" s="17"/>
      <c r="F29" s="14"/>
      <c r="G29" s="20"/>
    </row>
    <row r="30" spans="1:7">
      <c r="A30" s="14"/>
      <c r="B30" s="16"/>
      <c r="C30" s="17"/>
      <c r="D30" s="17"/>
      <c r="E30" s="17"/>
      <c r="F30" s="14"/>
      <c r="G30" s="20"/>
    </row>
    <row r="31" spans="1:7">
      <c r="A31" s="14"/>
      <c r="B31" s="16"/>
      <c r="C31" s="17"/>
      <c r="D31" s="17"/>
      <c r="E31" s="17"/>
      <c r="F31" s="14"/>
      <c r="G31" s="20"/>
    </row>
    <row r="32" spans="1:7">
      <c r="A32" s="14"/>
      <c r="B32" s="16"/>
      <c r="C32" s="17"/>
      <c r="D32" s="17"/>
      <c r="E32" s="17"/>
      <c r="F32" s="14"/>
      <c r="G32" s="20"/>
    </row>
    <row r="33" spans="1:7">
      <c r="A33" s="14"/>
      <c r="B33" s="16"/>
      <c r="C33" s="17"/>
      <c r="D33" s="17"/>
      <c r="E33" s="17"/>
      <c r="F33" s="14"/>
      <c r="G33" s="20"/>
    </row>
    <row r="34" spans="1:7">
      <c r="A34" s="14"/>
      <c r="B34" s="16"/>
      <c r="C34" s="17"/>
      <c r="D34" s="17"/>
      <c r="E34" s="17"/>
      <c r="F34" s="14"/>
      <c r="G34" s="20"/>
    </row>
    <row r="35" spans="1:7">
      <c r="A35" s="14"/>
      <c r="B35" s="16"/>
      <c r="C35" s="17"/>
      <c r="D35" s="17"/>
      <c r="E35" s="17"/>
      <c r="F35" s="14"/>
      <c r="G35" s="20"/>
    </row>
    <row r="36" spans="1:7">
      <c r="A36" s="14"/>
      <c r="B36" s="16"/>
      <c r="C36" s="17"/>
      <c r="D36" s="17"/>
      <c r="E36" s="17"/>
      <c r="F36" s="14"/>
      <c r="G36" s="20"/>
    </row>
    <row r="37" spans="1:7">
      <c r="A37" s="14"/>
      <c r="B37" s="16"/>
      <c r="C37" s="17"/>
      <c r="D37" s="17"/>
      <c r="E37" s="17"/>
      <c r="F37" s="14"/>
      <c r="G37" s="20"/>
    </row>
    <row r="38" spans="1:7">
      <c r="A38" s="14"/>
      <c r="B38" s="16"/>
      <c r="C38" s="17"/>
      <c r="D38" s="17"/>
      <c r="E38" s="17"/>
      <c r="F38" s="14"/>
      <c r="G38" s="20"/>
    </row>
    <row r="39" spans="1:7">
      <c r="A39" s="14"/>
      <c r="B39" s="16"/>
      <c r="C39" s="17"/>
      <c r="D39" s="17"/>
      <c r="E39" s="17"/>
      <c r="F39" s="14"/>
      <c r="G39" s="20"/>
    </row>
    <row r="40" spans="1:7">
      <c r="A40" s="14"/>
      <c r="B40" s="16"/>
      <c r="C40" s="17"/>
      <c r="D40" s="17"/>
      <c r="E40" s="17"/>
      <c r="F40" s="14"/>
      <c r="G40" s="20"/>
    </row>
    <row r="41" spans="1:7">
      <c r="A41" s="14"/>
      <c r="B41" s="16"/>
      <c r="C41" s="17"/>
      <c r="D41" s="17"/>
      <c r="E41" s="17"/>
      <c r="F41" s="14"/>
      <c r="G41" s="20"/>
    </row>
    <row r="42" spans="1:7">
      <c r="A42" s="14"/>
      <c r="B42" s="16"/>
      <c r="C42" s="17"/>
      <c r="D42" s="17"/>
      <c r="E42" s="17"/>
      <c r="F42" s="14"/>
      <c r="G42" s="20"/>
    </row>
    <row r="43" spans="1:7">
      <c r="A43" s="14"/>
      <c r="B43" s="16"/>
      <c r="C43" s="17"/>
      <c r="D43" s="17"/>
      <c r="E43" s="17"/>
      <c r="F43" s="14"/>
      <c r="G43" s="20"/>
    </row>
    <row r="44" spans="1:7">
      <c r="A44" s="14"/>
      <c r="B44" s="16"/>
      <c r="C44" s="17"/>
      <c r="D44" s="17"/>
      <c r="E44" s="17"/>
      <c r="F44" s="14"/>
      <c r="G44" s="20"/>
    </row>
    <row r="45" spans="1:7">
      <c r="A45" s="14"/>
      <c r="B45" s="16"/>
      <c r="C45" s="17"/>
      <c r="D45" s="17"/>
      <c r="E45" s="17"/>
      <c r="F45" s="14"/>
      <c r="G45" s="20"/>
    </row>
    <row r="46" spans="1:7">
      <c r="A46" s="14"/>
      <c r="B46" s="16"/>
      <c r="C46" s="17"/>
      <c r="D46" s="17"/>
      <c r="E46" s="17"/>
      <c r="F46" s="14"/>
      <c r="G46" s="20"/>
    </row>
    <row r="47" spans="1:7">
      <c r="A47" s="14"/>
      <c r="B47" s="16"/>
      <c r="C47" s="17"/>
      <c r="D47" s="17"/>
      <c r="E47" s="17"/>
      <c r="F47" s="14"/>
      <c r="G47" s="20"/>
    </row>
    <row r="48" spans="1:7">
      <c r="A48" s="14"/>
      <c r="B48" s="16"/>
      <c r="C48" s="17"/>
      <c r="D48" s="17"/>
      <c r="E48" s="17"/>
      <c r="F48" s="14"/>
      <c r="G48" s="20"/>
    </row>
    <row r="49" spans="1:7">
      <c r="A49" s="14"/>
      <c r="B49" s="16"/>
      <c r="C49" s="17"/>
      <c r="D49" s="17"/>
      <c r="E49" s="17"/>
      <c r="F49" s="14"/>
      <c r="G49" s="20"/>
    </row>
    <row r="50" spans="1:7">
      <c r="A50" s="14"/>
      <c r="B50" s="16"/>
      <c r="C50" s="17"/>
      <c r="D50" s="17"/>
      <c r="E50" s="17"/>
      <c r="F50" s="14"/>
      <c r="G50" s="20"/>
    </row>
    <row r="51" spans="1:7">
      <c r="A51" s="14"/>
      <c r="B51" s="16"/>
      <c r="C51" s="17"/>
      <c r="D51" s="17"/>
      <c r="E51" s="17"/>
      <c r="F51" s="14"/>
      <c r="G51" s="20"/>
    </row>
    <row r="52" spans="1:7">
      <c r="A52" s="14"/>
      <c r="B52" s="16"/>
      <c r="C52" s="17"/>
      <c r="D52" s="17"/>
      <c r="E52" s="17"/>
      <c r="F52" s="14"/>
      <c r="G52" s="20"/>
    </row>
    <row r="53" spans="1:7">
      <c r="A53" s="14"/>
      <c r="B53" s="16"/>
      <c r="C53" s="17"/>
      <c r="D53" s="17"/>
      <c r="E53" s="17"/>
      <c r="F53" s="14"/>
      <c r="G53" s="20"/>
    </row>
    <row r="54" spans="1:7">
      <c r="A54" s="14"/>
      <c r="B54" s="16"/>
      <c r="C54" s="17"/>
      <c r="D54" s="17"/>
      <c r="E54" s="17"/>
      <c r="F54" s="14"/>
      <c r="G54" s="20"/>
    </row>
    <row r="55" spans="1:7">
      <c r="A55" s="14"/>
      <c r="B55" s="16"/>
      <c r="C55" s="17"/>
      <c r="D55" s="17"/>
      <c r="E55" s="17"/>
      <c r="F55" s="14"/>
      <c r="G55" s="20"/>
    </row>
    <row r="56" spans="1:7">
      <c r="A56" s="14"/>
      <c r="B56" s="16"/>
      <c r="C56" s="17"/>
      <c r="D56" s="17"/>
      <c r="E56" s="17"/>
      <c r="F56" s="14"/>
      <c r="G56" s="20"/>
    </row>
    <row r="57" spans="1:7">
      <c r="A57" s="14"/>
      <c r="B57" s="16"/>
      <c r="C57" s="17"/>
      <c r="D57" s="17"/>
      <c r="E57" s="17"/>
      <c r="F57" s="14"/>
      <c r="G57" s="20"/>
    </row>
    <row r="58" spans="1:7">
      <c r="A58" s="14"/>
      <c r="B58" s="16"/>
      <c r="C58" s="17"/>
      <c r="D58" s="17"/>
      <c r="E58" s="17"/>
      <c r="F58" s="14"/>
      <c r="G58" s="20"/>
    </row>
    <row r="59" spans="1:7">
      <c r="A59" s="14"/>
      <c r="B59" s="16"/>
      <c r="C59" s="17"/>
      <c r="D59" s="17"/>
      <c r="E59" s="17"/>
      <c r="F59" s="14"/>
      <c r="G59" s="20"/>
    </row>
    <row r="60" spans="1:7">
      <c r="A60" s="14"/>
      <c r="B60" s="16"/>
      <c r="C60" s="17"/>
      <c r="D60" s="17"/>
      <c r="E60" s="17"/>
      <c r="F60" s="14"/>
      <c r="G60" s="20"/>
    </row>
    <row r="61" spans="1:7">
      <c r="A61" s="14"/>
      <c r="B61" s="16"/>
      <c r="C61" s="17"/>
      <c r="D61" s="17"/>
      <c r="E61" s="17"/>
      <c r="F61" s="14"/>
      <c r="G61" s="20"/>
    </row>
    <row r="62" spans="1:7">
      <c r="A62" s="14"/>
      <c r="B62" s="16"/>
      <c r="C62" s="17"/>
      <c r="D62" s="17"/>
      <c r="E62" s="17"/>
      <c r="F62" s="14"/>
      <c r="G62" s="20"/>
    </row>
    <row r="63" spans="1:7">
      <c r="A63" s="14"/>
      <c r="B63" s="16"/>
      <c r="C63" s="17"/>
      <c r="D63" s="17"/>
      <c r="E63" s="17"/>
      <c r="F63" s="14"/>
      <c r="G63" s="20"/>
    </row>
    <row r="64" spans="1:7">
      <c r="A64" s="14"/>
      <c r="B64" s="16"/>
      <c r="C64" s="17"/>
      <c r="D64" s="17"/>
      <c r="E64" s="17"/>
      <c r="F64" s="14"/>
      <c r="G64" s="20"/>
    </row>
    <row r="65" spans="1:7">
      <c r="A65" s="14"/>
      <c r="B65" s="16"/>
      <c r="C65" s="17"/>
      <c r="D65" s="17"/>
      <c r="E65" s="17"/>
      <c r="F65" s="14"/>
      <c r="G65" s="20"/>
    </row>
    <row r="66" spans="1:7">
      <c r="A66" s="14"/>
      <c r="B66" s="16"/>
      <c r="C66" s="17"/>
      <c r="D66" s="17"/>
      <c r="E66" s="17"/>
      <c r="F66" s="14"/>
      <c r="G66" s="20"/>
    </row>
    <row r="67" spans="1:7">
      <c r="A67" s="14"/>
      <c r="B67" s="16"/>
      <c r="C67" s="17"/>
      <c r="D67" s="17"/>
      <c r="E67" s="17"/>
      <c r="F67" s="14"/>
      <c r="G67" s="20"/>
    </row>
    <row r="68" spans="1:7">
      <c r="A68" s="14"/>
      <c r="B68" s="16"/>
      <c r="C68" s="17"/>
      <c r="D68" s="17"/>
      <c r="E68" s="17"/>
      <c r="F68" s="14"/>
      <c r="G68" s="20"/>
    </row>
    <row r="69" spans="1:7">
      <c r="A69" s="14"/>
      <c r="B69" s="16"/>
      <c r="C69" s="17"/>
      <c r="D69" s="17"/>
      <c r="E69" s="17"/>
      <c r="F69" s="14"/>
      <c r="G69" s="20"/>
    </row>
    <row r="70" spans="1:7">
      <c r="A70" s="14"/>
      <c r="B70" s="16"/>
      <c r="C70" s="17"/>
      <c r="D70" s="17"/>
      <c r="E70" s="17"/>
      <c r="F70" s="14"/>
      <c r="G70" s="20"/>
    </row>
    <row r="71" spans="1:7">
      <c r="A71" s="14"/>
      <c r="B71" s="16"/>
      <c r="C71" s="17"/>
      <c r="D71" s="17"/>
      <c r="E71" s="17"/>
      <c r="F71" s="14"/>
      <c r="G71" s="20"/>
    </row>
    <row r="72" spans="1:7">
      <c r="A72" s="14"/>
      <c r="B72" s="16"/>
      <c r="C72" s="17"/>
      <c r="D72" s="17"/>
      <c r="E72" s="17"/>
      <c r="F72" s="14"/>
      <c r="G72" s="20"/>
    </row>
    <row r="73" spans="1:7">
      <c r="A73" s="14"/>
      <c r="B73" s="16"/>
      <c r="C73" s="17"/>
      <c r="D73" s="17"/>
      <c r="E73" s="17"/>
      <c r="F73" s="14"/>
      <c r="G73" s="20"/>
    </row>
    <row r="74" spans="1:7">
      <c r="A74" s="14"/>
      <c r="B74" s="16"/>
      <c r="C74" s="17"/>
      <c r="D74" s="17"/>
      <c r="E74" s="17"/>
      <c r="F74" s="14"/>
      <c r="G74" s="20"/>
    </row>
    <row r="75" spans="1:7">
      <c r="A75" s="14"/>
      <c r="B75" s="16"/>
      <c r="C75" s="17"/>
      <c r="D75" s="17"/>
      <c r="E75" s="17"/>
      <c r="F75" s="14"/>
      <c r="G75" s="20"/>
    </row>
    <row r="76" spans="1:7">
      <c r="A76" s="14"/>
      <c r="B76" s="16"/>
      <c r="C76" s="17"/>
      <c r="D76" s="17"/>
      <c r="E76" s="17"/>
      <c r="F76" s="14"/>
      <c r="G76" s="20"/>
    </row>
    <row r="77" spans="1:7">
      <c r="A77" s="14"/>
      <c r="B77" s="16"/>
      <c r="C77" s="17"/>
      <c r="D77" s="17"/>
      <c r="E77" s="17"/>
      <c r="F77" s="14"/>
      <c r="G77" s="20"/>
    </row>
    <row r="78" spans="1:7">
      <c r="A78" s="14"/>
      <c r="B78" s="16"/>
      <c r="C78" s="17"/>
      <c r="D78" s="17"/>
      <c r="E78" s="17"/>
      <c r="F78" s="14"/>
      <c r="G78" s="20"/>
    </row>
    <row r="79" spans="1:7">
      <c r="A79" s="14"/>
      <c r="B79" s="16"/>
      <c r="C79" s="17"/>
      <c r="D79" s="17"/>
      <c r="E79" s="17"/>
      <c r="F79" s="14"/>
      <c r="G79" s="20"/>
    </row>
    <row r="80" spans="1:7">
      <c r="A80" s="14"/>
      <c r="B80" s="16"/>
      <c r="C80" s="17"/>
      <c r="D80" s="17"/>
      <c r="E80" s="17"/>
      <c r="F80" s="14"/>
      <c r="G80" s="20"/>
    </row>
    <row r="81" spans="1:7">
      <c r="A81" s="14"/>
      <c r="B81" s="16"/>
      <c r="C81" s="17"/>
      <c r="D81" s="17"/>
      <c r="E81" s="17"/>
      <c r="F81" s="14"/>
      <c r="G81" s="20"/>
    </row>
    <row r="82" spans="1:7">
      <c r="A82" s="14"/>
      <c r="B82" s="16"/>
      <c r="C82" s="17"/>
      <c r="D82" s="17"/>
      <c r="E82" s="17"/>
      <c r="F82" s="14"/>
      <c r="G82" s="20"/>
    </row>
    <row r="83" spans="1:7">
      <c r="A83" s="14"/>
      <c r="B83" s="16"/>
      <c r="C83" s="17"/>
      <c r="D83" s="17"/>
      <c r="E83" s="17"/>
      <c r="F83" s="14"/>
      <c r="G83" s="20"/>
    </row>
    <row r="84" spans="1:7">
      <c r="A84" s="14"/>
      <c r="B84" s="16"/>
      <c r="C84" s="17"/>
      <c r="D84" s="17"/>
      <c r="E84" s="17"/>
      <c r="F84" s="14"/>
      <c r="G84" s="20"/>
    </row>
    <row r="85" spans="1:7">
      <c r="A85" s="14"/>
      <c r="B85" s="16"/>
      <c r="C85" s="17"/>
      <c r="D85" s="17"/>
      <c r="E85" s="17"/>
      <c r="F85" s="14"/>
      <c r="G85" s="20"/>
    </row>
    <row r="86" spans="1:7">
      <c r="A86" s="14"/>
      <c r="B86" s="16"/>
      <c r="C86" s="17"/>
      <c r="D86" s="17"/>
      <c r="E86" s="17"/>
      <c r="F86" s="14"/>
      <c r="G86" s="20"/>
    </row>
    <row r="87" spans="1:7">
      <c r="A87" s="14"/>
      <c r="B87" s="16"/>
      <c r="C87" s="17"/>
      <c r="D87" s="17"/>
      <c r="E87" s="17"/>
      <c r="F87" s="14"/>
      <c r="G87" s="20"/>
    </row>
    <row r="88" spans="1:7">
      <c r="A88" s="14"/>
      <c r="B88" s="16"/>
      <c r="C88" s="17"/>
      <c r="D88" s="17"/>
      <c r="E88" s="17"/>
      <c r="F88" s="14"/>
      <c r="G88" s="20"/>
    </row>
    <row r="89" spans="1:7">
      <c r="A89" s="14"/>
      <c r="B89" s="16"/>
      <c r="C89" s="17"/>
      <c r="D89" s="17"/>
      <c r="E89" s="17"/>
      <c r="F89" s="14"/>
      <c r="G89" s="20"/>
    </row>
    <row r="90" spans="1:7">
      <c r="A90" s="14"/>
      <c r="B90" s="16"/>
      <c r="C90" s="17"/>
      <c r="D90" s="17"/>
      <c r="E90" s="17"/>
      <c r="F90" s="14"/>
      <c r="G90" s="20"/>
    </row>
    <row r="91" spans="1:7">
      <c r="A91" s="14"/>
      <c r="B91" s="16"/>
      <c r="C91" s="17"/>
      <c r="D91" s="17"/>
      <c r="E91" s="17"/>
      <c r="F91" s="14"/>
      <c r="G91" s="20"/>
    </row>
    <row r="92" spans="1:7">
      <c r="A92" s="14"/>
      <c r="B92" s="16"/>
      <c r="C92" s="17"/>
      <c r="D92" s="17"/>
      <c r="E92" s="17"/>
      <c r="F92" s="14"/>
      <c r="G92" s="20"/>
    </row>
    <row r="93" spans="1:7">
      <c r="A93" s="14"/>
      <c r="B93" s="16"/>
      <c r="C93" s="17"/>
      <c r="D93" s="17"/>
      <c r="E93" s="17"/>
      <c r="F93" s="14"/>
      <c r="G93" s="20"/>
    </row>
    <row r="94" spans="1:7">
      <c r="A94" s="14"/>
      <c r="B94" s="16"/>
      <c r="C94" s="17"/>
      <c r="D94" s="17"/>
      <c r="E94" s="17"/>
      <c r="F94" s="14"/>
      <c r="G94" s="20"/>
    </row>
    <row r="95" spans="1:7">
      <c r="A95" s="14"/>
      <c r="B95" s="16"/>
      <c r="C95" s="17"/>
      <c r="D95" s="17"/>
      <c r="E95" s="17"/>
      <c r="F95" s="14"/>
      <c r="G95" s="20"/>
    </row>
    <row r="96" spans="1:7">
      <c r="A96" s="14"/>
      <c r="B96" s="16"/>
      <c r="C96" s="17"/>
      <c r="D96" s="17"/>
      <c r="E96" s="17"/>
      <c r="F96" s="14"/>
      <c r="G96" s="20"/>
    </row>
    <row r="97" spans="1:7">
      <c r="A97" s="14"/>
      <c r="B97" s="16"/>
      <c r="C97" s="17"/>
      <c r="D97" s="17"/>
      <c r="E97" s="17"/>
      <c r="F97" s="14"/>
      <c r="G97" s="20"/>
    </row>
    <row r="98" spans="1:7">
      <c r="A98" s="14"/>
      <c r="B98" s="16"/>
      <c r="C98" s="17"/>
      <c r="D98" s="17"/>
      <c r="E98" s="17"/>
      <c r="F98" s="14"/>
      <c r="G98" s="20"/>
    </row>
    <row r="99" spans="1:7">
      <c r="A99" s="14"/>
      <c r="B99" s="16"/>
      <c r="C99" s="17"/>
      <c r="D99" s="17"/>
      <c r="E99" s="17"/>
      <c r="F99" s="14"/>
      <c r="G99" s="20"/>
    </row>
    <row r="100" spans="1:7">
      <c r="A100" s="14"/>
      <c r="B100" s="16"/>
      <c r="C100" s="17"/>
      <c r="D100" s="17"/>
      <c r="E100" s="17"/>
      <c r="F100" s="14"/>
      <c r="G100" s="20"/>
    </row>
    <row r="101" spans="1:7">
      <c r="A101" s="14"/>
      <c r="B101" s="16"/>
      <c r="C101" s="17"/>
      <c r="D101" s="17"/>
      <c r="E101" s="17"/>
      <c r="F101" s="14"/>
      <c r="G101" s="20"/>
    </row>
    <row r="102" spans="1:7">
      <c r="A102" s="14"/>
      <c r="B102" s="16"/>
      <c r="C102" s="17"/>
      <c r="D102" s="17"/>
      <c r="E102" s="17"/>
      <c r="F102" s="14"/>
      <c r="G102" s="20"/>
    </row>
    <row r="103" spans="1:7">
      <c r="A103" s="14"/>
      <c r="B103" s="16"/>
      <c r="C103" s="17"/>
      <c r="D103" s="17"/>
      <c r="E103" s="17"/>
      <c r="F103" s="14"/>
      <c r="G103" s="20"/>
    </row>
    <row r="104" spans="1:7">
      <c r="A104" s="14"/>
      <c r="B104" s="16"/>
      <c r="C104" s="17"/>
      <c r="D104" s="17"/>
      <c r="E104" s="17"/>
      <c r="F104" s="14"/>
      <c r="G104" s="20"/>
    </row>
    <row r="105" spans="1:7">
      <c r="A105" s="14"/>
      <c r="B105" s="16"/>
      <c r="C105" s="17"/>
      <c r="D105" s="17"/>
      <c r="E105" s="17"/>
      <c r="F105" s="14"/>
      <c r="G105" s="20"/>
    </row>
    <row r="106" spans="1:7">
      <c r="A106" s="14"/>
      <c r="B106" s="16"/>
      <c r="C106" s="17"/>
      <c r="D106" s="17"/>
      <c r="E106" s="17"/>
      <c r="F106" s="14"/>
      <c r="G106" s="20"/>
    </row>
    <row r="107" spans="1:7">
      <c r="A107" s="14"/>
      <c r="B107" s="16"/>
      <c r="C107" s="17"/>
      <c r="D107" s="17"/>
      <c r="E107" s="17"/>
      <c r="F107" s="14"/>
      <c r="G107" s="20"/>
    </row>
    <row r="108" spans="1:7">
      <c r="A108" s="14"/>
      <c r="B108" s="16"/>
      <c r="C108" s="17"/>
      <c r="D108" s="17"/>
      <c r="E108" s="17"/>
      <c r="F108" s="14"/>
      <c r="G108" s="20"/>
    </row>
    <row r="109" spans="1:7">
      <c r="A109" s="14"/>
      <c r="B109" s="16"/>
      <c r="C109" s="17"/>
      <c r="D109" s="17"/>
      <c r="E109" s="17"/>
      <c r="F109" s="14"/>
      <c r="G109" s="20"/>
    </row>
    <row r="110" spans="1:7">
      <c r="A110" s="14"/>
      <c r="B110" s="16"/>
      <c r="C110" s="17"/>
      <c r="D110" s="17"/>
      <c r="E110" s="17"/>
      <c r="F110" s="14"/>
      <c r="G110" s="20"/>
    </row>
    <row r="111" spans="1:7">
      <c r="A111" s="14"/>
      <c r="B111" s="16"/>
      <c r="C111" s="17"/>
      <c r="D111" s="17"/>
      <c r="E111" s="17"/>
      <c r="F111" s="14"/>
      <c r="G111" s="20"/>
    </row>
    <row r="112" spans="1:7">
      <c r="A112" s="14"/>
      <c r="B112" s="16"/>
      <c r="C112" s="17"/>
      <c r="D112" s="17"/>
      <c r="E112" s="17"/>
      <c r="F112" s="14"/>
      <c r="G112" s="20"/>
    </row>
    <row r="113" spans="1:7">
      <c r="A113" s="14"/>
      <c r="B113" s="16"/>
      <c r="C113" s="17"/>
      <c r="D113" s="17"/>
      <c r="E113" s="17"/>
      <c r="F113" s="14"/>
      <c r="G113" s="20"/>
    </row>
    <row r="114" spans="1:7">
      <c r="A114" s="14"/>
      <c r="B114" s="16"/>
      <c r="C114" s="17"/>
      <c r="D114" s="17"/>
      <c r="E114" s="17"/>
      <c r="F114" s="14"/>
      <c r="G114" s="20"/>
    </row>
    <row r="115" spans="1:7">
      <c r="A115" s="14"/>
      <c r="B115" s="16"/>
      <c r="C115" s="17"/>
      <c r="D115" s="17"/>
      <c r="E115" s="17"/>
      <c r="F115" s="14"/>
      <c r="G115" s="20"/>
    </row>
    <row r="116" spans="1:7">
      <c r="A116" s="14"/>
      <c r="B116" s="16"/>
      <c r="C116" s="17"/>
      <c r="D116" s="17"/>
      <c r="E116" s="17"/>
      <c r="F116" s="14"/>
      <c r="G116" s="20"/>
    </row>
    <row r="117" spans="1:7">
      <c r="A117" s="14"/>
      <c r="B117" s="16"/>
      <c r="C117" s="17"/>
      <c r="D117" s="17"/>
      <c r="E117" s="17"/>
      <c r="F117" s="14"/>
      <c r="G117" s="20"/>
    </row>
    <row r="118" spans="1:7">
      <c r="A118" s="14"/>
      <c r="B118" s="16"/>
      <c r="C118" s="17"/>
      <c r="D118" s="17"/>
      <c r="E118" s="17"/>
      <c r="F118" s="14"/>
      <c r="G118" s="20"/>
    </row>
    <row r="119" spans="1:7">
      <c r="A119" s="14"/>
      <c r="B119" s="16"/>
      <c r="C119" s="17"/>
      <c r="D119" s="17"/>
      <c r="E119" s="17"/>
      <c r="F119" s="14"/>
      <c r="G119" s="20"/>
    </row>
    <row r="120" spans="1:7">
      <c r="A120" s="14"/>
      <c r="B120" s="16"/>
      <c r="C120" s="17"/>
      <c r="D120" s="17"/>
      <c r="E120" s="17"/>
      <c r="F120" s="14"/>
      <c r="G120" s="20"/>
    </row>
    <row r="121" spans="1:7">
      <c r="A121" s="14"/>
      <c r="B121" s="16"/>
      <c r="C121" s="17"/>
      <c r="D121" s="17"/>
      <c r="E121" s="17"/>
      <c r="F121" s="14"/>
      <c r="G121" s="20"/>
    </row>
    <row r="122" spans="1:7">
      <c r="A122" s="14"/>
      <c r="B122" s="16"/>
      <c r="C122" s="17"/>
      <c r="D122" s="17"/>
      <c r="E122" s="17"/>
      <c r="F122" s="14"/>
      <c r="G122" s="20"/>
    </row>
    <row r="123" spans="1:7">
      <c r="A123" s="14"/>
      <c r="B123" s="16"/>
      <c r="C123" s="17"/>
      <c r="D123" s="17"/>
      <c r="E123" s="17"/>
      <c r="F123" s="14"/>
      <c r="G123" s="20"/>
    </row>
    <row r="124" spans="1:7">
      <c r="A124" s="14"/>
      <c r="B124" s="16"/>
      <c r="C124" s="17"/>
      <c r="D124" s="17"/>
      <c r="E124" s="17"/>
      <c r="F124" s="14"/>
      <c r="G124" s="20"/>
    </row>
    <row r="125" spans="1:7">
      <c r="A125" s="14"/>
      <c r="B125" s="16"/>
      <c r="C125" s="17"/>
      <c r="D125" s="17"/>
      <c r="E125" s="17"/>
      <c r="F125" s="14"/>
      <c r="G125" s="20"/>
    </row>
    <row r="126" spans="1:7">
      <c r="A126" s="14"/>
      <c r="B126" s="16"/>
      <c r="C126" s="17"/>
      <c r="D126" s="17"/>
      <c r="E126" s="17"/>
      <c r="F126" s="14"/>
      <c r="G126" s="20"/>
    </row>
    <row r="127" spans="1:7">
      <c r="A127" s="14"/>
      <c r="B127" s="16"/>
      <c r="C127" s="17"/>
      <c r="D127" s="17"/>
      <c r="E127" s="17"/>
      <c r="F127" s="14"/>
      <c r="G127" s="20"/>
    </row>
    <row r="128" spans="1:7">
      <c r="A128" s="14"/>
      <c r="B128" s="16"/>
      <c r="C128" s="17"/>
      <c r="D128" s="17"/>
      <c r="E128" s="17"/>
      <c r="F128" s="14"/>
      <c r="G128" s="20"/>
    </row>
    <row r="129" spans="1:7">
      <c r="A129" s="14"/>
      <c r="B129" s="16"/>
      <c r="C129" s="17"/>
      <c r="D129" s="17"/>
      <c r="E129" s="17"/>
      <c r="F129" s="14"/>
      <c r="G129" s="20"/>
    </row>
    <row r="130" spans="1:7">
      <c r="A130" s="14"/>
      <c r="B130" s="16"/>
      <c r="C130" s="17"/>
      <c r="D130" s="17"/>
      <c r="E130" s="17"/>
      <c r="F130" s="14"/>
      <c r="G130" s="20"/>
    </row>
    <row r="131" spans="1:7">
      <c r="A131" s="14"/>
      <c r="B131" s="16"/>
      <c r="C131" s="17"/>
      <c r="D131" s="17"/>
      <c r="E131" s="17"/>
      <c r="F131" s="14"/>
      <c r="G131" s="20"/>
    </row>
    <row r="132" spans="1:7">
      <c r="A132" s="14"/>
      <c r="B132" s="16"/>
      <c r="C132" s="17"/>
      <c r="D132" s="17"/>
      <c r="E132" s="17"/>
      <c r="F132" s="14"/>
      <c r="G132" s="20"/>
    </row>
    <row r="133" spans="1:7">
      <c r="A133" s="14"/>
      <c r="B133" s="16"/>
      <c r="C133" s="17"/>
      <c r="D133" s="17"/>
      <c r="E133" s="17"/>
      <c r="F133" s="14"/>
      <c r="G133" s="20"/>
    </row>
    <row r="134" spans="1:7">
      <c r="A134" s="14"/>
      <c r="B134" s="16"/>
      <c r="C134" s="17"/>
      <c r="D134" s="17"/>
      <c r="E134" s="17"/>
      <c r="F134" s="14"/>
      <c r="G134" s="20"/>
    </row>
    <row r="135" spans="1:7">
      <c r="A135" s="14"/>
      <c r="B135" s="16"/>
      <c r="C135" s="17"/>
      <c r="D135" s="17"/>
      <c r="E135" s="17"/>
      <c r="F135" s="14"/>
      <c r="G135" s="20"/>
    </row>
    <row r="136" spans="1:7">
      <c r="A136" s="14"/>
      <c r="B136" s="16"/>
      <c r="C136" s="17"/>
      <c r="D136" s="17"/>
      <c r="E136" s="17"/>
      <c r="F136" s="14"/>
      <c r="G136" s="20"/>
    </row>
    <row r="137" spans="1:7">
      <c r="A137" s="14"/>
      <c r="B137" s="16"/>
      <c r="C137" s="17"/>
      <c r="D137" s="17"/>
      <c r="E137" s="17"/>
      <c r="F137" s="14"/>
      <c r="G137" s="20"/>
    </row>
    <row r="138" spans="1:7">
      <c r="A138" s="14"/>
      <c r="B138" s="16"/>
      <c r="C138" s="17"/>
      <c r="D138" s="17"/>
      <c r="E138" s="17"/>
      <c r="F138" s="14"/>
      <c r="G138" s="20"/>
    </row>
    <row r="139" spans="1:7">
      <c r="A139" s="14"/>
      <c r="B139" s="16"/>
      <c r="C139" s="17"/>
      <c r="D139" s="17"/>
      <c r="E139" s="17"/>
      <c r="F139" s="14"/>
      <c r="G139" s="20"/>
    </row>
    <row r="140" spans="1:7">
      <c r="A140" s="14"/>
      <c r="B140" s="16"/>
      <c r="C140" s="17"/>
      <c r="D140" s="17"/>
      <c r="E140" s="17"/>
      <c r="F140" s="14"/>
      <c r="G140" s="20"/>
    </row>
    <row r="141" spans="1:7">
      <c r="A141" s="14"/>
      <c r="B141" s="16"/>
      <c r="C141" s="17"/>
      <c r="D141" s="17"/>
      <c r="E141" s="17"/>
      <c r="F141" s="14"/>
      <c r="G141" s="20"/>
    </row>
    <row r="142" spans="1:7">
      <c r="A142" s="48"/>
      <c r="B142" s="85"/>
      <c r="C142" s="87"/>
      <c r="D142" s="87"/>
      <c r="E142" s="87"/>
      <c r="F142" s="48"/>
    </row>
    <row r="1000" spans="648:648" ht="15.5">
      <c r="XX1000" s="104">
        <v>56981</v>
      </c>
    </row>
  </sheetData>
  <sheetProtection algorithmName="SHA-512" hashValue="qdOesrEzNe7ADhKKmz85cCBkTHCyHV3BpPcXfg0Gk+qHgonPLIyOhS+THOKJlTEH92BGqPSUKHeF1gQ7w8KmOw==" saltValue="sYqQv/ki7wBYZeU1M8e9aA==" spinCount="100000" sheet="1" objects="1" scenarios="1"/>
  <mergeCells count="2">
    <mergeCell ref="C7:C8"/>
    <mergeCell ref="D7:D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D7AED-7FC4-428D-813D-0B28373AF508}">
  <sheetPr codeName="Sheet12"/>
  <dimension ref="A1:XX1000"/>
  <sheetViews>
    <sheetView workbookViewId="0">
      <selection activeCell="C1" sqref="C1"/>
    </sheetView>
  </sheetViews>
  <sheetFormatPr defaultColWidth="0" defaultRowHeight="14.9" customHeight="1" zeroHeight="1"/>
  <cols>
    <col min="1" max="1" width="3.26953125" style="4" customWidth="1"/>
    <col min="2" max="2" width="24.7265625" style="4" customWidth="1"/>
    <col min="3" max="3" width="14.36328125" style="4" customWidth="1"/>
    <col min="4" max="4" width="17.7265625" style="4" bestFit="1" customWidth="1"/>
    <col min="5" max="5" width="17.7265625" style="4" customWidth="1"/>
    <col min="6" max="6" width="16.36328125" style="4" hidden="1" customWidth="1"/>
    <col min="7" max="7" width="18.26953125" style="4" hidden="1" customWidth="1"/>
    <col min="8" max="8" width="3.26953125" style="4" customWidth="1"/>
    <col min="9" max="16384" width="8.7265625" style="4" hidden="1"/>
  </cols>
  <sheetData>
    <row r="1" spans="1:8" ht="14.5">
      <c r="A1" s="14"/>
      <c r="B1" s="14"/>
      <c r="C1" s="14"/>
      <c r="D1" s="14"/>
      <c r="E1" s="14"/>
      <c r="F1" s="14"/>
      <c r="G1" s="14"/>
      <c r="H1" s="48"/>
    </row>
    <row r="2" spans="1:8" ht="18.5">
      <c r="A2" s="14"/>
      <c r="B2" s="49" t="str">
        <f>"Results for "&amp;FileName&amp;""</f>
        <v>Results for MECC Project Your Budget</v>
      </c>
      <c r="C2" s="14"/>
      <c r="D2" s="14"/>
      <c r="E2" s="14"/>
      <c r="F2" s="14"/>
      <c r="G2" s="14"/>
      <c r="H2" s="48"/>
    </row>
    <row r="3" spans="1:8" ht="14.5">
      <c r="A3" s="14"/>
      <c r="B3" s="18"/>
      <c r="C3" s="14"/>
      <c r="D3" s="14"/>
      <c r="E3" s="14"/>
      <c r="F3" s="14"/>
      <c r="G3" s="14"/>
      <c r="H3" s="48"/>
    </row>
    <row r="4" spans="1:8" ht="18.5">
      <c r="A4" s="14"/>
      <c r="B4" s="50" t="s">
        <v>149</v>
      </c>
      <c r="C4" s="51">
        <f ca="1">COUNTIF(C8:C239,TRUE)</f>
        <v>32</v>
      </c>
      <c r="D4" s="14"/>
      <c r="E4" s="14"/>
      <c r="F4" s="14"/>
      <c r="G4" s="14"/>
      <c r="H4" s="48"/>
    </row>
    <row r="5" spans="1:8" ht="18.5">
      <c r="A5" s="14"/>
      <c r="B5" s="50" t="s">
        <v>150</v>
      </c>
      <c r="C5" s="52">
        <f ca="1">CurrentScore/COUNT(B8:B239)</f>
        <v>1</v>
      </c>
      <c r="D5" s="18"/>
      <c r="E5" s="18"/>
      <c r="F5" s="18"/>
      <c r="G5" s="18"/>
      <c r="H5" s="48"/>
    </row>
    <row r="6" spans="1:8" ht="14.5">
      <c r="A6" s="14"/>
      <c r="B6" s="14"/>
      <c r="C6" s="18"/>
      <c r="D6" s="14"/>
      <c r="E6" s="14"/>
      <c r="F6" s="14"/>
      <c r="G6" s="14"/>
      <c r="H6" s="48"/>
    </row>
    <row r="7" spans="1:8" ht="14.5">
      <c r="A7" s="14"/>
      <c r="B7" s="53" t="s">
        <v>151</v>
      </c>
      <c r="C7" s="53" t="s">
        <v>81</v>
      </c>
      <c r="D7" s="14"/>
      <c r="E7" s="14"/>
      <c r="F7" s="14"/>
      <c r="G7" s="14"/>
      <c r="H7" s="48"/>
    </row>
    <row r="8" spans="1:8" ht="14.5">
      <c r="A8" s="14"/>
      <c r="B8" s="18">
        <v>1</v>
      </c>
      <c r="C8" s="18" t="b" cm="1">
        <f t="array" aca="1" ref="C8" ca="1">IFERROR(CheckAnswer(INDIRECT("'"&amp;BackgroundCalcs!AV2&amp;"'!"&amp;BackgroundCalcs!AX2),INDIRECT("'"&amp;BackgroundCalcs!AV2&amp;"'!"&amp;BackgroundCalcs!AW2)),FALSE)</f>
        <v>1</v>
      </c>
      <c r="D8" s="54"/>
      <c r="E8" s="18"/>
      <c r="F8" s="14"/>
      <c r="G8" s="18"/>
      <c r="H8" s="48"/>
    </row>
    <row r="9" spans="1:8" ht="14.5">
      <c r="A9" s="14"/>
      <c r="B9" s="18">
        <v>2</v>
      </c>
      <c r="C9" s="18" t="b" cm="1">
        <f t="array" aca="1" ref="C9" ca="1">IFERROR(CheckAnswer(INDIRECT("'"&amp;BackgroundCalcs!AV3&amp;"'!"&amp;BackgroundCalcs!AX3),INDIRECT("'"&amp;BackgroundCalcs!AV3&amp;"'!"&amp;BackgroundCalcs!AW3)),FALSE)</f>
        <v>1</v>
      </c>
      <c r="D9" s="16"/>
      <c r="E9" s="16"/>
      <c r="F9" s="17"/>
      <c r="G9" s="17"/>
      <c r="H9" s="48"/>
    </row>
    <row r="10" spans="1:8" ht="14.5">
      <c r="A10" s="14"/>
      <c r="B10" s="18">
        <v>3</v>
      </c>
      <c r="C10" s="18" t="b" cm="1">
        <f t="array" aca="1" ref="C10" ca="1">IFERROR(CheckAnswer(INDIRECT("'"&amp;BackgroundCalcs!AV4&amp;"'!"&amp;BackgroundCalcs!AX4),INDIRECT("'"&amp;BackgroundCalcs!AV4&amp;"'!"&amp;BackgroundCalcs!AW4)),FALSE)</f>
        <v>1</v>
      </c>
      <c r="D10" s="14"/>
      <c r="E10" s="14"/>
      <c r="F10" s="14"/>
      <c r="G10" s="14"/>
      <c r="H10" s="48"/>
    </row>
    <row r="11" spans="1:8" ht="14.5">
      <c r="A11" s="14"/>
      <c r="B11" s="18">
        <v>4</v>
      </c>
      <c r="C11" s="18" t="b" cm="1">
        <f t="array" aca="1" ref="C11" ca="1">IFERROR(CheckAnswer(INDIRECT("'"&amp;BackgroundCalcs!AV5&amp;"'!"&amp;BackgroundCalcs!AX5),INDIRECT("'"&amp;BackgroundCalcs!AV5&amp;"'!"&amp;BackgroundCalcs!AW5)),FALSE)</f>
        <v>1</v>
      </c>
      <c r="D11" s="16"/>
      <c r="E11" s="16"/>
      <c r="F11" s="17"/>
      <c r="G11" s="17"/>
      <c r="H11" s="48"/>
    </row>
    <row r="12" spans="1:8" ht="14.5">
      <c r="A12" s="14"/>
      <c r="B12" s="18">
        <v>5</v>
      </c>
      <c r="C12" s="18" t="b" cm="1">
        <f t="array" aca="1" ref="C12" ca="1">IFERROR(CheckAnswer(INDIRECT("'"&amp;BackgroundCalcs!AV6&amp;"'!"&amp;BackgroundCalcs!AX6),INDIRECT("'"&amp;BackgroundCalcs!AV6&amp;"'!"&amp;BackgroundCalcs!AW6)),FALSE)</f>
        <v>1</v>
      </c>
      <c r="D12" s="16"/>
      <c r="E12" s="16"/>
      <c r="F12" s="17"/>
      <c r="G12" s="17"/>
      <c r="H12" s="48"/>
    </row>
    <row r="13" spans="1:8" ht="14.5">
      <c r="A13" s="14"/>
      <c r="B13" s="18">
        <v>6</v>
      </c>
      <c r="C13" s="18" t="b" cm="1">
        <f t="array" aca="1" ref="C13" ca="1">IFERROR(CheckAnswer(INDIRECT("'"&amp;BackgroundCalcs!AV7&amp;"'!"&amp;BackgroundCalcs!AX7),INDIRECT("'"&amp;BackgroundCalcs!AV7&amp;"'!"&amp;BackgroundCalcs!AW7)),FALSE)</f>
        <v>1</v>
      </c>
      <c r="D13" s="16"/>
      <c r="E13" s="16"/>
      <c r="F13" s="17"/>
      <c r="G13" s="17"/>
      <c r="H13" s="48"/>
    </row>
    <row r="14" spans="1:8" ht="14.5">
      <c r="A14" s="14"/>
      <c r="B14" s="18">
        <v>7</v>
      </c>
      <c r="C14" s="18" t="b" cm="1">
        <f t="array" aca="1" ref="C14" ca="1">IFERROR(CheckAnswer(INDIRECT("'"&amp;BackgroundCalcs!AV8&amp;"'!"&amp;BackgroundCalcs!AX8),INDIRECT("'"&amp;BackgroundCalcs!AV8&amp;"'!"&amp;BackgroundCalcs!AW8)),FALSE)</f>
        <v>1</v>
      </c>
      <c r="D14" s="16"/>
      <c r="E14" s="16"/>
      <c r="F14" s="17"/>
      <c r="G14" s="17"/>
      <c r="H14" s="48"/>
    </row>
    <row r="15" spans="1:8" ht="14.5">
      <c r="A15" s="14"/>
      <c r="B15" s="18">
        <v>8</v>
      </c>
      <c r="C15" s="18" t="b" cm="1">
        <f t="array" aca="1" ref="C15" ca="1">IFERROR(CheckAnswer(INDIRECT("'"&amp;BackgroundCalcs!AV9&amp;"'!"&amp;BackgroundCalcs!AX9),INDIRECT("'"&amp;BackgroundCalcs!AV9&amp;"'!"&amp;BackgroundCalcs!AW9)),FALSE)</f>
        <v>1</v>
      </c>
      <c r="D15" s="16"/>
      <c r="E15" s="16"/>
      <c r="F15" s="17"/>
      <c r="G15" s="17"/>
      <c r="H15" s="48"/>
    </row>
    <row r="16" spans="1:8" ht="14.5">
      <c r="A16" s="14"/>
      <c r="B16" s="18">
        <v>9</v>
      </c>
      <c r="C16" s="18" t="b" cm="1">
        <f t="array" aca="1" ref="C16" ca="1">IFERROR(CheckAnswer(INDIRECT("'"&amp;BackgroundCalcs!AV10&amp;"'!"&amp;BackgroundCalcs!AX10),INDIRECT("'"&amp;BackgroundCalcs!AV10&amp;"'!"&amp;BackgroundCalcs!AW10)),FALSE)</f>
        <v>1</v>
      </c>
      <c r="D16" s="16"/>
      <c r="E16" s="16"/>
      <c r="F16" s="17"/>
      <c r="G16" s="17"/>
      <c r="H16" s="48"/>
    </row>
    <row r="17" spans="1:8" ht="14.5">
      <c r="A17" s="14"/>
      <c r="B17" s="18">
        <v>10</v>
      </c>
      <c r="C17" s="18" t="b" cm="1">
        <f t="array" aca="1" ref="C17" ca="1">IFERROR(CheckAnswer(INDIRECT("'"&amp;BackgroundCalcs!AV11&amp;"'!"&amp;BackgroundCalcs!AX11),INDIRECT("'"&amp;BackgroundCalcs!AV11&amp;"'!"&amp;BackgroundCalcs!AW11)),FALSE)</f>
        <v>1</v>
      </c>
      <c r="D17" s="16"/>
      <c r="E17" s="16"/>
      <c r="F17" s="17"/>
      <c r="G17" s="17"/>
      <c r="H17" s="48"/>
    </row>
    <row r="18" spans="1:8" ht="14.5">
      <c r="A18" s="14"/>
      <c r="B18" s="18">
        <v>11</v>
      </c>
      <c r="C18" s="18" t="b" cm="1">
        <f t="array" aca="1" ref="C18" ca="1">IFERROR(CheckAnswer(INDIRECT("'"&amp;BackgroundCalcs!AV12&amp;"'!"&amp;BackgroundCalcs!AX12),INDIRECT("'"&amp;BackgroundCalcs!AV12&amp;"'!"&amp;BackgroundCalcs!AW12)),FALSE)</f>
        <v>1</v>
      </c>
      <c r="D18" s="16"/>
      <c r="E18" s="16"/>
      <c r="F18" s="17"/>
      <c r="G18" s="17"/>
      <c r="H18" s="48"/>
    </row>
    <row r="19" spans="1:8" ht="14.5">
      <c r="A19" s="14"/>
      <c r="B19" s="18">
        <v>12</v>
      </c>
      <c r="C19" s="18" t="b" cm="1">
        <f t="array" aca="1" ref="C19" ca="1">IFERROR(CheckAnswer(INDIRECT("'"&amp;BackgroundCalcs!AV13&amp;"'!"&amp;BackgroundCalcs!AX13),INDIRECT("'"&amp;BackgroundCalcs!AV13&amp;"'!"&amp;BackgroundCalcs!AW13)),FALSE)</f>
        <v>1</v>
      </c>
      <c r="D19" s="16"/>
      <c r="E19" s="16"/>
      <c r="F19" s="17"/>
      <c r="G19" s="17"/>
      <c r="H19" s="48"/>
    </row>
    <row r="20" spans="1:8" ht="14.5">
      <c r="A20" s="14"/>
      <c r="B20" s="18">
        <v>13</v>
      </c>
      <c r="C20" s="18" t="b" cm="1">
        <f t="array" aca="1" ref="C20" ca="1">IFERROR(CheckAnswer(INDIRECT("'"&amp;BackgroundCalcs!AV14&amp;"'!"&amp;BackgroundCalcs!AX14),INDIRECT("'"&amp;BackgroundCalcs!AV14&amp;"'!"&amp;BackgroundCalcs!AW14)),FALSE)</f>
        <v>1</v>
      </c>
      <c r="D20" s="16"/>
      <c r="E20" s="16"/>
      <c r="F20" s="17"/>
      <c r="G20" s="17"/>
      <c r="H20" s="48"/>
    </row>
    <row r="21" spans="1:8" ht="14.5">
      <c r="A21" s="14"/>
      <c r="B21" s="18">
        <v>14</v>
      </c>
      <c r="C21" s="18" t="b" cm="1">
        <f t="array" aca="1" ref="C21" ca="1">IFERROR(CheckAnswer(INDIRECT("'"&amp;BackgroundCalcs!AV15&amp;"'!"&amp;BackgroundCalcs!AX15),INDIRECT("'"&amp;BackgroundCalcs!AV15&amp;"'!"&amp;BackgroundCalcs!AW15)),FALSE)</f>
        <v>1</v>
      </c>
      <c r="D21" s="16"/>
      <c r="E21" s="16"/>
      <c r="F21" s="17"/>
      <c r="G21" s="17"/>
      <c r="H21" s="48"/>
    </row>
    <row r="22" spans="1:8" ht="14.5">
      <c r="A22" s="14"/>
      <c r="B22" s="18">
        <v>15</v>
      </c>
      <c r="C22" s="18" t="b" cm="1">
        <f t="array" aca="1" ref="C22" ca="1">IFERROR(CheckAnswer(INDIRECT("'"&amp;BackgroundCalcs!AV16&amp;"'!"&amp;BackgroundCalcs!AX16),INDIRECT("'"&amp;BackgroundCalcs!AV16&amp;"'!"&amp;BackgroundCalcs!AW16)),FALSE)</f>
        <v>1</v>
      </c>
      <c r="D22" s="16"/>
      <c r="E22" s="16"/>
      <c r="F22" s="17"/>
      <c r="G22" s="17"/>
      <c r="H22" s="48"/>
    </row>
    <row r="23" spans="1:8" ht="14.5">
      <c r="A23" s="14"/>
      <c r="B23" s="18">
        <v>16</v>
      </c>
      <c r="C23" s="18" t="b" cm="1">
        <f t="array" aca="1" ref="C23" ca="1">IFERROR(CheckAnswer(INDIRECT("'"&amp;BackgroundCalcs!AV17&amp;"'!"&amp;BackgroundCalcs!AX17),INDIRECT("'"&amp;BackgroundCalcs!AV17&amp;"'!"&amp;BackgroundCalcs!AW17)),FALSE)</f>
        <v>1</v>
      </c>
      <c r="D23" s="16"/>
      <c r="E23" s="16"/>
      <c r="F23" s="17"/>
      <c r="G23" s="17"/>
      <c r="H23" s="48"/>
    </row>
    <row r="24" spans="1:8" ht="14.5">
      <c r="A24" s="14"/>
      <c r="B24" s="18">
        <v>17</v>
      </c>
      <c r="C24" s="18" t="b" cm="1">
        <f t="array" aca="1" ref="C24" ca="1">IFERROR(CheckAnswer(INDIRECT("'"&amp;BackgroundCalcs!AV18&amp;"'!"&amp;BackgroundCalcs!AX18),INDIRECT("'"&amp;BackgroundCalcs!AV18&amp;"'!"&amp;BackgroundCalcs!AW18)),FALSE)</f>
        <v>1</v>
      </c>
      <c r="D24" s="16"/>
      <c r="E24" s="16"/>
      <c r="F24" s="17"/>
      <c r="G24" s="17"/>
      <c r="H24" s="48"/>
    </row>
    <row r="25" spans="1:8" ht="14.5">
      <c r="A25" s="14"/>
      <c r="B25" s="18">
        <v>18</v>
      </c>
      <c r="C25" s="18" t="b" cm="1">
        <f t="array" aca="1" ref="C25" ca="1">IFERROR(CheckAnswer(INDIRECT("'"&amp;BackgroundCalcs!AV19&amp;"'!"&amp;BackgroundCalcs!AX19),INDIRECT("'"&amp;BackgroundCalcs!AV19&amp;"'!"&amp;BackgroundCalcs!AW19)),FALSE)</f>
        <v>1</v>
      </c>
      <c r="D25" s="16"/>
      <c r="E25" s="16"/>
      <c r="F25" s="17"/>
      <c r="G25" s="17"/>
      <c r="H25" s="48"/>
    </row>
    <row r="26" spans="1:8" ht="14.5">
      <c r="A26" s="14"/>
      <c r="B26" s="18">
        <v>19</v>
      </c>
      <c r="C26" s="18" t="b" cm="1">
        <f t="array" aca="1" ref="C26" ca="1">IFERROR(CheckAnswer(INDIRECT("'"&amp;BackgroundCalcs!AV20&amp;"'!"&amp;BackgroundCalcs!AX20),INDIRECT("'"&amp;BackgroundCalcs!AV20&amp;"'!"&amp;BackgroundCalcs!AW20)),FALSE)</f>
        <v>1</v>
      </c>
      <c r="D26" s="16"/>
      <c r="E26" s="16"/>
      <c r="F26" s="17"/>
      <c r="G26" s="17"/>
      <c r="H26" s="48"/>
    </row>
    <row r="27" spans="1:8" ht="14.5">
      <c r="A27" s="14"/>
      <c r="B27" s="18">
        <v>20</v>
      </c>
      <c r="C27" s="18" t="b" cm="1">
        <f t="array" aca="1" ref="C27" ca="1">IFERROR(CheckAnswer(INDIRECT("'"&amp;BackgroundCalcs!AV21&amp;"'!"&amp;BackgroundCalcs!AX21),INDIRECT("'"&amp;BackgroundCalcs!AV21&amp;"'!"&amp;BackgroundCalcs!AW21)),FALSE)</f>
        <v>1</v>
      </c>
      <c r="D27" s="16"/>
      <c r="E27" s="16"/>
      <c r="F27" s="17"/>
      <c r="G27" s="17"/>
      <c r="H27" s="48"/>
    </row>
    <row r="28" spans="1:8" ht="14.5">
      <c r="A28" s="14"/>
      <c r="B28" s="18">
        <v>21</v>
      </c>
      <c r="C28" s="18" t="b" cm="1">
        <f t="array" aca="1" ref="C28" ca="1">IFERROR(CheckAnswer(INDIRECT("'"&amp;BackgroundCalcs!AV22&amp;"'!"&amp;BackgroundCalcs!AX22),INDIRECT("'"&amp;BackgroundCalcs!AV22&amp;"'!"&amp;BackgroundCalcs!AW22)),FALSE)</f>
        <v>1</v>
      </c>
      <c r="D28" s="16"/>
      <c r="E28" s="16"/>
      <c r="F28" s="17"/>
      <c r="G28" s="17"/>
      <c r="H28" s="48"/>
    </row>
    <row r="29" spans="1:8" ht="14.5">
      <c r="A29" s="14"/>
      <c r="B29" s="18">
        <v>22</v>
      </c>
      <c r="C29" s="18" t="b" cm="1">
        <f t="array" aca="1" ref="C29" ca="1">IFERROR(CheckAnswer(INDIRECT("'"&amp;BackgroundCalcs!AV23&amp;"'!"&amp;BackgroundCalcs!AX23),INDIRECT("'"&amp;BackgroundCalcs!AV23&amp;"'!"&amp;BackgroundCalcs!AW23)),FALSE)</f>
        <v>1</v>
      </c>
      <c r="D29" s="16"/>
      <c r="E29" s="16"/>
      <c r="F29" s="17"/>
      <c r="G29" s="17"/>
      <c r="H29" s="48"/>
    </row>
    <row r="30" spans="1:8" ht="14.5">
      <c r="A30" s="14"/>
      <c r="B30" s="18">
        <v>23</v>
      </c>
      <c r="C30" s="18" t="b" cm="1">
        <f t="array" aca="1" ref="C30" ca="1">IFERROR(CheckAnswer(INDIRECT("'"&amp;BackgroundCalcs!AV24&amp;"'!"&amp;BackgroundCalcs!AX24),INDIRECT("'"&amp;BackgroundCalcs!AV24&amp;"'!"&amp;BackgroundCalcs!AW24)),FALSE)</f>
        <v>1</v>
      </c>
      <c r="D30" s="16"/>
      <c r="E30" s="16"/>
      <c r="F30" s="17"/>
      <c r="G30" s="17"/>
      <c r="H30" s="48"/>
    </row>
    <row r="31" spans="1:8" ht="14.5">
      <c r="A31" s="14"/>
      <c r="B31" s="18">
        <v>24</v>
      </c>
      <c r="C31" s="18" t="b" cm="1">
        <f t="array" aca="1" ref="C31" ca="1">IFERROR(CheckAnswer(INDIRECT("'"&amp;BackgroundCalcs!AV25&amp;"'!"&amp;BackgroundCalcs!AX25),INDIRECT("'"&amp;BackgroundCalcs!AV25&amp;"'!"&amp;BackgroundCalcs!AW25)),FALSE)</f>
        <v>1</v>
      </c>
      <c r="D31" s="16"/>
      <c r="E31" s="16"/>
      <c r="F31" s="17"/>
      <c r="G31" s="17"/>
      <c r="H31" s="48"/>
    </row>
    <row r="32" spans="1:8" ht="14.5">
      <c r="A32" s="14"/>
      <c r="B32" s="18">
        <v>25</v>
      </c>
      <c r="C32" s="18" t="b" cm="1">
        <f t="array" aca="1" ref="C32" ca="1">IFERROR(CheckAnswer(INDIRECT("'"&amp;BackgroundCalcs!AV26&amp;"'!"&amp;BackgroundCalcs!AX26),INDIRECT("'"&amp;BackgroundCalcs!AV26&amp;"'!"&amp;BackgroundCalcs!AW26)),FALSE)</f>
        <v>1</v>
      </c>
      <c r="D32" s="16"/>
      <c r="E32" s="16"/>
      <c r="F32" s="17"/>
      <c r="G32" s="17"/>
      <c r="H32" s="48"/>
    </row>
    <row r="33" spans="1:8" ht="14.5">
      <c r="A33" s="14"/>
      <c r="B33" s="18">
        <v>26</v>
      </c>
      <c r="C33" s="18" t="b" cm="1">
        <f t="array" aca="1" ref="C33" ca="1">IFERROR(CheckAnswer(INDIRECT("'"&amp;BackgroundCalcs!AV27&amp;"'!"&amp;BackgroundCalcs!AX27),INDIRECT("'"&amp;BackgroundCalcs!AV27&amp;"'!"&amp;BackgroundCalcs!AW27)),FALSE)</f>
        <v>1</v>
      </c>
      <c r="D33" s="16"/>
      <c r="E33" s="16"/>
      <c r="F33" s="17"/>
      <c r="G33" s="17"/>
      <c r="H33" s="48"/>
    </row>
    <row r="34" spans="1:8" ht="14.5">
      <c r="A34" s="14"/>
      <c r="B34" s="18">
        <v>27</v>
      </c>
      <c r="C34" s="18" t="b" cm="1">
        <f t="array" aca="1" ref="C34" ca="1">IFERROR(CheckAnswer(INDIRECT("'"&amp;BackgroundCalcs!AV28&amp;"'!"&amp;BackgroundCalcs!AX28),INDIRECT("'"&amp;BackgroundCalcs!AV28&amp;"'!"&amp;BackgroundCalcs!AW28)),FALSE)</f>
        <v>1</v>
      </c>
      <c r="D34" s="16"/>
      <c r="E34" s="16"/>
      <c r="F34" s="17"/>
      <c r="G34" s="17"/>
      <c r="H34" s="48"/>
    </row>
    <row r="35" spans="1:8" ht="14.5">
      <c r="A35" s="14"/>
      <c r="B35" s="18">
        <v>28</v>
      </c>
      <c r="C35" s="18" t="b" cm="1">
        <f t="array" aca="1" ref="C35" ca="1">IFERROR(CheckAnswer(INDIRECT("'"&amp;BackgroundCalcs!AV29&amp;"'!"&amp;BackgroundCalcs!AX29),INDIRECT("'"&amp;BackgroundCalcs!AV29&amp;"'!"&amp;BackgroundCalcs!AW29)),FALSE)</f>
        <v>1</v>
      </c>
      <c r="D35" s="16"/>
      <c r="E35" s="16"/>
      <c r="F35" s="17"/>
      <c r="G35" s="17"/>
      <c r="H35" s="48"/>
    </row>
    <row r="36" spans="1:8" ht="14.5">
      <c r="A36" s="14"/>
      <c r="B36" s="18">
        <v>29</v>
      </c>
      <c r="C36" s="18" t="b" cm="1">
        <f t="array" aca="1" ref="C36" ca="1">IFERROR(CheckAnswer(INDIRECT("'"&amp;BackgroundCalcs!AV30&amp;"'!"&amp;BackgroundCalcs!AX30),INDIRECT("'"&amp;BackgroundCalcs!AV30&amp;"'!"&amp;BackgroundCalcs!AW30)),FALSE)</f>
        <v>1</v>
      </c>
      <c r="D36" s="16"/>
      <c r="E36" s="16"/>
      <c r="F36" s="17"/>
      <c r="G36" s="17"/>
      <c r="H36" s="48"/>
    </row>
    <row r="37" spans="1:8" ht="14.5">
      <c r="A37" s="14"/>
      <c r="B37" s="18">
        <v>30</v>
      </c>
      <c r="C37" s="18" t="b" cm="1">
        <f t="array" aca="1" ref="C37" ca="1">IFERROR(CheckAnswer(INDIRECT("'"&amp;BackgroundCalcs!AV31&amp;"'!"&amp;BackgroundCalcs!AX31),INDIRECT("'"&amp;BackgroundCalcs!AV31&amp;"'!"&amp;BackgroundCalcs!AW31)),FALSE)</f>
        <v>1</v>
      </c>
      <c r="D37" s="16"/>
      <c r="E37" s="16"/>
      <c r="F37" s="17"/>
      <c r="G37" s="17"/>
      <c r="H37" s="48"/>
    </row>
    <row r="38" spans="1:8" ht="14.5">
      <c r="A38" s="14"/>
      <c r="B38" s="18">
        <v>31</v>
      </c>
      <c r="C38" s="18" t="b" cm="1">
        <f t="array" aca="1" ref="C38" ca="1">IFERROR(CheckAnswer(INDIRECT("'"&amp;BackgroundCalcs!AV32&amp;"'!"&amp;BackgroundCalcs!AX32),INDIRECT("'"&amp;BackgroundCalcs!AV32&amp;"'!"&amp;BackgroundCalcs!AW32)),FALSE)</f>
        <v>1</v>
      </c>
      <c r="D38" s="16"/>
      <c r="E38" s="16"/>
      <c r="F38" s="17"/>
      <c r="G38" s="17"/>
      <c r="H38" s="48"/>
    </row>
    <row r="39" spans="1:8" ht="14.5">
      <c r="A39" s="14"/>
      <c r="B39" s="18">
        <v>32</v>
      </c>
      <c r="C39" s="18" t="b" cm="1">
        <f t="array" aca="1" ref="C39" ca="1">IFERROR(CheckAnswer(INDIRECT("'"&amp;BackgroundCalcs!AV33&amp;"'!"&amp;BackgroundCalcs!AX33),INDIRECT("'"&amp;BackgroundCalcs!AV33&amp;"'!"&amp;BackgroundCalcs!AW33)),FALSE)</f>
        <v>1</v>
      </c>
      <c r="D39" s="16"/>
      <c r="E39" s="16"/>
      <c r="F39" s="17"/>
      <c r="G39" s="17"/>
      <c r="H39" s="48"/>
    </row>
    <row r="40" spans="1:8" ht="14.5">
      <c r="A40" s="14"/>
      <c r="B40" s="18"/>
      <c r="C40" s="18"/>
      <c r="D40" s="16"/>
      <c r="E40" s="16"/>
      <c r="F40" s="17"/>
      <c r="G40" s="17"/>
      <c r="H40" s="48"/>
    </row>
    <row r="41" spans="1:8" ht="14.5" hidden="1">
      <c r="A41" s="14"/>
      <c r="B41" s="18"/>
      <c r="C41" s="18"/>
      <c r="D41" s="16"/>
      <c r="E41" s="16"/>
      <c r="F41" s="17"/>
      <c r="G41" s="17"/>
      <c r="H41" s="48"/>
    </row>
    <row r="42" spans="1:8" ht="14.5" hidden="1">
      <c r="A42" s="14"/>
      <c r="B42" s="18"/>
      <c r="C42" s="18"/>
      <c r="D42" s="16"/>
      <c r="E42" s="16"/>
      <c r="F42" s="17"/>
      <c r="G42" s="17"/>
      <c r="H42" s="48"/>
    </row>
    <row r="43" spans="1:8" ht="14.5" hidden="1">
      <c r="A43" s="14"/>
      <c r="B43" s="18"/>
      <c r="C43" s="18"/>
      <c r="D43" s="16"/>
      <c r="E43" s="16"/>
      <c r="F43" s="17"/>
      <c r="G43" s="17"/>
      <c r="H43" s="48"/>
    </row>
    <row r="44" spans="1:8" ht="14.5" hidden="1">
      <c r="A44" s="14"/>
      <c r="B44" s="18"/>
      <c r="C44" s="18"/>
      <c r="D44" s="16"/>
      <c r="E44" s="16"/>
      <c r="F44" s="17"/>
      <c r="G44" s="17"/>
      <c r="H44" s="48"/>
    </row>
    <row r="45" spans="1:8" ht="14.5" hidden="1">
      <c r="A45" s="14"/>
      <c r="B45" s="18"/>
      <c r="C45" s="18"/>
      <c r="D45" s="16"/>
      <c r="E45" s="16"/>
      <c r="F45" s="17"/>
      <c r="G45" s="17"/>
      <c r="H45" s="48"/>
    </row>
    <row r="46" spans="1:8" ht="14.5" hidden="1">
      <c r="A46" s="14"/>
      <c r="B46" s="18"/>
      <c r="C46" s="18"/>
      <c r="D46" s="16"/>
      <c r="E46" s="16"/>
      <c r="F46" s="17"/>
      <c r="G46" s="17"/>
      <c r="H46" s="48"/>
    </row>
    <row r="47" spans="1:8" ht="14.5" hidden="1">
      <c r="A47" s="14"/>
      <c r="B47" s="18"/>
      <c r="C47" s="18"/>
      <c r="D47" s="16"/>
      <c r="E47" s="16"/>
      <c r="F47" s="17"/>
      <c r="G47" s="17"/>
      <c r="H47" s="48"/>
    </row>
    <row r="48" spans="1:8" ht="14.5" hidden="1">
      <c r="A48" s="14"/>
      <c r="B48" s="18"/>
      <c r="C48" s="18"/>
      <c r="D48" s="16"/>
      <c r="E48" s="16"/>
      <c r="F48" s="17"/>
      <c r="G48" s="17"/>
      <c r="H48" s="48"/>
    </row>
    <row r="49" spans="1:8" ht="14.5" hidden="1">
      <c r="A49" s="14"/>
      <c r="B49" s="18"/>
      <c r="C49" s="18"/>
      <c r="D49" s="16"/>
      <c r="E49" s="16"/>
      <c r="F49" s="17"/>
      <c r="G49" s="17"/>
      <c r="H49" s="48"/>
    </row>
    <row r="50" spans="1:8" ht="14.5" hidden="1">
      <c r="A50" s="14"/>
      <c r="B50" s="18"/>
      <c r="C50" s="18"/>
      <c r="D50" s="16"/>
      <c r="E50" s="16"/>
      <c r="F50" s="17"/>
      <c r="G50" s="17"/>
      <c r="H50" s="48"/>
    </row>
    <row r="51" spans="1:8" ht="14.5" hidden="1">
      <c r="A51" s="14"/>
      <c r="B51" s="18"/>
      <c r="C51" s="18"/>
      <c r="D51" s="16"/>
      <c r="E51" s="16"/>
      <c r="F51" s="17"/>
      <c r="G51" s="17"/>
      <c r="H51" s="48"/>
    </row>
    <row r="52" spans="1:8" ht="14.5" hidden="1">
      <c r="A52" s="14"/>
      <c r="B52" s="18"/>
      <c r="C52" s="18"/>
      <c r="D52" s="16"/>
      <c r="E52" s="16"/>
      <c r="F52" s="17"/>
      <c r="G52" s="17"/>
      <c r="H52" s="48"/>
    </row>
    <row r="53" spans="1:8" ht="14.5" hidden="1">
      <c r="A53" s="14"/>
      <c r="B53" s="18"/>
      <c r="C53" s="18"/>
      <c r="D53" s="16"/>
      <c r="E53" s="16"/>
      <c r="F53" s="17"/>
      <c r="G53" s="17"/>
      <c r="H53" s="48"/>
    </row>
    <row r="54" spans="1:8" ht="14.5" hidden="1">
      <c r="A54" s="14"/>
      <c r="B54" s="18"/>
      <c r="C54" s="18"/>
      <c r="D54" s="16"/>
      <c r="E54" s="16"/>
      <c r="F54" s="17"/>
      <c r="G54" s="17"/>
      <c r="H54" s="48"/>
    </row>
    <row r="55" spans="1:8" ht="14.5" hidden="1">
      <c r="A55" s="14"/>
      <c r="B55" s="18"/>
      <c r="C55" s="18"/>
      <c r="D55" s="16"/>
      <c r="E55" s="16"/>
      <c r="F55" s="17"/>
      <c r="G55" s="17"/>
      <c r="H55" s="48"/>
    </row>
    <row r="56" spans="1:8" ht="14.5" hidden="1">
      <c r="A56" s="14"/>
      <c r="B56" s="18"/>
      <c r="C56" s="18"/>
      <c r="D56" s="16"/>
      <c r="E56" s="16"/>
      <c r="F56" s="17"/>
      <c r="G56" s="17"/>
      <c r="H56" s="48"/>
    </row>
    <row r="57" spans="1:8" ht="14.5" hidden="1">
      <c r="A57" s="14"/>
      <c r="B57" s="18"/>
      <c r="C57" s="18"/>
      <c r="D57" s="16"/>
      <c r="E57" s="16"/>
      <c r="F57" s="17"/>
      <c r="G57" s="17"/>
      <c r="H57" s="48"/>
    </row>
    <row r="58" spans="1:8" ht="14.5" hidden="1">
      <c r="A58" s="14"/>
      <c r="B58" s="18"/>
      <c r="C58" s="18"/>
      <c r="D58" s="16"/>
      <c r="E58" s="16"/>
      <c r="F58" s="17"/>
      <c r="G58" s="17"/>
      <c r="H58" s="48"/>
    </row>
    <row r="59" spans="1:8" ht="14.5" hidden="1">
      <c r="A59" s="14"/>
      <c r="B59" s="18"/>
      <c r="C59" s="18"/>
      <c r="D59" s="16"/>
      <c r="E59" s="16"/>
      <c r="F59" s="17"/>
      <c r="G59" s="17"/>
      <c r="H59" s="48"/>
    </row>
    <row r="60" spans="1:8" ht="14.5" hidden="1">
      <c r="A60" s="14"/>
      <c r="B60" s="18"/>
      <c r="C60" s="18"/>
      <c r="D60" s="16"/>
      <c r="E60" s="16"/>
      <c r="F60" s="17"/>
      <c r="G60" s="17"/>
      <c r="H60" s="48"/>
    </row>
    <row r="61" spans="1:8" ht="14.5" hidden="1">
      <c r="A61" s="14"/>
      <c r="B61" s="18"/>
      <c r="C61" s="18"/>
      <c r="D61" s="16"/>
      <c r="E61" s="16"/>
      <c r="F61" s="17"/>
      <c r="G61" s="17"/>
      <c r="H61" s="48"/>
    </row>
    <row r="62" spans="1:8" ht="14.5" hidden="1">
      <c r="A62" s="14"/>
      <c r="B62" s="18"/>
      <c r="C62" s="18"/>
      <c r="D62" s="16"/>
      <c r="E62" s="16"/>
      <c r="F62" s="17"/>
      <c r="G62" s="17"/>
      <c r="H62" s="48"/>
    </row>
    <row r="63" spans="1:8" ht="14.5" hidden="1">
      <c r="A63" s="14"/>
      <c r="B63" s="18"/>
      <c r="C63" s="18"/>
      <c r="D63" s="16"/>
      <c r="E63" s="16"/>
      <c r="F63" s="17"/>
      <c r="G63" s="17"/>
      <c r="H63" s="48"/>
    </row>
    <row r="64" spans="1:8" ht="14.5" hidden="1">
      <c r="A64" s="14"/>
      <c r="B64" s="18"/>
      <c r="C64" s="18"/>
      <c r="D64" s="16"/>
      <c r="E64" s="16"/>
      <c r="F64" s="17"/>
      <c r="G64" s="17"/>
      <c r="H64" s="48"/>
    </row>
    <row r="65" spans="1:8" ht="14.5" hidden="1">
      <c r="A65" s="14"/>
      <c r="B65" s="18"/>
      <c r="C65" s="18"/>
      <c r="D65" s="16"/>
      <c r="E65" s="16"/>
      <c r="F65" s="17"/>
      <c r="G65" s="17"/>
      <c r="H65" s="48"/>
    </row>
    <row r="66" spans="1:8" ht="14.5" hidden="1">
      <c r="A66" s="14"/>
      <c r="B66" s="18"/>
      <c r="C66" s="18"/>
      <c r="D66" s="16"/>
      <c r="E66" s="16"/>
      <c r="F66" s="17"/>
      <c r="G66" s="17"/>
      <c r="H66" s="48"/>
    </row>
    <row r="67" spans="1:8" ht="14.5" hidden="1">
      <c r="A67" s="14"/>
      <c r="B67" s="18"/>
      <c r="C67" s="18"/>
      <c r="D67" s="16"/>
      <c r="E67" s="16"/>
      <c r="F67" s="17"/>
      <c r="G67" s="17"/>
      <c r="H67" s="48"/>
    </row>
    <row r="68" spans="1:8" ht="14.5" hidden="1">
      <c r="A68" s="14"/>
      <c r="B68" s="18"/>
      <c r="C68" s="18"/>
      <c r="D68" s="16"/>
      <c r="E68" s="16"/>
      <c r="F68" s="17"/>
      <c r="G68" s="17"/>
      <c r="H68" s="48"/>
    </row>
    <row r="69" spans="1:8" ht="14.5" hidden="1">
      <c r="A69" s="14"/>
      <c r="B69" s="18"/>
      <c r="C69" s="18"/>
      <c r="D69" s="16"/>
      <c r="E69" s="16"/>
      <c r="F69" s="17"/>
      <c r="G69" s="17"/>
      <c r="H69" s="48"/>
    </row>
    <row r="70" spans="1:8" ht="14.5" hidden="1">
      <c r="A70" s="14"/>
      <c r="B70" s="18"/>
      <c r="C70" s="18"/>
      <c r="D70" s="16"/>
      <c r="E70" s="16"/>
      <c r="F70" s="17"/>
      <c r="G70" s="17"/>
      <c r="H70" s="48"/>
    </row>
    <row r="71" spans="1:8" ht="14.5" hidden="1">
      <c r="A71" s="14"/>
      <c r="B71" s="18"/>
      <c r="C71" s="18"/>
      <c r="D71" s="16"/>
      <c r="E71" s="16"/>
      <c r="F71" s="17"/>
      <c r="G71" s="17"/>
      <c r="H71" s="48"/>
    </row>
    <row r="72" spans="1:8" ht="14.5" hidden="1">
      <c r="A72" s="14"/>
      <c r="B72" s="18"/>
      <c r="C72" s="18"/>
      <c r="D72" s="16"/>
      <c r="E72" s="16"/>
      <c r="F72" s="17"/>
      <c r="G72" s="17"/>
      <c r="H72" s="48"/>
    </row>
    <row r="73" spans="1:8" ht="14.5" hidden="1">
      <c r="A73" s="14"/>
      <c r="B73" s="18"/>
      <c r="C73" s="18"/>
      <c r="D73" s="16"/>
      <c r="E73" s="16"/>
      <c r="F73" s="17"/>
      <c r="G73" s="17"/>
      <c r="H73" s="48"/>
    </row>
    <row r="74" spans="1:8" ht="14.5" hidden="1">
      <c r="A74" s="14"/>
      <c r="B74" s="18"/>
      <c r="C74" s="18"/>
      <c r="D74" s="16"/>
      <c r="E74" s="16"/>
      <c r="F74" s="17"/>
      <c r="G74" s="17"/>
      <c r="H74" s="48"/>
    </row>
    <row r="75" spans="1:8" ht="14.5" hidden="1">
      <c r="A75" s="14"/>
      <c r="B75" s="18"/>
      <c r="C75" s="18"/>
      <c r="D75" s="16"/>
      <c r="E75" s="16"/>
      <c r="F75" s="17"/>
      <c r="G75" s="17"/>
      <c r="H75" s="48"/>
    </row>
    <row r="76" spans="1:8" ht="14.5" hidden="1">
      <c r="A76" s="14"/>
      <c r="B76" s="18"/>
      <c r="C76" s="18"/>
      <c r="D76" s="16"/>
      <c r="E76" s="16"/>
      <c r="F76" s="17"/>
      <c r="G76" s="17"/>
      <c r="H76" s="48"/>
    </row>
    <row r="77" spans="1:8" ht="14.5" hidden="1">
      <c r="A77" s="14"/>
      <c r="B77" s="18"/>
      <c r="C77" s="18"/>
      <c r="D77" s="16"/>
      <c r="E77" s="16"/>
      <c r="F77" s="17"/>
      <c r="G77" s="17"/>
      <c r="H77" s="48"/>
    </row>
    <row r="78" spans="1:8" ht="14.5" hidden="1">
      <c r="A78" s="14"/>
      <c r="B78" s="18"/>
      <c r="C78" s="18"/>
      <c r="D78" s="16"/>
      <c r="E78" s="16"/>
      <c r="F78" s="17"/>
      <c r="G78" s="17"/>
      <c r="H78" s="48"/>
    </row>
    <row r="79" spans="1:8" ht="14.5" hidden="1">
      <c r="A79" s="14"/>
      <c r="B79" s="18"/>
      <c r="C79" s="18"/>
      <c r="D79" s="16"/>
      <c r="E79" s="16"/>
      <c r="F79" s="17"/>
      <c r="G79" s="17"/>
      <c r="H79" s="48"/>
    </row>
    <row r="80" spans="1:8" ht="14.5" hidden="1">
      <c r="A80" s="14"/>
      <c r="B80" s="18"/>
      <c r="C80" s="18"/>
      <c r="D80" s="16"/>
      <c r="E80" s="16"/>
      <c r="F80" s="17"/>
      <c r="G80" s="17"/>
      <c r="H80" s="48"/>
    </row>
    <row r="81" spans="1:8" ht="14.5" hidden="1">
      <c r="A81" s="14"/>
      <c r="B81" s="18"/>
      <c r="C81" s="18"/>
      <c r="D81" s="16"/>
      <c r="E81" s="16"/>
      <c r="F81" s="17"/>
      <c r="G81" s="17"/>
      <c r="H81" s="48"/>
    </row>
    <row r="82" spans="1:8" ht="14.5" hidden="1">
      <c r="A82" s="14"/>
      <c r="B82" s="18"/>
      <c r="C82" s="18"/>
      <c r="D82" s="16"/>
      <c r="E82" s="16"/>
      <c r="F82" s="17"/>
      <c r="G82" s="17"/>
      <c r="H82" s="48"/>
    </row>
    <row r="83" spans="1:8" ht="14.5" hidden="1">
      <c r="A83" s="14"/>
      <c r="B83" s="18"/>
      <c r="C83" s="18"/>
      <c r="D83" s="16"/>
      <c r="E83" s="16"/>
      <c r="F83" s="17"/>
      <c r="G83" s="17"/>
      <c r="H83" s="48"/>
    </row>
    <row r="84" spans="1:8" ht="14.5" hidden="1">
      <c r="A84" s="14"/>
      <c r="B84" s="18"/>
      <c r="C84" s="18"/>
      <c r="D84" s="16"/>
      <c r="E84" s="16"/>
      <c r="F84" s="17"/>
      <c r="G84" s="17"/>
      <c r="H84" s="48"/>
    </row>
    <row r="85" spans="1:8" ht="14.5" hidden="1">
      <c r="A85" s="14"/>
      <c r="B85" s="18"/>
      <c r="C85" s="18"/>
      <c r="D85" s="16"/>
      <c r="E85" s="16"/>
      <c r="F85" s="17"/>
      <c r="G85" s="17"/>
      <c r="H85" s="48"/>
    </row>
    <row r="86" spans="1:8" ht="14.5" hidden="1">
      <c r="A86" s="14"/>
      <c r="B86" s="18"/>
      <c r="C86" s="18"/>
      <c r="D86" s="16"/>
      <c r="E86" s="16"/>
      <c r="F86" s="17"/>
      <c r="G86" s="17"/>
      <c r="H86" s="48"/>
    </row>
    <row r="87" spans="1:8" ht="14.5" hidden="1">
      <c r="A87" s="14"/>
      <c r="B87" s="18"/>
      <c r="C87" s="18"/>
      <c r="D87" s="16"/>
      <c r="E87" s="16"/>
      <c r="F87" s="17"/>
      <c r="G87" s="17"/>
      <c r="H87" s="48"/>
    </row>
    <row r="88" spans="1:8" ht="14.5" hidden="1">
      <c r="A88" s="14"/>
      <c r="B88" s="18"/>
      <c r="C88" s="18"/>
      <c r="D88" s="16"/>
      <c r="E88" s="16"/>
      <c r="F88" s="17"/>
      <c r="G88" s="17"/>
      <c r="H88" s="48"/>
    </row>
    <row r="89" spans="1:8" ht="14.5" hidden="1">
      <c r="A89" s="14"/>
      <c r="B89" s="18"/>
      <c r="C89" s="18"/>
      <c r="D89" s="16"/>
      <c r="E89" s="16"/>
      <c r="F89" s="17"/>
      <c r="G89" s="17"/>
      <c r="H89" s="48"/>
    </row>
    <row r="90" spans="1:8" ht="14.5" hidden="1">
      <c r="A90" s="14"/>
      <c r="B90" s="18"/>
      <c r="C90" s="18"/>
      <c r="D90" s="16"/>
      <c r="E90" s="16"/>
      <c r="F90" s="17"/>
      <c r="G90" s="17"/>
      <c r="H90" s="48"/>
    </row>
    <row r="91" spans="1:8" ht="14.5" hidden="1">
      <c r="A91" s="14"/>
      <c r="B91" s="18"/>
      <c r="C91" s="18"/>
      <c r="D91" s="16"/>
      <c r="E91" s="16"/>
      <c r="F91" s="17"/>
      <c r="G91" s="17"/>
      <c r="H91" s="48"/>
    </row>
    <row r="92" spans="1:8" ht="14.5" hidden="1">
      <c r="A92" s="14"/>
      <c r="B92" s="18"/>
      <c r="C92" s="18"/>
      <c r="D92" s="16"/>
      <c r="E92" s="16"/>
      <c r="F92" s="17"/>
      <c r="G92" s="17"/>
      <c r="H92" s="48"/>
    </row>
    <row r="93" spans="1:8" ht="14.5" hidden="1">
      <c r="A93" s="14"/>
      <c r="B93" s="18"/>
      <c r="C93" s="18"/>
      <c r="D93" s="16"/>
      <c r="E93" s="16"/>
      <c r="F93" s="17"/>
      <c r="G93" s="17"/>
      <c r="H93" s="48"/>
    </row>
    <row r="94" spans="1:8" ht="14.5" hidden="1">
      <c r="A94" s="14"/>
      <c r="B94" s="18"/>
      <c r="C94" s="18"/>
      <c r="D94" s="16"/>
      <c r="E94" s="16"/>
      <c r="F94" s="17"/>
      <c r="G94" s="17"/>
      <c r="H94" s="48"/>
    </row>
    <row r="95" spans="1:8" ht="14.5" hidden="1">
      <c r="A95" s="14"/>
      <c r="B95" s="18"/>
      <c r="C95" s="18"/>
      <c r="D95" s="16"/>
      <c r="E95" s="16"/>
      <c r="F95" s="17"/>
      <c r="G95" s="17"/>
      <c r="H95" s="48"/>
    </row>
    <row r="96" spans="1:8" ht="14.5" hidden="1">
      <c r="A96" s="14"/>
      <c r="B96" s="18"/>
      <c r="C96" s="18"/>
      <c r="D96" s="16"/>
      <c r="E96" s="16"/>
      <c r="F96" s="17"/>
      <c r="G96" s="17"/>
      <c r="H96" s="48"/>
    </row>
    <row r="97" spans="1:8" ht="14.5" hidden="1">
      <c r="A97" s="14"/>
      <c r="B97" s="18"/>
      <c r="C97" s="18"/>
      <c r="D97" s="16"/>
      <c r="E97" s="16"/>
      <c r="F97" s="17"/>
      <c r="G97" s="17"/>
      <c r="H97" s="48"/>
    </row>
    <row r="98" spans="1:8" ht="14.5" hidden="1">
      <c r="A98" s="14"/>
      <c r="B98" s="18"/>
      <c r="C98" s="18"/>
      <c r="D98" s="16"/>
      <c r="E98" s="16"/>
      <c r="F98" s="17"/>
      <c r="G98" s="17"/>
      <c r="H98" s="48"/>
    </row>
    <row r="99" spans="1:8" ht="14.5" hidden="1">
      <c r="A99" s="14"/>
      <c r="B99" s="18"/>
      <c r="C99" s="18"/>
      <c r="D99" s="16"/>
      <c r="E99" s="16"/>
      <c r="F99" s="17"/>
      <c r="G99" s="17"/>
      <c r="H99" s="48"/>
    </row>
    <row r="100" spans="1:8" ht="14.5" hidden="1">
      <c r="A100" s="14"/>
      <c r="B100" s="18"/>
      <c r="C100" s="18"/>
      <c r="D100" s="16"/>
      <c r="E100" s="16"/>
      <c r="F100" s="17"/>
      <c r="G100" s="17"/>
      <c r="H100" s="48"/>
    </row>
    <row r="101" spans="1:8" ht="14.5" hidden="1">
      <c r="A101" s="14"/>
      <c r="B101" s="18"/>
      <c r="C101" s="18"/>
      <c r="D101" s="16"/>
      <c r="E101" s="16"/>
      <c r="F101" s="17"/>
      <c r="G101" s="17"/>
      <c r="H101" s="48"/>
    </row>
    <row r="102" spans="1:8" ht="14.5" hidden="1">
      <c r="A102" s="14"/>
      <c r="B102" s="18"/>
      <c r="C102" s="18"/>
      <c r="D102" s="16"/>
      <c r="E102" s="16"/>
      <c r="F102" s="17"/>
      <c r="G102" s="17"/>
      <c r="H102" s="48"/>
    </row>
    <row r="103" spans="1:8" ht="14.5" hidden="1">
      <c r="A103" s="14"/>
      <c r="B103" s="18"/>
      <c r="C103" s="18"/>
      <c r="D103" s="16"/>
      <c r="E103" s="16"/>
      <c r="F103" s="17"/>
      <c r="G103" s="17"/>
      <c r="H103" s="48"/>
    </row>
    <row r="104" spans="1:8" ht="14.5" hidden="1">
      <c r="A104" s="14"/>
      <c r="B104" s="18"/>
      <c r="C104" s="18"/>
      <c r="D104" s="16"/>
      <c r="E104" s="16"/>
      <c r="F104" s="17"/>
      <c r="G104" s="17"/>
      <c r="H104" s="48"/>
    </row>
    <row r="105" spans="1:8" ht="14.5" hidden="1">
      <c r="A105" s="14"/>
      <c r="B105" s="18"/>
      <c r="C105" s="18"/>
      <c r="D105" s="16"/>
      <c r="E105" s="16"/>
      <c r="F105" s="17"/>
      <c r="G105" s="17"/>
      <c r="H105" s="48"/>
    </row>
    <row r="106" spans="1:8" ht="14.5" hidden="1">
      <c r="A106" s="14"/>
      <c r="B106" s="18"/>
      <c r="C106" s="18"/>
      <c r="D106" s="16"/>
      <c r="E106" s="16"/>
      <c r="F106" s="17"/>
      <c r="G106" s="17"/>
      <c r="H106" s="48"/>
    </row>
    <row r="107" spans="1:8" ht="14.5" hidden="1">
      <c r="A107" s="14"/>
      <c r="B107" s="18"/>
      <c r="C107" s="18"/>
      <c r="D107" s="16"/>
      <c r="E107" s="16"/>
      <c r="F107" s="17"/>
      <c r="G107" s="17"/>
      <c r="H107" s="48"/>
    </row>
    <row r="108" spans="1:8" ht="14.5" hidden="1">
      <c r="A108" s="14"/>
      <c r="B108" s="18"/>
      <c r="C108" s="18"/>
      <c r="D108" s="16"/>
      <c r="E108" s="16"/>
      <c r="F108" s="17"/>
      <c r="G108" s="17"/>
      <c r="H108" s="48"/>
    </row>
    <row r="109" spans="1:8" ht="14.5" hidden="1">
      <c r="A109" s="14"/>
      <c r="B109" s="18"/>
      <c r="C109" s="18"/>
      <c r="D109" s="16"/>
      <c r="E109" s="16"/>
      <c r="F109" s="17"/>
      <c r="G109" s="17"/>
      <c r="H109" s="48"/>
    </row>
    <row r="110" spans="1:8" ht="14.5" hidden="1">
      <c r="A110" s="14"/>
      <c r="B110" s="18"/>
      <c r="C110" s="18"/>
      <c r="D110" s="16"/>
      <c r="E110" s="16"/>
      <c r="F110" s="17"/>
      <c r="G110" s="17"/>
      <c r="H110" s="48"/>
    </row>
    <row r="111" spans="1:8" ht="14.5" hidden="1">
      <c r="A111" s="14"/>
      <c r="B111" s="18"/>
      <c r="C111" s="18"/>
      <c r="D111" s="16"/>
      <c r="E111" s="16"/>
      <c r="F111" s="17"/>
      <c r="G111" s="17"/>
      <c r="H111" s="48"/>
    </row>
    <row r="112" spans="1:8" ht="14.5" hidden="1">
      <c r="A112" s="14"/>
      <c r="B112" s="18"/>
      <c r="C112" s="18"/>
      <c r="D112" s="16"/>
      <c r="E112" s="16"/>
      <c r="F112" s="17"/>
      <c r="G112" s="17"/>
      <c r="H112" s="48"/>
    </row>
    <row r="113" spans="1:8" ht="14.5" hidden="1">
      <c r="A113" s="14"/>
      <c r="B113" s="18"/>
      <c r="C113" s="18"/>
      <c r="D113" s="16"/>
      <c r="E113" s="16"/>
      <c r="F113" s="17"/>
      <c r="G113" s="17"/>
      <c r="H113" s="48"/>
    </row>
    <row r="114" spans="1:8" ht="14.5" hidden="1">
      <c r="A114" s="14"/>
      <c r="B114" s="18"/>
      <c r="C114" s="18"/>
      <c r="D114" s="16"/>
      <c r="E114" s="16"/>
      <c r="F114" s="17"/>
      <c r="G114" s="17"/>
      <c r="H114" s="48"/>
    </row>
    <row r="115" spans="1:8" ht="14.5" hidden="1">
      <c r="A115" s="14"/>
      <c r="B115" s="18"/>
      <c r="C115" s="18"/>
      <c r="D115" s="16"/>
      <c r="E115" s="16"/>
      <c r="F115" s="17"/>
      <c r="G115" s="17"/>
      <c r="H115" s="48"/>
    </row>
    <row r="116" spans="1:8" ht="14.5" hidden="1">
      <c r="A116" s="14"/>
      <c r="B116" s="18"/>
      <c r="C116" s="18"/>
      <c r="D116" s="16"/>
      <c r="E116" s="16"/>
      <c r="F116" s="17"/>
      <c r="G116" s="17"/>
      <c r="H116" s="48"/>
    </row>
    <row r="117" spans="1:8" ht="14.5" hidden="1">
      <c r="A117" s="14"/>
      <c r="B117" s="18"/>
      <c r="C117" s="18"/>
      <c r="D117" s="16"/>
      <c r="E117" s="16"/>
      <c r="F117" s="17"/>
      <c r="G117" s="17"/>
      <c r="H117" s="48"/>
    </row>
    <row r="118" spans="1:8" ht="14.5" hidden="1">
      <c r="A118" s="14"/>
      <c r="B118" s="18"/>
      <c r="C118" s="18"/>
      <c r="D118" s="16"/>
      <c r="E118" s="16"/>
      <c r="F118" s="17"/>
      <c r="G118" s="17"/>
      <c r="H118" s="48"/>
    </row>
    <row r="119" spans="1:8" ht="14.5" hidden="1">
      <c r="A119" s="14"/>
      <c r="B119" s="18"/>
      <c r="C119" s="18"/>
      <c r="D119" s="16"/>
      <c r="E119" s="16"/>
      <c r="F119" s="17"/>
      <c r="G119" s="17"/>
      <c r="H119" s="48"/>
    </row>
    <row r="120" spans="1:8" ht="14.5" hidden="1">
      <c r="A120" s="14"/>
      <c r="B120" s="18"/>
      <c r="C120" s="18"/>
      <c r="D120" s="16"/>
      <c r="E120" s="16"/>
      <c r="F120" s="17"/>
      <c r="G120" s="17"/>
      <c r="H120" s="48"/>
    </row>
    <row r="121" spans="1:8" ht="14.5" hidden="1">
      <c r="A121" s="14"/>
      <c r="B121" s="18"/>
      <c r="C121" s="18"/>
      <c r="D121" s="16"/>
      <c r="E121" s="16"/>
      <c r="F121" s="17"/>
      <c r="G121" s="17"/>
      <c r="H121" s="48"/>
    </row>
    <row r="122" spans="1:8" ht="14.5" hidden="1">
      <c r="A122" s="14"/>
      <c r="B122" s="18"/>
      <c r="C122" s="18"/>
      <c r="D122" s="16"/>
      <c r="E122" s="16"/>
      <c r="F122" s="17"/>
      <c r="G122" s="17"/>
      <c r="H122" s="48"/>
    </row>
    <row r="123" spans="1:8" ht="14.5" hidden="1">
      <c r="A123" s="14"/>
      <c r="B123" s="18"/>
      <c r="C123" s="18"/>
      <c r="D123" s="16"/>
      <c r="E123" s="16"/>
      <c r="F123" s="17"/>
      <c r="G123" s="17"/>
      <c r="H123" s="48"/>
    </row>
    <row r="124" spans="1:8" ht="14.5" hidden="1">
      <c r="A124" s="14"/>
      <c r="B124" s="18"/>
      <c r="C124" s="18"/>
      <c r="D124" s="16"/>
      <c r="E124" s="16"/>
      <c r="F124" s="17"/>
      <c r="G124" s="17"/>
      <c r="H124" s="48"/>
    </row>
    <row r="125" spans="1:8" ht="14.5" hidden="1">
      <c r="A125" s="14"/>
      <c r="B125" s="18"/>
      <c r="C125" s="18"/>
      <c r="D125" s="16"/>
      <c r="E125" s="16"/>
      <c r="F125" s="17"/>
      <c r="G125" s="17"/>
      <c r="H125" s="48"/>
    </row>
    <row r="126" spans="1:8" ht="14.5" hidden="1">
      <c r="A126" s="14"/>
      <c r="B126" s="18"/>
      <c r="C126" s="18"/>
      <c r="D126" s="16"/>
      <c r="E126" s="16"/>
      <c r="F126" s="17"/>
      <c r="G126" s="17"/>
      <c r="H126" s="48"/>
    </row>
    <row r="127" spans="1:8" ht="14.5" hidden="1">
      <c r="A127" s="14"/>
      <c r="B127" s="18"/>
      <c r="C127" s="18"/>
      <c r="D127" s="16"/>
      <c r="E127" s="16"/>
      <c r="F127" s="17"/>
      <c r="G127" s="17"/>
      <c r="H127" s="48"/>
    </row>
    <row r="128" spans="1:8" ht="14.5" hidden="1">
      <c r="A128" s="14"/>
      <c r="B128" s="18"/>
      <c r="C128" s="18"/>
      <c r="D128" s="16"/>
      <c r="E128" s="16"/>
      <c r="F128" s="17"/>
      <c r="G128" s="17"/>
      <c r="H128" s="48"/>
    </row>
    <row r="129" spans="1:8" ht="14.5" hidden="1">
      <c r="A129" s="14"/>
      <c r="B129" s="18"/>
      <c r="C129" s="18"/>
      <c r="D129" s="16"/>
      <c r="E129" s="16"/>
      <c r="F129" s="17"/>
      <c r="G129" s="17"/>
      <c r="H129" s="48"/>
    </row>
    <row r="130" spans="1:8" ht="14.5" hidden="1">
      <c r="A130" s="14"/>
      <c r="B130" s="18"/>
      <c r="C130" s="18"/>
      <c r="D130" s="16"/>
      <c r="E130" s="16"/>
      <c r="F130" s="17"/>
      <c r="G130" s="17"/>
      <c r="H130" s="48"/>
    </row>
    <row r="131" spans="1:8" ht="14.5" hidden="1">
      <c r="A131" s="14"/>
      <c r="B131" s="18"/>
      <c r="C131" s="18"/>
      <c r="D131" s="16"/>
      <c r="E131" s="16"/>
      <c r="F131" s="17"/>
      <c r="G131" s="17"/>
      <c r="H131" s="48"/>
    </row>
    <row r="132" spans="1:8" ht="14.5" hidden="1">
      <c r="A132" s="14"/>
      <c r="B132" s="18"/>
      <c r="C132" s="18"/>
      <c r="D132" s="16"/>
      <c r="E132" s="16"/>
      <c r="F132" s="17"/>
      <c r="G132" s="17"/>
      <c r="H132" s="48"/>
    </row>
    <row r="133" spans="1:8" ht="14.5" hidden="1">
      <c r="A133" s="14"/>
      <c r="B133" s="18"/>
      <c r="C133" s="18"/>
      <c r="D133" s="16"/>
      <c r="E133" s="16"/>
      <c r="F133" s="17"/>
      <c r="G133" s="17"/>
      <c r="H133" s="48"/>
    </row>
    <row r="134" spans="1:8" ht="14.5" hidden="1">
      <c r="A134" s="14"/>
      <c r="B134" s="18"/>
      <c r="C134" s="18"/>
      <c r="D134" s="16"/>
      <c r="E134" s="16"/>
      <c r="F134" s="17"/>
      <c r="G134" s="17"/>
      <c r="H134" s="48"/>
    </row>
    <row r="135" spans="1:8" ht="14.5" hidden="1">
      <c r="A135" s="14"/>
      <c r="B135" s="18"/>
      <c r="C135" s="18"/>
      <c r="D135" s="16"/>
      <c r="E135" s="16"/>
      <c r="F135" s="17"/>
      <c r="G135" s="17"/>
      <c r="H135" s="48"/>
    </row>
    <row r="136" spans="1:8" ht="14.5" hidden="1">
      <c r="A136" s="14"/>
      <c r="B136" s="18"/>
      <c r="C136" s="18"/>
      <c r="D136" s="16"/>
      <c r="E136" s="16"/>
      <c r="F136" s="17"/>
      <c r="G136" s="17"/>
      <c r="H136" s="48"/>
    </row>
    <row r="137" spans="1:8" ht="14.5" hidden="1">
      <c r="A137" s="14"/>
      <c r="B137" s="18"/>
      <c r="C137" s="18"/>
      <c r="D137" s="16"/>
      <c r="E137" s="16"/>
      <c r="F137" s="17"/>
      <c r="G137" s="17"/>
      <c r="H137" s="48"/>
    </row>
    <row r="138" spans="1:8" ht="14.5" hidden="1">
      <c r="A138" s="14"/>
      <c r="B138" s="18"/>
      <c r="C138" s="18"/>
      <c r="D138" s="16"/>
      <c r="E138" s="16"/>
      <c r="F138" s="17"/>
      <c r="G138" s="17"/>
      <c r="H138" s="48"/>
    </row>
    <row r="139" spans="1:8" ht="14.5" hidden="1">
      <c r="A139" s="14"/>
      <c r="B139" s="18"/>
      <c r="C139" s="18"/>
      <c r="D139" s="16"/>
      <c r="E139" s="16"/>
      <c r="F139" s="17"/>
      <c r="G139" s="17"/>
      <c r="H139" s="48"/>
    </row>
    <row r="140" spans="1:8" ht="14.5" hidden="1">
      <c r="A140" s="14"/>
      <c r="B140" s="18"/>
      <c r="C140" s="18"/>
      <c r="D140" s="16"/>
      <c r="E140" s="16"/>
      <c r="F140" s="17"/>
      <c r="G140" s="17"/>
      <c r="H140" s="48"/>
    </row>
    <row r="141" spans="1:8" ht="14.5" hidden="1">
      <c r="A141" s="14"/>
      <c r="B141" s="18"/>
      <c r="C141" s="18"/>
      <c r="D141" s="16"/>
      <c r="E141" s="16"/>
      <c r="F141" s="17"/>
      <c r="G141" s="17"/>
      <c r="H141" s="48"/>
    </row>
    <row r="142" spans="1:8" ht="14.5" hidden="1">
      <c r="A142" s="48"/>
      <c r="B142" s="86"/>
      <c r="C142" s="86"/>
      <c r="D142" s="85"/>
      <c r="E142" s="85"/>
      <c r="F142" s="87"/>
      <c r="G142" s="87"/>
      <c r="H142" s="48"/>
    </row>
    <row r="143" spans="1:8" ht="14.5" hidden="1">
      <c r="A143" s="48"/>
      <c r="B143" s="86"/>
      <c r="C143" s="86"/>
      <c r="D143" s="85"/>
      <c r="E143" s="85"/>
      <c r="F143" s="87"/>
      <c r="G143" s="87"/>
      <c r="H143" s="48"/>
    </row>
    <row r="144" spans="1:8" ht="14.5" hidden="1">
      <c r="A144" s="48"/>
      <c r="B144" s="86"/>
      <c r="C144" s="86"/>
      <c r="D144" s="85"/>
      <c r="E144" s="85"/>
      <c r="F144" s="87"/>
      <c r="G144" s="87"/>
      <c r="H144" s="48"/>
    </row>
    <row r="145" spans="1:8" ht="14.5" hidden="1">
      <c r="A145" s="48"/>
      <c r="B145" s="86"/>
      <c r="C145" s="86"/>
      <c r="D145" s="85"/>
      <c r="E145" s="85"/>
      <c r="F145" s="87"/>
      <c r="G145" s="87"/>
      <c r="H145" s="48"/>
    </row>
    <row r="146" spans="1:8" ht="14.5" hidden="1">
      <c r="A146" s="48"/>
      <c r="B146" s="86"/>
      <c r="C146" s="86"/>
      <c r="D146" s="85"/>
      <c r="E146" s="85"/>
      <c r="F146" s="87"/>
      <c r="G146" s="87"/>
      <c r="H146" s="48"/>
    </row>
    <row r="147" spans="1:8" ht="14.5" hidden="1">
      <c r="A147" s="48"/>
      <c r="B147" s="86"/>
      <c r="C147" s="86"/>
      <c r="D147" s="85"/>
      <c r="E147" s="85"/>
      <c r="F147" s="87"/>
      <c r="G147" s="87"/>
      <c r="H147" s="48"/>
    </row>
    <row r="148" spans="1:8" ht="14.5" hidden="1">
      <c r="A148" s="48"/>
      <c r="B148" s="86"/>
      <c r="C148" s="86"/>
      <c r="D148" s="85"/>
      <c r="E148" s="85"/>
      <c r="F148" s="87"/>
      <c r="G148" s="87"/>
      <c r="H148" s="48"/>
    </row>
    <row r="149" spans="1:8" ht="14.5" hidden="1">
      <c r="A149" s="48"/>
      <c r="B149" s="86"/>
      <c r="C149" s="86"/>
      <c r="D149" s="85"/>
      <c r="E149" s="85"/>
      <c r="F149" s="87"/>
      <c r="G149" s="87"/>
      <c r="H149" s="48"/>
    </row>
    <row r="150" spans="1:8" ht="14.5" hidden="1">
      <c r="A150" s="48"/>
      <c r="B150" s="86"/>
      <c r="C150" s="86"/>
      <c r="D150" s="85"/>
      <c r="E150" s="85"/>
      <c r="F150" s="87"/>
      <c r="G150" s="87"/>
      <c r="H150" s="48"/>
    </row>
    <row r="151" spans="1:8" ht="14.5" hidden="1">
      <c r="A151" s="48"/>
      <c r="B151" s="86"/>
      <c r="C151" s="86"/>
      <c r="D151" s="85"/>
      <c r="E151" s="85"/>
      <c r="F151" s="87"/>
      <c r="G151" s="87"/>
      <c r="H151" s="48"/>
    </row>
    <row r="152" spans="1:8" ht="14.5" hidden="1">
      <c r="A152" s="48"/>
      <c r="B152" s="86"/>
      <c r="C152" s="86"/>
      <c r="D152" s="85"/>
      <c r="E152" s="85"/>
      <c r="F152" s="87"/>
      <c r="G152" s="87"/>
      <c r="H152" s="48"/>
    </row>
    <row r="153" spans="1:8" ht="14.5" hidden="1">
      <c r="A153" s="48"/>
      <c r="B153" s="86"/>
      <c r="C153" s="86"/>
      <c r="D153" s="85"/>
      <c r="E153" s="85"/>
      <c r="F153" s="87"/>
      <c r="G153" s="87"/>
      <c r="H153" s="48"/>
    </row>
    <row r="154" spans="1:8" ht="14.5" hidden="1">
      <c r="A154" s="48"/>
      <c r="B154" s="86"/>
      <c r="C154" s="86"/>
      <c r="D154" s="85"/>
      <c r="E154" s="85"/>
      <c r="F154" s="87"/>
      <c r="G154" s="87"/>
      <c r="H154" s="48"/>
    </row>
    <row r="155" spans="1:8" ht="14.5" hidden="1">
      <c r="A155" s="48"/>
      <c r="B155" s="86"/>
      <c r="C155" s="86"/>
      <c r="D155" s="85"/>
      <c r="E155" s="85"/>
      <c r="F155" s="87"/>
      <c r="G155" s="87"/>
      <c r="H155" s="48"/>
    </row>
    <row r="156" spans="1:8" ht="14.5" hidden="1">
      <c r="A156" s="48"/>
      <c r="B156" s="86"/>
      <c r="C156" s="86"/>
      <c r="D156" s="85"/>
      <c r="E156" s="85"/>
      <c r="F156" s="87"/>
      <c r="G156" s="87"/>
      <c r="H156" s="48"/>
    </row>
    <row r="157" spans="1:8" ht="14.5" hidden="1">
      <c r="A157" s="48"/>
      <c r="B157" s="86"/>
      <c r="C157" s="86"/>
      <c r="D157" s="85"/>
      <c r="E157" s="85"/>
      <c r="F157" s="87"/>
      <c r="G157" s="87"/>
      <c r="H157" s="48"/>
    </row>
    <row r="158" spans="1:8" ht="14.5" hidden="1">
      <c r="A158" s="48"/>
      <c r="B158" s="86"/>
      <c r="C158" s="86"/>
      <c r="D158" s="85"/>
      <c r="E158" s="85"/>
      <c r="F158" s="87"/>
      <c r="G158" s="87"/>
      <c r="H158" s="48"/>
    </row>
    <row r="159" spans="1:8" ht="14.5" hidden="1">
      <c r="A159" s="48"/>
      <c r="B159" s="86"/>
      <c r="C159" s="86"/>
      <c r="D159" s="85"/>
      <c r="E159" s="85"/>
      <c r="F159" s="87"/>
      <c r="G159" s="87"/>
      <c r="H159" s="48"/>
    </row>
    <row r="160" spans="1:8" ht="14.5" hidden="1">
      <c r="A160" s="48"/>
      <c r="B160" s="86"/>
      <c r="C160" s="86"/>
      <c r="D160" s="85"/>
      <c r="E160" s="85"/>
      <c r="F160" s="87"/>
      <c r="G160" s="87"/>
      <c r="H160" s="48"/>
    </row>
    <row r="161" spans="1:8" ht="14.5" hidden="1">
      <c r="A161" s="48"/>
      <c r="B161" s="86"/>
      <c r="C161" s="86"/>
      <c r="D161" s="85"/>
      <c r="E161" s="85"/>
      <c r="F161" s="87"/>
      <c r="G161" s="87"/>
      <c r="H161" s="48"/>
    </row>
    <row r="162" spans="1:8" ht="14.5" hidden="1">
      <c r="A162" s="48"/>
      <c r="B162" s="86"/>
      <c r="C162" s="86"/>
      <c r="D162" s="85"/>
      <c r="E162" s="85"/>
      <c r="F162" s="87"/>
      <c r="G162" s="87"/>
      <c r="H162" s="48"/>
    </row>
    <row r="163" spans="1:8" ht="14.5" hidden="1">
      <c r="A163" s="48"/>
      <c r="B163" s="86"/>
      <c r="C163" s="86"/>
      <c r="D163" s="85"/>
      <c r="E163" s="85"/>
      <c r="F163" s="87"/>
      <c r="G163" s="87"/>
      <c r="H163" s="48"/>
    </row>
    <row r="164" spans="1:8" ht="14.5" hidden="1">
      <c r="A164" s="48"/>
      <c r="B164" s="86"/>
      <c r="C164" s="86"/>
      <c r="D164" s="85"/>
      <c r="E164" s="85"/>
      <c r="F164" s="87"/>
      <c r="G164" s="87"/>
      <c r="H164" s="48"/>
    </row>
    <row r="165" spans="1:8" ht="14.5" hidden="1">
      <c r="A165" s="48"/>
      <c r="B165" s="86"/>
      <c r="C165" s="86"/>
      <c r="D165" s="85"/>
      <c r="E165" s="85"/>
      <c r="F165" s="87"/>
      <c r="G165" s="87"/>
      <c r="H165" s="48"/>
    </row>
    <row r="166" spans="1:8" ht="14.5" hidden="1">
      <c r="A166" s="48"/>
      <c r="B166" s="86"/>
      <c r="C166" s="86"/>
      <c r="D166" s="85"/>
      <c r="E166" s="85"/>
      <c r="F166" s="87"/>
      <c r="G166" s="87"/>
      <c r="H166" s="48"/>
    </row>
    <row r="167" spans="1:8" ht="14.5" hidden="1">
      <c r="A167" s="48"/>
      <c r="B167" s="86"/>
      <c r="C167" s="86"/>
      <c r="D167" s="85"/>
      <c r="E167" s="85"/>
      <c r="F167" s="87"/>
      <c r="G167" s="87"/>
      <c r="H167" s="48"/>
    </row>
    <row r="168" spans="1:8" ht="14.5" hidden="1">
      <c r="A168" s="48"/>
      <c r="B168" s="86"/>
      <c r="C168" s="86"/>
      <c r="D168" s="85"/>
      <c r="E168" s="85"/>
      <c r="F168" s="87"/>
      <c r="G168" s="87"/>
      <c r="H168" s="48"/>
    </row>
    <row r="169" spans="1:8" ht="14.5" hidden="1">
      <c r="A169" s="48"/>
      <c r="B169" s="86"/>
      <c r="C169" s="86"/>
      <c r="D169" s="85"/>
      <c r="E169" s="85"/>
      <c r="F169" s="87"/>
      <c r="G169" s="87"/>
      <c r="H169" s="48"/>
    </row>
    <row r="170" spans="1:8" ht="14.5" hidden="1">
      <c r="A170" s="48"/>
      <c r="B170" s="86"/>
      <c r="C170" s="86"/>
      <c r="D170" s="85"/>
      <c r="E170" s="85"/>
      <c r="F170" s="87"/>
      <c r="G170" s="87"/>
      <c r="H170" s="48"/>
    </row>
    <row r="171" spans="1:8" ht="14.5" hidden="1">
      <c r="A171" s="48"/>
      <c r="B171" s="86"/>
      <c r="C171" s="86"/>
      <c r="D171" s="85"/>
      <c r="E171" s="85"/>
      <c r="F171" s="87"/>
      <c r="G171" s="87"/>
      <c r="H171" s="48"/>
    </row>
    <row r="172" spans="1:8" ht="14.5" hidden="1">
      <c r="A172" s="48"/>
      <c r="B172" s="86"/>
      <c r="C172" s="86"/>
      <c r="D172" s="85"/>
      <c r="E172" s="85"/>
      <c r="F172" s="87"/>
      <c r="G172" s="87"/>
      <c r="H172" s="48"/>
    </row>
    <row r="173" spans="1:8" ht="14.5" hidden="1">
      <c r="A173" s="48"/>
      <c r="B173" s="86"/>
      <c r="C173" s="86"/>
      <c r="D173" s="85"/>
      <c r="E173" s="85"/>
      <c r="F173" s="87"/>
      <c r="G173" s="87"/>
      <c r="H173" s="48"/>
    </row>
    <row r="174" spans="1:8" ht="14.5" hidden="1">
      <c r="A174" s="48"/>
      <c r="B174" s="86"/>
      <c r="C174" s="86"/>
      <c r="D174" s="85"/>
      <c r="E174" s="85"/>
      <c r="F174" s="87"/>
      <c r="G174" s="87"/>
      <c r="H174" s="48"/>
    </row>
    <row r="175" spans="1:8" ht="14.5" hidden="1">
      <c r="A175" s="48"/>
      <c r="B175" s="86"/>
      <c r="C175" s="86"/>
      <c r="D175" s="85"/>
      <c r="E175" s="85"/>
      <c r="F175" s="87"/>
      <c r="G175" s="87"/>
      <c r="H175" s="48"/>
    </row>
    <row r="176" spans="1:8" ht="14.5" hidden="1">
      <c r="A176" s="48"/>
      <c r="B176" s="86"/>
      <c r="C176" s="86"/>
      <c r="D176" s="85"/>
      <c r="E176" s="85"/>
      <c r="F176" s="87"/>
      <c r="G176" s="87"/>
      <c r="H176" s="48"/>
    </row>
    <row r="177" spans="1:8" ht="14.5" hidden="1">
      <c r="A177" s="48"/>
      <c r="B177" s="86"/>
      <c r="C177" s="86"/>
      <c r="D177" s="85"/>
      <c r="E177" s="85"/>
      <c r="F177" s="87"/>
      <c r="G177" s="87"/>
      <c r="H177" s="48"/>
    </row>
    <row r="178" spans="1:8" ht="14.5" hidden="1">
      <c r="A178" s="48"/>
      <c r="B178" s="86"/>
      <c r="C178" s="86"/>
      <c r="D178" s="85"/>
      <c r="E178" s="85"/>
      <c r="F178" s="87"/>
      <c r="G178" s="87"/>
      <c r="H178" s="48"/>
    </row>
    <row r="179" spans="1:8" ht="14.5" hidden="1">
      <c r="A179" s="48"/>
      <c r="B179" s="86"/>
      <c r="C179" s="86"/>
      <c r="D179" s="85"/>
      <c r="E179" s="85"/>
      <c r="F179" s="87"/>
      <c r="G179" s="87"/>
      <c r="H179" s="48"/>
    </row>
    <row r="180" spans="1:8" ht="14.5" hidden="1">
      <c r="A180" s="48"/>
      <c r="B180" s="86"/>
      <c r="C180" s="86"/>
      <c r="D180" s="85"/>
      <c r="E180" s="85"/>
      <c r="F180" s="87"/>
      <c r="G180" s="87"/>
      <c r="H180" s="48"/>
    </row>
    <row r="181" spans="1:8" ht="14.5" hidden="1">
      <c r="A181" s="48"/>
      <c r="B181" s="86"/>
      <c r="C181" s="86"/>
      <c r="D181" s="85"/>
      <c r="E181" s="85"/>
      <c r="F181" s="87"/>
      <c r="G181" s="87"/>
      <c r="H181" s="48"/>
    </row>
    <row r="182" spans="1:8" ht="14.5" hidden="1">
      <c r="A182" s="48"/>
      <c r="B182" s="86"/>
      <c r="C182" s="86"/>
      <c r="D182" s="85"/>
      <c r="E182" s="85"/>
      <c r="F182" s="87"/>
      <c r="G182" s="87"/>
      <c r="H182" s="48"/>
    </row>
    <row r="183" spans="1:8" ht="14.5" hidden="1">
      <c r="A183" s="48"/>
      <c r="B183" s="86"/>
      <c r="C183" s="86"/>
      <c r="D183" s="85"/>
      <c r="E183" s="85"/>
      <c r="F183" s="87"/>
      <c r="G183" s="87"/>
      <c r="H183" s="48"/>
    </row>
    <row r="184" spans="1:8" ht="14.5" hidden="1">
      <c r="A184" s="48"/>
      <c r="B184" s="86"/>
      <c r="C184" s="86"/>
      <c r="D184" s="85"/>
      <c r="E184" s="85"/>
      <c r="F184" s="87"/>
      <c r="G184" s="87"/>
      <c r="H184" s="48"/>
    </row>
    <row r="185" spans="1:8" ht="14.5" hidden="1">
      <c r="A185" s="48"/>
      <c r="B185" s="86"/>
      <c r="C185" s="86"/>
      <c r="D185" s="85"/>
      <c r="E185" s="85"/>
      <c r="F185" s="87"/>
      <c r="G185" s="87"/>
      <c r="H185" s="48"/>
    </row>
    <row r="186" spans="1:8" ht="14.5" hidden="1">
      <c r="A186" s="48"/>
      <c r="B186" s="86"/>
      <c r="C186" s="86"/>
      <c r="D186" s="85"/>
      <c r="E186" s="85"/>
      <c r="F186" s="87"/>
      <c r="G186" s="87"/>
      <c r="H186" s="48"/>
    </row>
    <row r="187" spans="1:8" ht="14.5" hidden="1">
      <c r="A187" s="48"/>
      <c r="B187" s="86"/>
      <c r="C187" s="86"/>
      <c r="D187" s="85"/>
      <c r="E187" s="85"/>
      <c r="F187" s="87"/>
      <c r="G187" s="87"/>
      <c r="H187" s="48"/>
    </row>
    <row r="188" spans="1:8" ht="14.5" hidden="1">
      <c r="A188" s="48"/>
      <c r="B188" s="86"/>
      <c r="C188" s="86"/>
      <c r="D188" s="85"/>
      <c r="E188" s="85"/>
      <c r="F188" s="87"/>
      <c r="G188" s="87"/>
      <c r="H188" s="48"/>
    </row>
    <row r="189" spans="1:8" ht="14.5" hidden="1">
      <c r="A189" s="48"/>
      <c r="B189" s="86"/>
      <c r="C189" s="86"/>
      <c r="D189" s="85"/>
      <c r="E189" s="85"/>
      <c r="F189" s="87"/>
      <c r="G189" s="87"/>
      <c r="H189" s="48"/>
    </row>
    <row r="190" spans="1:8" ht="14.5" hidden="1">
      <c r="A190" s="48"/>
      <c r="B190" s="86"/>
      <c r="C190" s="86"/>
      <c r="D190" s="85"/>
      <c r="E190" s="85"/>
      <c r="F190" s="87"/>
      <c r="G190" s="87"/>
      <c r="H190" s="48"/>
    </row>
    <row r="191" spans="1:8" ht="14.5" hidden="1">
      <c r="A191" s="48"/>
      <c r="B191" s="86"/>
      <c r="C191" s="86"/>
      <c r="D191" s="85"/>
      <c r="E191" s="85"/>
      <c r="F191" s="87"/>
      <c r="G191" s="87"/>
      <c r="H191" s="48"/>
    </row>
    <row r="192" spans="1:8" ht="14.5" hidden="1">
      <c r="A192" s="48"/>
      <c r="B192" s="86"/>
      <c r="C192" s="86"/>
      <c r="D192" s="85"/>
      <c r="E192" s="85"/>
      <c r="F192" s="87"/>
      <c r="G192" s="87"/>
      <c r="H192" s="48"/>
    </row>
    <row r="193" spans="1:8" ht="14.5" hidden="1">
      <c r="A193" s="48"/>
      <c r="B193" s="86"/>
      <c r="C193" s="86"/>
      <c r="D193" s="85"/>
      <c r="E193" s="85"/>
      <c r="F193" s="87"/>
      <c r="G193" s="87"/>
      <c r="H193" s="48"/>
    </row>
    <row r="194" spans="1:8" ht="14.5" hidden="1">
      <c r="A194" s="48"/>
      <c r="B194" s="86"/>
      <c r="C194" s="86"/>
      <c r="D194" s="85"/>
      <c r="E194" s="85"/>
      <c r="F194" s="87"/>
      <c r="G194" s="87"/>
      <c r="H194" s="48"/>
    </row>
    <row r="195" spans="1:8" ht="14.5" hidden="1">
      <c r="A195" s="48"/>
      <c r="B195" s="86"/>
      <c r="C195" s="86"/>
      <c r="D195" s="85"/>
      <c r="E195" s="85"/>
      <c r="F195" s="87"/>
      <c r="G195" s="87"/>
      <c r="H195" s="48"/>
    </row>
    <row r="196" spans="1:8" ht="14.5" hidden="1">
      <c r="A196" s="48"/>
      <c r="B196" s="86"/>
      <c r="C196" s="86"/>
      <c r="D196" s="85"/>
      <c r="E196" s="85"/>
      <c r="F196" s="87"/>
      <c r="G196" s="87"/>
      <c r="H196" s="48"/>
    </row>
    <row r="197" spans="1:8" ht="14.5" hidden="1">
      <c r="A197" s="48"/>
      <c r="B197" s="86"/>
      <c r="C197" s="86"/>
      <c r="D197" s="85"/>
      <c r="E197" s="85"/>
      <c r="F197" s="87"/>
      <c r="G197" s="87"/>
      <c r="H197" s="48"/>
    </row>
    <row r="198" spans="1:8" ht="14.5" hidden="1">
      <c r="A198" s="48"/>
      <c r="B198" s="86"/>
      <c r="C198" s="86"/>
      <c r="D198" s="85"/>
      <c r="E198" s="85"/>
      <c r="F198" s="87"/>
      <c r="G198" s="87"/>
      <c r="H198" s="48"/>
    </row>
    <row r="199" spans="1:8" ht="14.5" hidden="1">
      <c r="A199" s="48"/>
      <c r="B199" s="86"/>
      <c r="C199" s="86"/>
      <c r="D199" s="85"/>
      <c r="E199" s="85"/>
      <c r="F199" s="87"/>
      <c r="G199" s="87"/>
      <c r="H199" s="48"/>
    </row>
    <row r="200" spans="1:8" ht="14.5" hidden="1">
      <c r="A200" s="48"/>
      <c r="B200" s="86"/>
      <c r="C200" s="86"/>
      <c r="D200" s="85"/>
      <c r="E200" s="85"/>
      <c r="F200" s="87"/>
      <c r="G200" s="87"/>
      <c r="H200" s="48"/>
    </row>
    <row r="201" spans="1:8" ht="14.5" hidden="1">
      <c r="A201" s="48"/>
      <c r="B201" s="86"/>
      <c r="C201" s="86"/>
      <c r="D201" s="85"/>
      <c r="E201" s="85"/>
      <c r="F201" s="87"/>
      <c r="G201" s="87"/>
      <c r="H201" s="48"/>
    </row>
    <row r="202" spans="1:8" ht="14.5" hidden="1">
      <c r="A202" s="48"/>
      <c r="B202" s="86"/>
      <c r="C202" s="86"/>
      <c r="D202" s="85"/>
      <c r="E202" s="85"/>
      <c r="F202" s="87"/>
      <c r="G202" s="87"/>
      <c r="H202" s="48"/>
    </row>
    <row r="203" spans="1:8" ht="14.5" hidden="1">
      <c r="A203" s="48"/>
      <c r="B203" s="86"/>
      <c r="C203" s="86"/>
      <c r="D203" s="85"/>
      <c r="E203" s="85"/>
      <c r="F203" s="87"/>
      <c r="G203" s="87"/>
      <c r="H203" s="48"/>
    </row>
    <row r="204" spans="1:8" ht="14.5" hidden="1">
      <c r="A204" s="48"/>
      <c r="B204" s="86"/>
      <c r="C204" s="86"/>
      <c r="D204" s="85"/>
      <c r="E204" s="85"/>
      <c r="F204" s="87"/>
      <c r="G204" s="87"/>
      <c r="H204" s="48"/>
    </row>
    <row r="205" spans="1:8" ht="14.5" hidden="1">
      <c r="A205" s="48"/>
      <c r="B205" s="86"/>
      <c r="C205" s="86"/>
      <c r="D205" s="85"/>
      <c r="E205" s="85"/>
      <c r="F205" s="87"/>
      <c r="G205" s="87"/>
      <c r="H205" s="48"/>
    </row>
    <row r="206" spans="1:8" ht="14.5" hidden="1">
      <c r="A206" s="48"/>
      <c r="B206" s="86"/>
      <c r="C206" s="86"/>
      <c r="D206" s="85"/>
      <c r="E206" s="85"/>
      <c r="F206" s="87"/>
      <c r="G206" s="87"/>
      <c r="H206" s="48"/>
    </row>
    <row r="207" spans="1:8" ht="14.5" hidden="1">
      <c r="A207" s="48"/>
      <c r="B207" s="86"/>
      <c r="C207" s="86"/>
      <c r="D207" s="85"/>
      <c r="E207" s="85"/>
      <c r="F207" s="87"/>
      <c r="G207" s="87"/>
      <c r="H207" s="48"/>
    </row>
    <row r="208" spans="1:8" ht="14.5" hidden="1">
      <c r="A208" s="48"/>
      <c r="B208" s="86"/>
      <c r="C208" s="86"/>
      <c r="D208" s="85"/>
      <c r="E208" s="85"/>
      <c r="F208" s="87"/>
      <c r="G208" s="87"/>
      <c r="H208" s="48"/>
    </row>
    <row r="209" spans="1:8" ht="14.5" hidden="1">
      <c r="A209" s="48"/>
      <c r="B209" s="86"/>
      <c r="C209" s="86"/>
      <c r="D209" s="85"/>
      <c r="E209" s="85"/>
      <c r="F209" s="87"/>
      <c r="G209" s="87"/>
      <c r="H209" s="48"/>
    </row>
    <row r="210" spans="1:8" ht="14.5" hidden="1">
      <c r="A210" s="48"/>
      <c r="B210" s="86"/>
      <c r="C210" s="86"/>
      <c r="D210" s="85"/>
      <c r="E210" s="85"/>
      <c r="F210" s="87"/>
      <c r="G210" s="87"/>
      <c r="H210" s="48"/>
    </row>
    <row r="211" spans="1:8" ht="14.5" hidden="1">
      <c r="A211" s="48"/>
      <c r="B211" s="86"/>
      <c r="C211" s="86"/>
      <c r="D211" s="85"/>
      <c r="E211" s="85"/>
      <c r="F211" s="87"/>
      <c r="G211" s="87"/>
      <c r="H211" s="48"/>
    </row>
    <row r="212" spans="1:8" ht="14.5" hidden="1">
      <c r="A212" s="48"/>
      <c r="B212" s="86"/>
      <c r="C212" s="86"/>
      <c r="D212" s="85"/>
      <c r="E212" s="85"/>
      <c r="F212" s="87"/>
      <c r="G212" s="87"/>
      <c r="H212" s="48"/>
    </row>
    <row r="213" spans="1:8" ht="14.5" hidden="1">
      <c r="A213" s="48"/>
      <c r="B213" s="86"/>
      <c r="C213" s="86"/>
      <c r="D213" s="85"/>
      <c r="E213" s="85"/>
      <c r="F213" s="87"/>
      <c r="G213" s="87"/>
      <c r="H213" s="48"/>
    </row>
    <row r="214" spans="1:8" ht="14.5" hidden="1">
      <c r="A214" s="48"/>
      <c r="B214" s="86"/>
      <c r="C214" s="86"/>
      <c r="D214" s="85"/>
      <c r="E214" s="85"/>
      <c r="F214" s="87"/>
      <c r="G214" s="87"/>
      <c r="H214" s="48"/>
    </row>
    <row r="215" spans="1:8" ht="14.5" hidden="1">
      <c r="A215" s="48"/>
      <c r="B215" s="86"/>
      <c r="C215" s="86"/>
      <c r="D215" s="85"/>
      <c r="E215" s="85"/>
      <c r="F215" s="87"/>
      <c r="G215" s="87"/>
      <c r="H215" s="48"/>
    </row>
    <row r="216" spans="1:8" ht="14.5" hidden="1">
      <c r="A216" s="48"/>
      <c r="B216" s="86"/>
      <c r="C216" s="86"/>
      <c r="D216" s="85"/>
      <c r="E216" s="85"/>
      <c r="F216" s="87"/>
      <c r="G216" s="87"/>
      <c r="H216" s="48"/>
    </row>
    <row r="217" spans="1:8" ht="14.5" hidden="1">
      <c r="A217" s="48"/>
      <c r="B217" s="86"/>
      <c r="C217" s="86"/>
      <c r="D217" s="85"/>
      <c r="E217" s="85"/>
      <c r="F217" s="87"/>
      <c r="G217" s="87"/>
      <c r="H217" s="48"/>
    </row>
    <row r="218" spans="1:8" ht="14.5" hidden="1">
      <c r="A218" s="48"/>
      <c r="B218" s="86"/>
      <c r="C218" s="86"/>
      <c r="D218" s="85"/>
      <c r="E218" s="85"/>
      <c r="F218" s="87"/>
      <c r="G218" s="87"/>
      <c r="H218" s="48"/>
    </row>
    <row r="219" spans="1:8" ht="14.5" hidden="1">
      <c r="A219" s="48"/>
      <c r="B219" s="86"/>
      <c r="C219" s="86"/>
      <c r="D219" s="85"/>
      <c r="E219" s="85"/>
      <c r="F219" s="87"/>
      <c r="G219" s="87"/>
      <c r="H219" s="48"/>
    </row>
    <row r="220" spans="1:8" ht="14.5" hidden="1">
      <c r="A220" s="48"/>
      <c r="B220" s="86"/>
      <c r="C220" s="86"/>
      <c r="D220" s="85"/>
      <c r="E220" s="85"/>
      <c r="F220" s="87"/>
      <c r="G220" s="87"/>
      <c r="H220" s="48"/>
    </row>
    <row r="221" spans="1:8" ht="14.5" hidden="1">
      <c r="A221" s="48"/>
      <c r="B221" s="86"/>
      <c r="C221" s="86"/>
      <c r="D221" s="85"/>
      <c r="E221" s="85"/>
      <c r="F221" s="87"/>
      <c r="G221" s="87"/>
      <c r="H221" s="48"/>
    </row>
    <row r="222" spans="1:8" ht="14.5" hidden="1">
      <c r="A222" s="48"/>
      <c r="B222" s="86"/>
      <c r="C222" s="86"/>
      <c r="D222" s="85"/>
      <c r="E222" s="85"/>
      <c r="F222" s="87"/>
      <c r="G222" s="87"/>
      <c r="H222" s="48"/>
    </row>
    <row r="223" spans="1:8" ht="14.5" hidden="1">
      <c r="A223" s="48"/>
      <c r="B223" s="86"/>
      <c r="C223" s="86"/>
      <c r="D223" s="85"/>
      <c r="E223" s="85"/>
      <c r="F223" s="87"/>
      <c r="G223" s="87"/>
      <c r="H223" s="48"/>
    </row>
    <row r="224" spans="1:8" ht="14.5" hidden="1">
      <c r="A224" s="48"/>
      <c r="B224" s="86"/>
      <c r="C224" s="86"/>
      <c r="D224" s="85"/>
      <c r="E224" s="85"/>
      <c r="F224" s="87"/>
      <c r="G224" s="87"/>
      <c r="H224" s="48"/>
    </row>
    <row r="225" spans="1:8" ht="14.5" hidden="1">
      <c r="A225" s="48"/>
      <c r="B225" s="86"/>
      <c r="C225" s="86"/>
      <c r="D225" s="85"/>
      <c r="E225" s="85"/>
      <c r="F225" s="87"/>
      <c r="G225" s="87"/>
      <c r="H225" s="48"/>
    </row>
    <row r="226" spans="1:8" ht="14.5" hidden="1">
      <c r="A226" s="48"/>
      <c r="B226" s="86"/>
      <c r="C226" s="86"/>
      <c r="D226" s="85"/>
      <c r="E226" s="85"/>
      <c r="F226" s="87"/>
      <c r="G226" s="87"/>
      <c r="H226" s="48"/>
    </row>
    <row r="227" spans="1:8" ht="14.5" hidden="1">
      <c r="A227" s="48"/>
      <c r="B227" s="86"/>
      <c r="C227" s="86"/>
      <c r="D227" s="85"/>
      <c r="E227" s="85"/>
      <c r="F227" s="87"/>
      <c r="G227" s="87"/>
      <c r="H227" s="48"/>
    </row>
    <row r="228" spans="1:8" ht="14.5" hidden="1">
      <c r="A228" s="48"/>
      <c r="B228" s="86"/>
      <c r="C228" s="86"/>
      <c r="D228" s="85"/>
      <c r="E228" s="85"/>
      <c r="F228" s="87"/>
      <c r="G228" s="87"/>
      <c r="H228" s="48"/>
    </row>
    <row r="229" spans="1:8" ht="14.5" hidden="1">
      <c r="A229" s="48"/>
      <c r="B229" s="86"/>
      <c r="C229" s="86"/>
      <c r="D229" s="85"/>
      <c r="E229" s="85"/>
      <c r="F229" s="87"/>
      <c r="G229" s="87"/>
      <c r="H229" s="48"/>
    </row>
    <row r="230" spans="1:8" ht="14.5" hidden="1">
      <c r="A230" s="48"/>
      <c r="B230" s="86"/>
      <c r="C230" s="86"/>
      <c r="D230" s="85"/>
      <c r="E230" s="85"/>
      <c r="F230" s="87"/>
      <c r="G230" s="87"/>
      <c r="H230" s="48"/>
    </row>
    <row r="231" spans="1:8" ht="14.5" hidden="1">
      <c r="A231" s="48"/>
      <c r="B231" s="86"/>
      <c r="C231" s="86"/>
      <c r="D231" s="85"/>
      <c r="E231" s="85"/>
      <c r="F231" s="87"/>
      <c r="G231" s="87"/>
      <c r="H231" s="48"/>
    </row>
    <row r="232" spans="1:8" ht="14.5" hidden="1">
      <c r="A232" s="48"/>
      <c r="B232" s="86"/>
      <c r="C232" s="86"/>
      <c r="D232" s="85"/>
      <c r="E232" s="85"/>
      <c r="F232" s="87"/>
      <c r="G232" s="87"/>
      <c r="H232" s="48"/>
    </row>
    <row r="233" spans="1:8" ht="14.5" hidden="1">
      <c r="A233" s="48"/>
      <c r="B233" s="86"/>
      <c r="C233" s="86"/>
      <c r="D233" s="85"/>
      <c r="E233" s="85"/>
      <c r="F233" s="87"/>
      <c r="G233" s="87"/>
      <c r="H233" s="48"/>
    </row>
    <row r="234" spans="1:8" ht="14.5" hidden="1">
      <c r="A234" s="48"/>
      <c r="B234" s="86"/>
      <c r="C234" s="86"/>
      <c r="D234" s="85"/>
      <c r="E234" s="85"/>
      <c r="F234" s="87"/>
      <c r="G234" s="87"/>
      <c r="H234" s="48"/>
    </row>
    <row r="235" spans="1:8" ht="14.5" hidden="1">
      <c r="A235" s="48"/>
      <c r="B235" s="48"/>
      <c r="C235" s="86"/>
      <c r="D235" s="85"/>
      <c r="E235" s="85"/>
      <c r="F235" s="87"/>
      <c r="G235" s="87"/>
      <c r="H235" s="48"/>
    </row>
    <row r="236" spans="1:8" ht="14.5" hidden="1">
      <c r="A236" s="48"/>
      <c r="B236" s="48"/>
      <c r="C236" s="86"/>
      <c r="D236" s="85"/>
      <c r="E236" s="85"/>
      <c r="F236" s="87"/>
      <c r="G236" s="87"/>
      <c r="H236" s="48"/>
    </row>
    <row r="237" spans="1:8" ht="14.5" hidden="1">
      <c r="A237" s="48"/>
      <c r="B237" s="48"/>
      <c r="C237" s="86"/>
      <c r="D237" s="85"/>
      <c r="E237" s="85"/>
      <c r="F237" s="87"/>
      <c r="G237" s="87"/>
      <c r="H237" s="48"/>
    </row>
    <row r="238" spans="1:8" ht="14.5" hidden="1">
      <c r="A238" s="48"/>
      <c r="B238" s="48"/>
      <c r="C238" s="86"/>
      <c r="D238" s="85"/>
      <c r="E238" s="85"/>
      <c r="F238" s="87"/>
      <c r="G238" s="87"/>
      <c r="H238" s="48"/>
    </row>
    <row r="239" spans="1:8" ht="14.5" hidden="1">
      <c r="A239" s="48"/>
      <c r="B239" s="48"/>
      <c r="C239" s="86"/>
      <c r="D239" s="85"/>
      <c r="E239" s="85"/>
      <c r="F239" s="87"/>
      <c r="G239" s="87"/>
      <c r="H239" s="48"/>
    </row>
    <row r="240" spans="1:8" ht="14.5" hidden="1"/>
    <row r="241" ht="14.5" hidden="1"/>
    <row r="242" ht="14.5" hidden="1"/>
    <row r="243" ht="14.5" hidden="1"/>
    <row r="244" ht="14.5" hidden="1"/>
    <row r="245" ht="14.5" hidden="1"/>
    <row r="246" ht="14.5" hidden="1"/>
    <row r="247" ht="14.5" hidden="1"/>
    <row r="248" ht="14.5" hidden="1"/>
    <row r="1000" spans="648:648" ht="15.5">
      <c r="XX1000" s="104">
        <v>56981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3F166-8E67-4745-985C-9FBF2D0E0897}">
  <sheetPr codeName="Sheet11"/>
  <dimension ref="A1:BW110"/>
  <sheetViews>
    <sheetView workbookViewId="0">
      <selection activeCell="F75" sqref="F75"/>
    </sheetView>
  </sheetViews>
  <sheetFormatPr defaultColWidth="8.7265625" defaultRowHeight="14.5"/>
  <cols>
    <col min="1" max="1" width="3.81640625" style="6" customWidth="1"/>
    <col min="2" max="2" width="23.54296875" style="6" bestFit="1" customWidth="1"/>
    <col min="3" max="3" width="3.81640625" style="6" customWidth="1"/>
    <col min="4" max="4" width="20.08984375" style="6" customWidth="1"/>
    <col min="5" max="5" width="3.81640625" style="6" customWidth="1"/>
    <col min="6" max="6" width="23.7265625" style="6" bestFit="1" customWidth="1"/>
    <col min="7" max="8" width="15.36328125" style="6" customWidth="1"/>
    <col min="9" max="9" width="22" style="6" bestFit="1" customWidth="1"/>
    <col min="10" max="11" width="15.36328125" style="6" customWidth="1"/>
    <col min="12" max="12" width="3.81640625" style="6" customWidth="1"/>
    <col min="13" max="13" width="23.7265625" style="6" bestFit="1" customWidth="1"/>
    <col min="14" max="14" width="15.36328125" style="6" customWidth="1"/>
    <col min="15" max="15" width="3.81640625" style="6" customWidth="1"/>
    <col min="16" max="16" width="21.7265625" style="6" bestFit="1" customWidth="1"/>
    <col min="17" max="17" width="13" style="6" customWidth="1"/>
    <col min="18" max="18" width="3.81640625" style="6" customWidth="1"/>
    <col min="19" max="19" width="16.36328125" style="6" bestFit="1" customWidth="1"/>
    <col min="20" max="20" width="3.81640625" style="6" customWidth="1"/>
    <col min="21" max="24" width="15.08984375" style="6" customWidth="1"/>
    <col min="25" max="25" width="3.81640625" style="6" customWidth="1"/>
    <col min="26" max="26" width="16" style="6" bestFit="1" customWidth="1"/>
    <col min="27" max="34" width="16" style="6" customWidth="1"/>
    <col min="35" max="45" width="17.08984375" style="6" bestFit="1" customWidth="1"/>
    <col min="46" max="46" width="3.81640625" style="6" customWidth="1"/>
    <col min="47" max="47" width="9.36328125" style="6" bestFit="1" customWidth="1"/>
    <col min="48" max="48" width="29.36328125" style="6" customWidth="1"/>
    <col min="49" max="50" width="11.7265625" style="6" customWidth="1"/>
    <col min="51" max="51" width="21.08984375" style="6" customWidth="1"/>
    <col min="52" max="52" width="3.81640625" style="6" customWidth="1"/>
    <col min="53" max="54" width="21.08984375" style="6" customWidth="1"/>
    <col min="55" max="55" width="3.81640625" style="6" customWidth="1"/>
    <col min="56" max="75" width="14.7265625" style="6" customWidth="1"/>
    <col min="76" max="16384" width="8.7265625" style="6"/>
  </cols>
  <sheetData>
    <row r="1" spans="1:75">
      <c r="B1" s="8" t="s">
        <v>2</v>
      </c>
      <c r="D1" s="8" t="s">
        <v>0</v>
      </c>
      <c r="F1" s="8" t="s">
        <v>5</v>
      </c>
      <c r="G1" s="8" t="s">
        <v>6</v>
      </c>
      <c r="H1" s="8" t="s">
        <v>7</v>
      </c>
      <c r="I1" s="8" t="s">
        <v>8</v>
      </c>
      <c r="J1" s="8" t="s">
        <v>30</v>
      </c>
      <c r="K1" s="19" t="s">
        <v>21</v>
      </c>
      <c r="M1" s="8" t="s">
        <v>5</v>
      </c>
      <c r="N1" s="8" t="s">
        <v>10</v>
      </c>
      <c r="P1" s="8" t="s">
        <v>16</v>
      </c>
      <c r="Q1" s="8" t="s">
        <v>31</v>
      </c>
      <c r="S1" s="8" t="s">
        <v>32</v>
      </c>
      <c r="U1" s="8" t="s">
        <v>13</v>
      </c>
      <c r="V1" s="8" t="s">
        <v>14</v>
      </c>
      <c r="W1" s="8" t="s">
        <v>15</v>
      </c>
      <c r="X1" s="8" t="s">
        <v>12</v>
      </c>
      <c r="Z1" s="8" t="s">
        <v>33</v>
      </c>
      <c r="AA1" s="8" t="s">
        <v>34</v>
      </c>
      <c r="AB1" s="8" t="s">
        <v>35</v>
      </c>
      <c r="AC1" s="8" t="s">
        <v>36</v>
      </c>
      <c r="AD1" s="8" t="s">
        <v>37</v>
      </c>
      <c r="AE1" s="8" t="s">
        <v>38</v>
      </c>
      <c r="AF1" s="8" t="s">
        <v>39</v>
      </c>
      <c r="AG1" s="8" t="s">
        <v>40</v>
      </c>
      <c r="AH1" s="8" t="s">
        <v>41</v>
      </c>
      <c r="AI1" s="8" t="s">
        <v>42</v>
      </c>
      <c r="AJ1" s="8" t="s">
        <v>43</v>
      </c>
      <c r="AK1" s="8" t="s">
        <v>44</v>
      </c>
      <c r="AL1" s="8" t="s">
        <v>45</v>
      </c>
      <c r="AM1" s="8" t="s">
        <v>46</v>
      </c>
      <c r="AN1" s="8" t="s">
        <v>47</v>
      </c>
      <c r="AO1" s="8" t="s">
        <v>48</v>
      </c>
      <c r="AP1" s="8" t="s">
        <v>49</v>
      </c>
      <c r="AQ1" s="8" t="s">
        <v>50</v>
      </c>
      <c r="AR1" s="8" t="s">
        <v>51</v>
      </c>
      <c r="AS1" s="8" t="s">
        <v>52</v>
      </c>
      <c r="AU1" s="8" t="s">
        <v>53</v>
      </c>
      <c r="AV1" s="8" t="s">
        <v>115</v>
      </c>
      <c r="AW1" s="8" t="s">
        <v>116</v>
      </c>
      <c r="AX1" s="8" t="s">
        <v>117</v>
      </c>
      <c r="AY1" s="8" t="s">
        <v>54</v>
      </c>
      <c r="BA1" s="8" t="s">
        <v>55</v>
      </c>
      <c r="BB1" s="19" t="s">
        <v>81</v>
      </c>
      <c r="BD1" s="8" t="s">
        <v>56</v>
      </c>
      <c r="BE1" s="8" t="s">
        <v>57</v>
      </c>
      <c r="BF1" s="8" t="s">
        <v>58</v>
      </c>
      <c r="BG1" s="8" t="s">
        <v>59</v>
      </c>
      <c r="BH1" s="8" t="s">
        <v>60</v>
      </c>
      <c r="BI1" s="8" t="s">
        <v>61</v>
      </c>
      <c r="BJ1" s="8" t="s">
        <v>62</v>
      </c>
      <c r="BK1" s="8" t="s">
        <v>63</v>
      </c>
      <c r="BL1" s="8" t="s">
        <v>64</v>
      </c>
      <c r="BM1" s="8" t="s">
        <v>65</v>
      </c>
      <c r="BN1" s="8" t="s">
        <v>66</v>
      </c>
      <c r="BO1" s="8" t="s">
        <v>67</v>
      </c>
      <c r="BP1" s="8" t="s">
        <v>68</v>
      </c>
      <c r="BQ1" s="8" t="s">
        <v>69</v>
      </c>
      <c r="BR1" s="8" t="s">
        <v>70</v>
      </c>
      <c r="BS1" s="8" t="s">
        <v>71</v>
      </c>
      <c r="BT1" s="8" t="s">
        <v>72</v>
      </c>
      <c r="BU1" s="8" t="s">
        <v>73</v>
      </c>
      <c r="BV1" s="8" t="s">
        <v>74</v>
      </c>
      <c r="BW1" s="8" t="s">
        <v>75</v>
      </c>
    </row>
    <row r="2" spans="1:75">
      <c r="B2" s="6" t="s">
        <v>197</v>
      </c>
      <c r="D2" s="9"/>
      <c r="F2" s="9" t="s">
        <v>294</v>
      </c>
      <c r="G2" s="9" t="s">
        <v>108</v>
      </c>
      <c r="H2" s="9" t="s">
        <v>315</v>
      </c>
      <c r="I2" s="9" t="s">
        <v>316</v>
      </c>
      <c r="J2" s="9" t="s">
        <v>24</v>
      </c>
      <c r="K2" s="31" t="b">
        <f ca="1">IF(PRODUCT(BB2:BB3)=1,TRUE,FALSE)</f>
        <v>1</v>
      </c>
      <c r="M2" s="6" t="s">
        <v>156</v>
      </c>
      <c r="N2" s="6" t="s">
        <v>22</v>
      </c>
      <c r="P2" s="6" t="s">
        <v>199</v>
      </c>
      <c r="Q2" s="23" cm="1">
        <f t="array" ref="Q2">IF(RandomMethod="Numbers",S2,IF(RandomMethod="Scenarios",INDEX(Z2:AS2,RandomScenarioNumber),"Error"))</f>
        <v>1200</v>
      </c>
      <c r="S2" s="6">
        <v>1200</v>
      </c>
      <c r="U2" s="1">
        <v>22</v>
      </c>
      <c r="V2" s="1">
        <v>24</v>
      </c>
      <c r="W2" s="1">
        <v>50</v>
      </c>
      <c r="X2" s="2">
        <f t="shared" ref="X2:X14" ca="1" si="0">RANDBETWEEN($U2,$V2)*$W2</f>
        <v>1150</v>
      </c>
      <c r="Z2" s="23">
        <v>1200</v>
      </c>
      <c r="AA2" s="23">
        <v>1200</v>
      </c>
      <c r="AB2" s="23">
        <v>1100</v>
      </c>
      <c r="AC2" s="23">
        <v>1200</v>
      </c>
      <c r="AD2" s="23">
        <v>1200</v>
      </c>
      <c r="AE2" s="23">
        <v>1150</v>
      </c>
      <c r="AF2" s="23">
        <v>1150</v>
      </c>
      <c r="AG2" s="23">
        <v>1200</v>
      </c>
      <c r="AH2" s="23">
        <v>1150</v>
      </c>
      <c r="AI2" s="23">
        <v>1200</v>
      </c>
      <c r="AJ2" s="23">
        <v>1150</v>
      </c>
      <c r="AK2" s="23">
        <v>1150</v>
      </c>
      <c r="AL2" s="23">
        <v>1150</v>
      </c>
      <c r="AM2" s="23">
        <v>1200</v>
      </c>
      <c r="AN2" s="23">
        <v>1200</v>
      </c>
      <c r="AO2" s="23">
        <v>1100</v>
      </c>
      <c r="AP2" s="23">
        <v>1100</v>
      </c>
      <c r="AQ2" s="23">
        <v>1100</v>
      </c>
      <c r="AR2" s="23">
        <v>1150</v>
      </c>
      <c r="AS2" s="23">
        <v>1200</v>
      </c>
      <c r="AU2" s="6">
        <v>1</v>
      </c>
      <c r="AV2" s="9" t="s">
        <v>294</v>
      </c>
      <c r="AW2" s="6" t="s">
        <v>108</v>
      </c>
      <c r="AX2" s="6" t="s">
        <v>296</v>
      </c>
      <c r="AY2" s="26" cm="1">
        <f t="array" ref="AY2">IF(RandomMethod="Numbers",BA2,IF(RandomMethod="Scenarios",INDEX(BD2:BW2,RandomScenarioNumber),"Error"))</f>
        <v>1212</v>
      </c>
      <c r="BA2" s="26" cm="1">
        <f t="array" aca="1" ref="BA2" ca="1">INDIRECT("'"&amp;AV2&amp;"'!"&amp;AW2)</f>
        <v>1212</v>
      </c>
      <c r="BB2" s="32" cm="1">
        <f t="array" aca="1" ref="BB2" ca="1">IF(CheckAnswer(AY2,BA2)=TRUE,1,0)</f>
        <v>1</v>
      </c>
      <c r="BD2" s="26">
        <v>1272</v>
      </c>
      <c r="BE2" s="26">
        <v>1236</v>
      </c>
      <c r="BF2" s="26">
        <v>1144</v>
      </c>
      <c r="BG2" s="26">
        <v>1248</v>
      </c>
      <c r="BH2" s="26">
        <v>1248</v>
      </c>
      <c r="BI2" s="26">
        <v>1184.5</v>
      </c>
      <c r="BJ2" s="26">
        <v>1196</v>
      </c>
      <c r="BK2" s="26">
        <v>1260</v>
      </c>
      <c r="BL2" s="26">
        <v>1196</v>
      </c>
      <c r="BM2" s="26">
        <v>1212</v>
      </c>
      <c r="BN2" s="26">
        <v>1184.5</v>
      </c>
      <c r="BO2" s="26">
        <v>1184.5</v>
      </c>
      <c r="BP2" s="26">
        <v>1161.5</v>
      </c>
      <c r="BQ2" s="26">
        <v>1224</v>
      </c>
      <c r="BR2" s="26">
        <v>1236</v>
      </c>
      <c r="BS2" s="26">
        <v>1122</v>
      </c>
      <c r="BT2" s="26">
        <v>1144</v>
      </c>
      <c r="BU2" s="26">
        <v>1166</v>
      </c>
      <c r="BV2" s="26">
        <v>1173</v>
      </c>
      <c r="BW2" s="26">
        <v>1212</v>
      </c>
    </row>
    <row r="3" spans="1:75">
      <c r="F3" s="9" t="s">
        <v>295</v>
      </c>
      <c r="G3" s="9" t="s">
        <v>110</v>
      </c>
      <c r="H3" s="9" t="s">
        <v>319</v>
      </c>
      <c r="I3" s="9" t="s">
        <v>344</v>
      </c>
      <c r="J3" s="9" t="s">
        <v>24</v>
      </c>
      <c r="K3" s="31" t="b">
        <f ca="1">IF(PRODUCT(BB4:BB8)=1,TRUE,FALSE)</f>
        <v>1</v>
      </c>
      <c r="M3" s="6" t="s">
        <v>157</v>
      </c>
      <c r="N3" s="6" t="s">
        <v>22</v>
      </c>
      <c r="P3" s="6" t="s">
        <v>201</v>
      </c>
      <c r="Q3" s="27" cm="1">
        <f t="array" ref="Q3">IF(RandomMethod="Numbers",S3,IF(RandomMethod="Scenarios",INDEX(Z3:AS3,RandomScenarioNumber),"Error"))</f>
        <v>0.01</v>
      </c>
      <c r="R3" s="24"/>
      <c r="S3" s="6">
        <v>0.01</v>
      </c>
      <c r="U3" s="1">
        <v>1</v>
      </c>
      <c r="V3" s="1">
        <v>6</v>
      </c>
      <c r="W3" s="80">
        <v>0.01</v>
      </c>
      <c r="X3" s="31">
        <f t="shared" ca="1" si="0"/>
        <v>0.01</v>
      </c>
      <c r="Z3" s="27">
        <v>0.06</v>
      </c>
      <c r="AA3" s="27">
        <v>0.03</v>
      </c>
      <c r="AB3" s="27">
        <v>0.04</v>
      </c>
      <c r="AC3" s="27">
        <v>0.04</v>
      </c>
      <c r="AD3" s="27">
        <v>0.04</v>
      </c>
      <c r="AE3" s="27">
        <v>0.03</v>
      </c>
      <c r="AF3" s="27">
        <v>0.04</v>
      </c>
      <c r="AG3" s="27">
        <v>0.05</v>
      </c>
      <c r="AH3" s="27">
        <v>0.04</v>
      </c>
      <c r="AI3" s="27">
        <v>0.01</v>
      </c>
      <c r="AJ3" s="27">
        <v>0.03</v>
      </c>
      <c r="AK3" s="27">
        <v>0.03</v>
      </c>
      <c r="AL3" s="27">
        <v>0.01</v>
      </c>
      <c r="AM3" s="27">
        <v>0.02</v>
      </c>
      <c r="AN3" s="27">
        <v>0.03</v>
      </c>
      <c r="AO3" s="27">
        <v>0.02</v>
      </c>
      <c r="AP3" s="27">
        <v>0.04</v>
      </c>
      <c r="AQ3" s="27">
        <v>0.06</v>
      </c>
      <c r="AR3" s="27">
        <v>0.02</v>
      </c>
      <c r="AS3" s="27">
        <v>0.01</v>
      </c>
      <c r="AU3" s="6">
        <v>2</v>
      </c>
      <c r="AV3" s="9" t="s">
        <v>294</v>
      </c>
      <c r="AW3" s="6" t="s">
        <v>109</v>
      </c>
      <c r="AX3" s="6" t="s">
        <v>297</v>
      </c>
      <c r="AY3" s="26" cm="1">
        <f t="array" ref="AY3">IF(RandomMethod="Numbers",BA3,IF(RandomMethod="Scenarios",INDEX(BD3:BW3,RandomScenarioNumber),"Error"))</f>
        <v>73454.472144000014</v>
      </c>
      <c r="BA3" s="26" cm="1">
        <f t="array" aca="1" ref="BA3" ca="1">INDIRECT("'"&amp;AV3&amp;"'!"&amp;AW3)</f>
        <v>73454.472144000014</v>
      </c>
      <c r="BB3" s="32" cm="1">
        <f t="array" aca="1" ref="BB3" ca="1">IF(CheckAnswer(AY3,BA3)=TRUE,1,0)</f>
        <v>1</v>
      </c>
      <c r="BD3" s="26">
        <v>81174.138623999956</v>
      </c>
      <c r="BE3" s="26">
        <v>76451.555664000072</v>
      </c>
      <c r="BF3" s="26">
        <v>71495.457792000074</v>
      </c>
      <c r="BG3" s="26">
        <v>77995.044863999996</v>
      </c>
      <c r="BH3" s="26">
        <v>77995.044863999996</v>
      </c>
      <c r="BI3" s="26">
        <v>73266.074178000083</v>
      </c>
      <c r="BJ3" s="26">
        <v>74745.251327999969</v>
      </c>
      <c r="BK3" s="26">
        <v>79569.09</v>
      </c>
      <c r="BL3" s="26">
        <v>74745.251327999969</v>
      </c>
      <c r="BM3" s="26">
        <v>73454.472144000014</v>
      </c>
      <c r="BN3" s="26">
        <v>73266.074178000083</v>
      </c>
      <c r="BO3" s="26">
        <v>73266.074178000083</v>
      </c>
      <c r="BP3" s="26">
        <v>70393.869137999995</v>
      </c>
      <c r="BQ3" s="26">
        <v>74938.178304000045</v>
      </c>
      <c r="BR3" s="26">
        <v>76451.555664000072</v>
      </c>
      <c r="BS3" s="26">
        <v>68693.33011200004</v>
      </c>
      <c r="BT3" s="26">
        <v>71495.457792000074</v>
      </c>
      <c r="BU3" s="26">
        <v>74409.627071999988</v>
      </c>
      <c r="BV3" s="26">
        <v>71815.754207999969</v>
      </c>
      <c r="BW3" s="26">
        <v>73454.472144000014</v>
      </c>
    </row>
    <row r="4" spans="1:75">
      <c r="A4" s="10"/>
      <c r="B4" s="8" t="s">
        <v>76</v>
      </c>
      <c r="D4" s="8" t="s">
        <v>1</v>
      </c>
      <c r="F4" s="6" t="s">
        <v>242</v>
      </c>
      <c r="G4" s="9" t="s">
        <v>118</v>
      </c>
      <c r="H4" s="9" t="s">
        <v>324</v>
      </c>
      <c r="I4" s="9" t="s">
        <v>322</v>
      </c>
      <c r="J4" s="9" t="s">
        <v>24</v>
      </c>
      <c r="K4" s="31" t="b">
        <f ca="1">IF(PRODUCT(BB9:BB15)=1,TRUE,FALSE)</f>
        <v>1</v>
      </c>
      <c r="M4" s="6" t="s">
        <v>25</v>
      </c>
      <c r="N4" s="6" t="s">
        <v>26</v>
      </c>
      <c r="O4" s="10"/>
      <c r="P4" s="6" t="s">
        <v>206</v>
      </c>
      <c r="Q4" s="23" cm="1">
        <f t="array" ref="Q4">IF(RandomMethod="Numbers",S4,IF(RandomMethod="Scenarios",INDEX(Z4:AS4,RandomScenarioNumber),"Error"))</f>
        <v>21000</v>
      </c>
      <c r="S4" s="6">
        <v>20000</v>
      </c>
      <c r="U4" s="1">
        <v>20</v>
      </c>
      <c r="V4" s="1">
        <v>24</v>
      </c>
      <c r="W4" s="1">
        <v>1000</v>
      </c>
      <c r="X4" s="2">
        <f t="shared" ca="1" si="0"/>
        <v>22000</v>
      </c>
      <c r="Y4" s="10"/>
      <c r="Z4" s="23">
        <v>20000</v>
      </c>
      <c r="AA4" s="23">
        <v>23000</v>
      </c>
      <c r="AB4" s="23">
        <v>22000</v>
      </c>
      <c r="AC4" s="23">
        <v>20000</v>
      </c>
      <c r="AD4" s="23">
        <v>22000</v>
      </c>
      <c r="AE4" s="23">
        <v>23000</v>
      </c>
      <c r="AF4" s="23">
        <v>22000</v>
      </c>
      <c r="AG4" s="23">
        <v>22000</v>
      </c>
      <c r="AH4" s="23">
        <v>21000</v>
      </c>
      <c r="AI4" s="23">
        <v>21000</v>
      </c>
      <c r="AJ4" s="23">
        <v>20000</v>
      </c>
      <c r="AK4" s="23">
        <v>20000</v>
      </c>
      <c r="AL4" s="23">
        <v>21000</v>
      </c>
      <c r="AM4" s="23">
        <v>23000</v>
      </c>
      <c r="AN4" s="23">
        <v>22000</v>
      </c>
      <c r="AO4" s="23">
        <v>22000</v>
      </c>
      <c r="AP4" s="23">
        <v>20000</v>
      </c>
      <c r="AQ4" s="23">
        <v>23000</v>
      </c>
      <c r="AR4" s="23">
        <v>24000</v>
      </c>
      <c r="AS4" s="23">
        <v>20000</v>
      </c>
      <c r="AT4" s="10"/>
      <c r="AU4" s="6">
        <v>3</v>
      </c>
      <c r="AV4" s="9" t="s">
        <v>295</v>
      </c>
      <c r="AW4" s="6" t="s">
        <v>110</v>
      </c>
      <c r="AX4" s="6" t="s">
        <v>132</v>
      </c>
      <c r="AY4" s="26" cm="1">
        <f t="array" ref="AY4">IF(RandomMethod="Numbers",BA4,IF(RandomMethod="Scenarios",INDEX(BD4:BW4,RandomScenarioNumber),"Error"))</f>
        <v>5.8333333333333336E-3</v>
      </c>
      <c r="AZ4" s="10"/>
      <c r="BA4" s="26" cm="1">
        <f t="array" aca="1" ref="BA4" ca="1">INDIRECT("'"&amp;AV4&amp;"'!"&amp;AW4)</f>
        <v>5.8333333333333336E-3</v>
      </c>
      <c r="BB4" s="32" cm="1">
        <f t="array" aca="1" ref="BB4" ca="1">IF(CheckAnswer(AY4,BA4)=TRUE,1,0)</f>
        <v>1</v>
      </c>
      <c r="BC4" s="10"/>
      <c r="BD4" s="26">
        <v>5.0000000000000001E-3</v>
      </c>
      <c r="BE4" s="26">
        <v>4.1666666666666666E-3</v>
      </c>
      <c r="BF4" s="26">
        <v>3.3333333333333335E-3</v>
      </c>
      <c r="BG4" s="26">
        <v>5.0000000000000001E-3</v>
      </c>
      <c r="BH4" s="26">
        <v>5.8333333333333336E-3</v>
      </c>
      <c r="BI4" s="26">
        <v>2.5000000000000001E-3</v>
      </c>
      <c r="BJ4" s="26">
        <v>3.3333333333333335E-3</v>
      </c>
      <c r="BK4" s="26">
        <v>3.3333333333333335E-3</v>
      </c>
      <c r="BL4" s="26">
        <v>4.1666666666666666E-3</v>
      </c>
      <c r="BM4" s="26">
        <v>5.8333333333333336E-3</v>
      </c>
      <c r="BN4" s="26">
        <v>5.0000000000000001E-3</v>
      </c>
      <c r="BO4" s="26">
        <v>3.3333333333333335E-3</v>
      </c>
      <c r="BP4" s="26">
        <v>2.5000000000000001E-3</v>
      </c>
      <c r="BQ4" s="26">
        <v>5.0000000000000001E-3</v>
      </c>
      <c r="BR4" s="26">
        <v>6.6666666666666671E-3</v>
      </c>
      <c r="BS4" s="26">
        <v>5.0000000000000001E-3</v>
      </c>
      <c r="BT4" s="26">
        <v>6.6666666666666671E-3</v>
      </c>
      <c r="BU4" s="26">
        <v>6.6666666666666671E-3</v>
      </c>
      <c r="BV4" s="26">
        <v>6.6666666666666671E-3</v>
      </c>
      <c r="BW4" s="26">
        <v>2.5000000000000001E-3</v>
      </c>
    </row>
    <row r="5" spans="1:75">
      <c r="B5" s="6" t="s">
        <v>356</v>
      </c>
      <c r="D5" s="9"/>
      <c r="F5" s="6" t="s">
        <v>298</v>
      </c>
      <c r="G5" s="9" t="s">
        <v>136</v>
      </c>
      <c r="H5" s="9" t="s">
        <v>327</v>
      </c>
      <c r="I5" s="9" t="s">
        <v>328</v>
      </c>
      <c r="J5" s="9" t="s">
        <v>24</v>
      </c>
      <c r="K5" s="31" t="b">
        <f ca="1">IF(PRODUCT(BB16:BB28)=1,TRUE,FALSE)</f>
        <v>1</v>
      </c>
      <c r="M5" s="9" t="s">
        <v>294</v>
      </c>
      <c r="N5" s="6" t="s">
        <v>317</v>
      </c>
      <c r="P5" s="6" t="s">
        <v>208</v>
      </c>
      <c r="Q5" s="27" cm="1">
        <f t="array" ref="Q5">IF(RandomMethod="Numbers",S5,IF(RandomMethod="Scenarios",INDEX(Z5:AS5,RandomScenarioNumber),"Error"))</f>
        <v>7.0000000000000007E-2</v>
      </c>
      <c r="R5" s="2"/>
      <c r="S5" s="6">
        <v>0.03</v>
      </c>
      <c r="U5" s="1">
        <v>3</v>
      </c>
      <c r="V5" s="1">
        <v>8</v>
      </c>
      <c r="W5" s="80">
        <v>0.01</v>
      </c>
      <c r="X5" s="31">
        <f t="shared" ca="1" si="0"/>
        <v>0.08</v>
      </c>
      <c r="Z5" s="27">
        <v>0.06</v>
      </c>
      <c r="AA5" s="27">
        <v>0.05</v>
      </c>
      <c r="AB5" s="27">
        <v>0.04</v>
      </c>
      <c r="AC5" s="27">
        <v>0.06</v>
      </c>
      <c r="AD5" s="27">
        <v>7.0000000000000007E-2</v>
      </c>
      <c r="AE5" s="27">
        <v>0.03</v>
      </c>
      <c r="AF5" s="27">
        <v>0.04</v>
      </c>
      <c r="AG5" s="27">
        <v>0.04</v>
      </c>
      <c r="AH5" s="27">
        <v>0.05</v>
      </c>
      <c r="AI5" s="27">
        <v>7.0000000000000007E-2</v>
      </c>
      <c r="AJ5" s="27">
        <v>0.06</v>
      </c>
      <c r="AK5" s="27">
        <v>0.04</v>
      </c>
      <c r="AL5" s="27">
        <v>0.03</v>
      </c>
      <c r="AM5" s="27">
        <v>0.06</v>
      </c>
      <c r="AN5" s="27">
        <v>0.08</v>
      </c>
      <c r="AO5" s="27">
        <v>0.06</v>
      </c>
      <c r="AP5" s="27">
        <v>0.08</v>
      </c>
      <c r="AQ5" s="27">
        <v>0.08</v>
      </c>
      <c r="AR5" s="27">
        <v>0.08</v>
      </c>
      <c r="AS5" s="27">
        <v>0.03</v>
      </c>
      <c r="AU5" s="6">
        <v>4</v>
      </c>
      <c r="AV5" s="9" t="s">
        <v>295</v>
      </c>
      <c r="AW5" s="6" t="s">
        <v>119</v>
      </c>
      <c r="AX5" s="6" t="s">
        <v>133</v>
      </c>
      <c r="AY5" s="26" cm="1">
        <f t="array" ref="AY5">IF(RandomMethod="Numbers",BA5,IF(RandomMethod="Scenarios",INDEX(BD5:BW5,RandomScenarioNumber),"Error"))</f>
        <v>122.50000000000001</v>
      </c>
      <c r="BA5" s="26" cm="1">
        <f t="array" aca="1" ref="BA5" ca="1">INDIRECT("'"&amp;AV5&amp;"'!"&amp;AW5)</f>
        <v>122.5</v>
      </c>
      <c r="BB5" s="32" cm="1">
        <f t="array" aca="1" ref="BB5" ca="1">IF(CheckAnswer(AY5,BA5)=TRUE,1,0)</f>
        <v>1</v>
      </c>
      <c r="BD5" s="26">
        <v>100</v>
      </c>
      <c r="BE5" s="26">
        <v>95.833333333333329</v>
      </c>
      <c r="BF5" s="26">
        <v>73.333333333333329</v>
      </c>
      <c r="BG5" s="26">
        <v>100</v>
      </c>
      <c r="BH5" s="26">
        <v>128.33333333333334</v>
      </c>
      <c r="BI5" s="26">
        <v>57.5</v>
      </c>
      <c r="BJ5" s="26">
        <v>73.333333333333329</v>
      </c>
      <c r="BK5" s="26">
        <v>73.333333333333329</v>
      </c>
      <c r="BL5" s="26">
        <v>87.5</v>
      </c>
      <c r="BM5" s="26">
        <v>122.50000000000001</v>
      </c>
      <c r="BN5" s="26">
        <v>100</v>
      </c>
      <c r="BO5" s="26">
        <v>66.666666666666671</v>
      </c>
      <c r="BP5" s="26">
        <v>52.5</v>
      </c>
      <c r="BQ5" s="26">
        <v>115</v>
      </c>
      <c r="BR5" s="26">
        <v>146.66666666666666</v>
      </c>
      <c r="BS5" s="26">
        <v>110</v>
      </c>
      <c r="BT5" s="26">
        <v>133.33333333333334</v>
      </c>
      <c r="BU5" s="26">
        <v>153.33333333333334</v>
      </c>
      <c r="BV5" s="26">
        <v>160</v>
      </c>
      <c r="BW5" s="26">
        <v>50</v>
      </c>
    </row>
    <row r="6" spans="1:75">
      <c r="F6" s="6" t="s">
        <v>313</v>
      </c>
      <c r="G6" s="9" t="s">
        <v>108</v>
      </c>
      <c r="H6" s="9" t="s">
        <v>331</v>
      </c>
      <c r="I6" s="9" t="s">
        <v>333</v>
      </c>
      <c r="J6" s="9" t="s">
        <v>332</v>
      </c>
      <c r="K6" s="31" t="b">
        <f ca="1">IF(PRODUCT(BB29:BB33)=1,TRUE,FALSE)</f>
        <v>1</v>
      </c>
      <c r="M6" s="9" t="s">
        <v>294</v>
      </c>
      <c r="N6" s="6" t="s">
        <v>318</v>
      </c>
      <c r="P6" s="6" t="s">
        <v>210</v>
      </c>
      <c r="Q6" s="6" cm="1">
        <f t="array" ref="Q6">IF(RandomMethod="Numbers",S6,IF(RandomMethod="Scenarios",INDEX(Z6:AS6,RandomScenarioNumber),"Error"))</f>
        <v>60</v>
      </c>
      <c r="S6" s="6">
        <v>60</v>
      </c>
      <c r="U6" s="1">
        <v>5</v>
      </c>
      <c r="V6" s="1">
        <v>5</v>
      </c>
      <c r="W6" s="1">
        <v>12</v>
      </c>
      <c r="X6" s="2">
        <f t="shared" ca="1" si="0"/>
        <v>60</v>
      </c>
      <c r="Z6" s="6">
        <v>60</v>
      </c>
      <c r="AA6" s="6">
        <v>60</v>
      </c>
      <c r="AB6" s="6">
        <v>60</v>
      </c>
      <c r="AC6" s="6">
        <v>60</v>
      </c>
      <c r="AD6" s="6">
        <v>60</v>
      </c>
      <c r="AE6" s="6">
        <v>60</v>
      </c>
      <c r="AF6" s="6">
        <v>60</v>
      </c>
      <c r="AG6" s="6">
        <v>60</v>
      </c>
      <c r="AH6" s="6">
        <v>60</v>
      </c>
      <c r="AI6" s="6">
        <v>60</v>
      </c>
      <c r="AJ6" s="6">
        <v>60</v>
      </c>
      <c r="AK6" s="6">
        <v>60</v>
      </c>
      <c r="AL6" s="6">
        <v>60</v>
      </c>
      <c r="AM6" s="6">
        <v>60</v>
      </c>
      <c r="AN6" s="6">
        <v>60</v>
      </c>
      <c r="AO6" s="6">
        <v>60</v>
      </c>
      <c r="AP6" s="6">
        <v>60</v>
      </c>
      <c r="AQ6" s="6">
        <v>60</v>
      </c>
      <c r="AR6" s="6">
        <v>60</v>
      </c>
      <c r="AS6" s="6">
        <v>60</v>
      </c>
      <c r="AU6" s="6">
        <v>5</v>
      </c>
      <c r="AV6" s="9" t="s">
        <v>295</v>
      </c>
      <c r="AW6" s="6" t="s">
        <v>121</v>
      </c>
      <c r="AX6" s="6" t="s">
        <v>134</v>
      </c>
      <c r="AY6" s="26" cm="1">
        <f t="array" ref="AY6">IF(RandomMethod="Numbers",BA6,IF(RandomMethod="Scenarios",INDEX(BD6:BW6,RandomScenarioNumber),"Error"))</f>
        <v>20706.674830652661</v>
      </c>
      <c r="BA6" s="26" cm="1">
        <f t="array" aca="1" ref="BA6" ca="1">INDIRECT("'"&amp;AV6&amp;"'!"&amp;AW6)</f>
        <v>20706.674830652661</v>
      </c>
      <c r="BB6" s="32" cm="1">
        <f t="array" aca="1" ref="BB6" ca="1">IF(CheckAnswer(AY6,BA6)=TRUE,1,0)</f>
        <v>1</v>
      </c>
      <c r="BD6" s="26">
        <v>19713.343969411442</v>
      </c>
      <c r="BE6" s="26">
        <v>22661.794959521081</v>
      </c>
      <c r="BF6" s="26">
        <v>21668.169848117472</v>
      </c>
      <c r="BG6" s="26">
        <v>19713.343969411442</v>
      </c>
      <c r="BH6" s="26">
        <v>21692.706965445643</v>
      </c>
      <c r="BI6" s="26">
        <v>22644.220114726548</v>
      </c>
      <c r="BJ6" s="26">
        <v>21668.169848117472</v>
      </c>
      <c r="BK6" s="26">
        <v>21668.169848117472</v>
      </c>
      <c r="BL6" s="26">
        <v>20691.204093475772</v>
      </c>
      <c r="BM6" s="26">
        <v>20706.674830652661</v>
      </c>
      <c r="BN6" s="26">
        <v>19713.343969411442</v>
      </c>
      <c r="BO6" s="26">
        <v>19698.336225561339</v>
      </c>
      <c r="BP6" s="26">
        <v>20675.157496054675</v>
      </c>
      <c r="BQ6" s="26">
        <v>22670.345564823157</v>
      </c>
      <c r="BR6" s="26">
        <v>21700.585992321568</v>
      </c>
      <c r="BS6" s="26">
        <v>21684.678366352586</v>
      </c>
      <c r="BT6" s="26">
        <v>19727.805447565057</v>
      </c>
      <c r="BU6" s="26">
        <v>22686.976264699817</v>
      </c>
      <c r="BV6" s="26">
        <v>23673.366537078073</v>
      </c>
      <c r="BW6" s="26">
        <v>19690.626186718739</v>
      </c>
    </row>
    <row r="7" spans="1:75">
      <c r="B7" s="8" t="s">
        <v>77</v>
      </c>
      <c r="D7" s="8" t="s">
        <v>4</v>
      </c>
      <c r="G7" s="9"/>
      <c r="H7" s="9"/>
      <c r="I7" s="9"/>
      <c r="J7" s="9"/>
      <c r="K7" s="31"/>
      <c r="M7" s="9" t="s">
        <v>295</v>
      </c>
      <c r="N7" s="6" t="s">
        <v>321</v>
      </c>
      <c r="P7" s="6" t="s">
        <v>225</v>
      </c>
      <c r="Q7" s="23" cm="1">
        <f t="array" ref="Q7">IF(RandomMethod="Numbers",S7,IF(RandomMethod="Scenarios",INDEX(Z7:AS7,RandomScenarioNumber),"Error"))</f>
        <v>1300</v>
      </c>
      <c r="S7" s="6">
        <v>1250</v>
      </c>
      <c r="U7" s="1">
        <v>24</v>
      </c>
      <c r="V7" s="1">
        <v>26</v>
      </c>
      <c r="W7" s="1">
        <v>50</v>
      </c>
      <c r="X7" s="2">
        <f t="shared" ca="1" si="0"/>
        <v>1250</v>
      </c>
      <c r="Z7" s="23">
        <v>1200</v>
      </c>
      <c r="AA7" s="23">
        <v>1300</v>
      </c>
      <c r="AB7" s="23">
        <v>1300</v>
      </c>
      <c r="AC7" s="23">
        <v>1300</v>
      </c>
      <c r="AD7" s="23">
        <v>1200</v>
      </c>
      <c r="AE7" s="23">
        <v>1250</v>
      </c>
      <c r="AF7" s="23">
        <v>1300</v>
      </c>
      <c r="AG7" s="23">
        <v>1300</v>
      </c>
      <c r="AH7" s="23">
        <v>1300</v>
      </c>
      <c r="AI7" s="23">
        <v>1300</v>
      </c>
      <c r="AJ7" s="23">
        <v>1250</v>
      </c>
      <c r="AK7" s="23">
        <v>1200</v>
      </c>
      <c r="AL7" s="23">
        <v>1300</v>
      </c>
      <c r="AM7" s="23">
        <v>1250</v>
      </c>
      <c r="AN7" s="23">
        <v>1250</v>
      </c>
      <c r="AO7" s="23">
        <v>1250</v>
      </c>
      <c r="AP7" s="23">
        <v>1300</v>
      </c>
      <c r="AQ7" s="23">
        <v>1250</v>
      </c>
      <c r="AR7" s="23">
        <v>1300</v>
      </c>
      <c r="AS7" s="23">
        <v>1250</v>
      </c>
      <c r="AU7" s="6">
        <v>6</v>
      </c>
      <c r="AV7" s="9" t="s">
        <v>295</v>
      </c>
      <c r="AW7" s="6" t="s">
        <v>123</v>
      </c>
      <c r="AX7" s="6" t="s">
        <v>135</v>
      </c>
      <c r="AY7" s="26" cm="1">
        <f t="array" ref="AY7">IF(RandomMethod="Numbers",BA7,IF(RandomMethod="Scenarios",INDEX(BD7:BW7,RandomScenarioNumber),"Error"))</f>
        <v>24949.510160840382</v>
      </c>
      <c r="BA7" s="26" cm="1">
        <f t="array" aca="1" ref="BA7" ca="1">INDIRECT("'"&amp;AV7&amp;"'!"&amp;AW7)</f>
        <v>24949.510160840382</v>
      </c>
      <c r="BB7" s="32" cm="1">
        <f t="array" aca="1" ref="BB7" ca="1">IF(CheckAnswer(AY7,BA7)=TRUE,1,0)</f>
        <v>1</v>
      </c>
      <c r="BD7" s="26">
        <v>23199.361835313481</v>
      </c>
      <c r="BE7" s="26">
        <v>26042.302428735071</v>
      </c>
      <c r="BF7" s="26">
        <v>24309.809112951611</v>
      </c>
      <c r="BG7" s="26">
        <v>23199.361835313481</v>
      </c>
      <c r="BH7" s="26">
        <v>26137.582073261368</v>
      </c>
      <c r="BI7" s="26">
        <v>24796.793116407131</v>
      </c>
      <c r="BJ7" s="26">
        <v>24309.809112951611</v>
      </c>
      <c r="BK7" s="26">
        <v>24309.809112951611</v>
      </c>
      <c r="BL7" s="26">
        <v>23777.754391453767</v>
      </c>
      <c r="BM7" s="26">
        <v>24949.510160840382</v>
      </c>
      <c r="BN7" s="26">
        <v>23199.361835313481</v>
      </c>
      <c r="BO7" s="26">
        <v>22099.826466319639</v>
      </c>
      <c r="BP7" s="26">
        <v>22640.550236719519</v>
      </c>
      <c r="BQ7" s="26">
        <v>26679.266110610537</v>
      </c>
      <c r="BR7" s="26">
        <v>26764.840460706026</v>
      </c>
      <c r="BS7" s="26">
        <v>25519.298018844853</v>
      </c>
      <c r="BT7" s="26">
        <v>24331.67314609644</v>
      </c>
      <c r="BU7" s="26">
        <v>27981.424118010895</v>
      </c>
      <c r="BV7" s="26">
        <v>29198.007775315684</v>
      </c>
      <c r="BW7" s="26">
        <v>21562.42879687576</v>
      </c>
    </row>
    <row r="8" spans="1:75">
      <c r="B8" s="6">
        <v>10</v>
      </c>
      <c r="D8" s="6" t="b">
        <v>0</v>
      </c>
      <c r="M8" s="9" t="s">
        <v>295</v>
      </c>
      <c r="N8" s="6" t="s">
        <v>320</v>
      </c>
      <c r="P8" s="6" t="s">
        <v>293</v>
      </c>
      <c r="Q8" s="27" cm="1">
        <f t="array" ref="Q8">IF(RandomMethod="Numbers",S8,IF(RandomMethod="Scenarios",INDEX(Z8:AS8,RandomScenarioNumber),"Error"))</f>
        <v>0.04</v>
      </c>
      <c r="R8" s="10"/>
      <c r="S8" s="6">
        <v>0.06</v>
      </c>
      <c r="T8" s="10"/>
      <c r="U8" s="1">
        <v>2</v>
      </c>
      <c r="V8" s="1">
        <v>7</v>
      </c>
      <c r="W8" s="80">
        <v>0.01</v>
      </c>
      <c r="X8" s="31">
        <f t="shared" ca="1" si="0"/>
        <v>0.06</v>
      </c>
      <c r="Z8" s="27">
        <v>0.03</v>
      </c>
      <c r="AA8" s="27">
        <v>0.06</v>
      </c>
      <c r="AB8" s="27">
        <v>0.06</v>
      </c>
      <c r="AC8" s="27">
        <v>7.0000000000000007E-2</v>
      </c>
      <c r="AD8" s="27">
        <v>7.0000000000000007E-2</v>
      </c>
      <c r="AE8" s="27">
        <v>0.03</v>
      </c>
      <c r="AF8" s="27">
        <v>0.04</v>
      </c>
      <c r="AG8" s="27">
        <v>0.04</v>
      </c>
      <c r="AH8" s="27">
        <v>0.02</v>
      </c>
      <c r="AI8" s="27">
        <v>0.04</v>
      </c>
      <c r="AJ8" s="27">
        <v>0.02</v>
      </c>
      <c r="AK8" s="27">
        <v>0.04</v>
      </c>
      <c r="AL8" s="27">
        <v>7.0000000000000007E-2</v>
      </c>
      <c r="AM8" s="27">
        <v>0.03</v>
      </c>
      <c r="AN8" s="27">
        <v>0.06</v>
      </c>
      <c r="AO8" s="27">
        <v>0.05</v>
      </c>
      <c r="AP8" s="27">
        <v>0.06</v>
      </c>
      <c r="AQ8" s="27">
        <v>0.03</v>
      </c>
      <c r="AR8" s="27">
        <v>0.03</v>
      </c>
      <c r="AS8" s="27">
        <v>0.06</v>
      </c>
      <c r="AU8" s="6">
        <v>7</v>
      </c>
      <c r="AV8" s="9" t="s">
        <v>295</v>
      </c>
      <c r="AW8" s="6" t="s">
        <v>125</v>
      </c>
      <c r="AX8" s="6" t="s">
        <v>136</v>
      </c>
      <c r="AY8" s="26" cm="1">
        <f t="array" ref="AY8">IF(RandomMethod="Numbers",BA8,IF(RandomMethod="Scenarios",INDEX(BD8:BW8,RandomScenarioNumber),"Error"))</f>
        <v>3949.5101608404239</v>
      </c>
      <c r="BA8" s="26" cm="1">
        <f t="array" aca="1" ref="BA8" ca="1">INDIRECT("'"&amp;AV8&amp;"'!"&amp;AW8)</f>
        <v>3949.5101608404239</v>
      </c>
      <c r="BB8" s="32" cm="1">
        <f t="array" aca="1" ref="BB8" ca="1">IF(CheckAnswer(AY8,BA8)=TRUE,1,0)</f>
        <v>1</v>
      </c>
      <c r="BD8" s="26">
        <v>3199.3618353135053</v>
      </c>
      <c r="BE8" s="26">
        <v>3042.3024287350913</v>
      </c>
      <c r="BF8" s="26">
        <v>2309.8091129515792</v>
      </c>
      <c r="BG8" s="26">
        <v>3199.3618353135053</v>
      </c>
      <c r="BH8" s="26">
        <v>4137.5820732613893</v>
      </c>
      <c r="BI8" s="26">
        <v>1796.7931164071317</v>
      </c>
      <c r="BJ8" s="26">
        <v>2309.8091129515792</v>
      </c>
      <c r="BK8" s="26">
        <v>2309.8091129515792</v>
      </c>
      <c r="BL8" s="26">
        <v>2777.7543914537782</v>
      </c>
      <c r="BM8" s="26">
        <v>3949.5101608404239</v>
      </c>
      <c r="BN8" s="26">
        <v>3199.3618353135053</v>
      </c>
      <c r="BO8" s="26">
        <v>2099.8264663196187</v>
      </c>
      <c r="BP8" s="26">
        <v>1640.5502367195591</v>
      </c>
      <c r="BQ8" s="26">
        <v>3679.2661106105265</v>
      </c>
      <c r="BR8" s="26">
        <v>4764.840460706072</v>
      </c>
      <c r="BS8" s="26">
        <v>3519.2980188448528</v>
      </c>
      <c r="BT8" s="26">
        <v>4331.6731460964138</v>
      </c>
      <c r="BU8" s="26">
        <v>4981.4241180108747</v>
      </c>
      <c r="BV8" s="26">
        <v>5198.0077753157093</v>
      </c>
      <c r="BW8" s="26">
        <v>1562.4287968757694</v>
      </c>
    </row>
    <row r="9" spans="1:75">
      <c r="M9" s="6" t="s">
        <v>242</v>
      </c>
      <c r="N9" s="6" t="s">
        <v>323</v>
      </c>
      <c r="P9" s="6" t="s">
        <v>228</v>
      </c>
      <c r="Q9" s="6" cm="1">
        <f t="array" ref="Q9">IF(RandomMethod="Numbers",S9,IF(RandomMethod="Scenarios",INDEX(Z9:AS9,RandomScenarioNumber),"Error"))</f>
        <v>34</v>
      </c>
      <c r="S9" s="6">
        <v>11</v>
      </c>
      <c r="U9" s="1">
        <v>10</v>
      </c>
      <c r="V9" s="1">
        <v>48</v>
      </c>
      <c r="W9" s="1">
        <v>1</v>
      </c>
      <c r="X9" s="2">
        <f t="shared" ca="1" si="0"/>
        <v>18</v>
      </c>
      <c r="Z9" s="6">
        <v>39</v>
      </c>
      <c r="AA9" s="6">
        <v>11</v>
      </c>
      <c r="AB9" s="6">
        <v>25</v>
      </c>
      <c r="AC9" s="6">
        <v>38</v>
      </c>
      <c r="AD9" s="6">
        <v>47</v>
      </c>
      <c r="AE9" s="6">
        <v>10</v>
      </c>
      <c r="AF9" s="6">
        <v>15</v>
      </c>
      <c r="AG9" s="6">
        <v>18</v>
      </c>
      <c r="AH9" s="6">
        <v>28</v>
      </c>
      <c r="AI9" s="6">
        <v>34</v>
      </c>
      <c r="AJ9" s="6">
        <v>15</v>
      </c>
      <c r="AK9" s="6">
        <v>26</v>
      </c>
      <c r="AL9" s="6">
        <v>17</v>
      </c>
      <c r="AM9" s="6">
        <v>31</v>
      </c>
      <c r="AN9" s="6">
        <v>39</v>
      </c>
      <c r="AO9" s="6">
        <v>43</v>
      </c>
      <c r="AP9" s="6">
        <v>33</v>
      </c>
      <c r="AQ9" s="6">
        <v>43</v>
      </c>
      <c r="AR9" s="6">
        <v>11</v>
      </c>
      <c r="AS9" s="6">
        <v>11</v>
      </c>
      <c r="AU9" s="6">
        <v>8</v>
      </c>
      <c r="AV9" s="9" t="s">
        <v>242</v>
      </c>
      <c r="AW9" s="6" t="s">
        <v>118</v>
      </c>
      <c r="AX9" s="6" t="s">
        <v>119</v>
      </c>
      <c r="AY9" s="26" cm="1">
        <f t="array" ref="AY9">IF(RandomMethod="Numbers",BA9,IF(RandomMethod="Scenarios",INDEX(BD9:BW9,RandomScenarioNumber),"Error"))</f>
        <v>0.87</v>
      </c>
      <c r="BA9" s="26" cm="1">
        <f t="array" aca="1" ref="BA9" ca="1">INDIRECT("'"&amp;AV9&amp;"'!"&amp;AW9)</f>
        <v>0.87</v>
      </c>
      <c r="BB9" s="32" cm="1">
        <f t="array" aca="1" ref="BB9" ca="1">IF(CheckAnswer(AY9,BA9)=TRUE,1,0)</f>
        <v>1</v>
      </c>
      <c r="BD9" s="26">
        <v>1.02</v>
      </c>
      <c r="BE9" s="26">
        <v>0.97</v>
      </c>
      <c r="BF9" s="26">
        <v>0.82</v>
      </c>
      <c r="BG9" s="26">
        <v>0.94</v>
      </c>
      <c r="BH9" s="26">
        <v>0.97</v>
      </c>
      <c r="BI9" s="26">
        <v>0.87</v>
      </c>
      <c r="BJ9" s="26">
        <v>1.02</v>
      </c>
      <c r="BK9" s="26">
        <v>1.1299999999999999</v>
      </c>
      <c r="BL9" s="26">
        <v>0.95</v>
      </c>
      <c r="BM9" s="26">
        <v>0.87</v>
      </c>
      <c r="BN9" s="26">
        <v>1.02</v>
      </c>
      <c r="BO9" s="26">
        <v>0.94</v>
      </c>
      <c r="BP9" s="26">
        <v>1.01</v>
      </c>
      <c r="BQ9" s="26">
        <v>1.1200000000000001</v>
      </c>
      <c r="BR9" s="26">
        <v>1.02</v>
      </c>
      <c r="BS9" s="26">
        <v>1.1200000000000001</v>
      </c>
      <c r="BT9" s="26">
        <v>0.82000000000000006</v>
      </c>
      <c r="BU9" s="26">
        <v>1.1200000000000001</v>
      </c>
      <c r="BV9" s="26">
        <v>0.97</v>
      </c>
      <c r="BW9" s="26">
        <v>0.97</v>
      </c>
    </row>
    <row r="10" spans="1:75">
      <c r="B10" s="8" t="s">
        <v>78</v>
      </c>
      <c r="D10" s="8" t="s">
        <v>3</v>
      </c>
      <c r="M10" s="6" t="s">
        <v>242</v>
      </c>
      <c r="N10" s="6" t="s">
        <v>325</v>
      </c>
      <c r="P10" s="6" t="s">
        <v>244</v>
      </c>
      <c r="Q10" s="23" cm="1">
        <f t="array" ref="Q10">IF(RandomMethod="Numbers",S10,IF(RandomMethod="Scenarios",INDEX(Z10:AS10,RandomScenarioNumber),"Error"))</f>
        <v>2700</v>
      </c>
      <c r="S10" s="6">
        <v>2700</v>
      </c>
      <c r="U10" s="1">
        <v>25</v>
      </c>
      <c r="V10" s="1">
        <v>27</v>
      </c>
      <c r="W10" s="1">
        <v>100</v>
      </c>
      <c r="X10" s="2">
        <f t="shared" ca="1" si="0"/>
        <v>2700</v>
      </c>
      <c r="Z10" s="23">
        <v>2700</v>
      </c>
      <c r="AA10" s="23">
        <v>2500</v>
      </c>
      <c r="AB10" s="23">
        <v>2700</v>
      </c>
      <c r="AC10" s="23">
        <v>2500</v>
      </c>
      <c r="AD10" s="23">
        <v>2500</v>
      </c>
      <c r="AE10" s="23">
        <v>2700</v>
      </c>
      <c r="AF10" s="23">
        <v>2700</v>
      </c>
      <c r="AG10" s="23">
        <v>2600</v>
      </c>
      <c r="AH10" s="23">
        <v>2500</v>
      </c>
      <c r="AI10" s="23">
        <v>2700</v>
      </c>
      <c r="AJ10" s="23">
        <v>2500</v>
      </c>
      <c r="AK10" s="23">
        <v>2500</v>
      </c>
      <c r="AL10" s="23">
        <v>2500</v>
      </c>
      <c r="AM10" s="23">
        <v>2600</v>
      </c>
      <c r="AN10" s="23">
        <v>2700</v>
      </c>
      <c r="AO10" s="23">
        <v>2700</v>
      </c>
      <c r="AP10" s="23">
        <v>2500</v>
      </c>
      <c r="AQ10" s="23">
        <v>2500</v>
      </c>
      <c r="AR10" s="23">
        <v>2500</v>
      </c>
      <c r="AS10" s="23">
        <v>2700</v>
      </c>
      <c r="AU10" s="6">
        <v>9</v>
      </c>
      <c r="AV10" s="9" t="s">
        <v>242</v>
      </c>
      <c r="AW10" s="6" t="s">
        <v>120</v>
      </c>
      <c r="AX10" s="6" t="s">
        <v>121</v>
      </c>
      <c r="AY10" s="26" cm="1">
        <f t="array" ref="AY10">IF(RandomMethod="Numbers",BA10,IF(RandomMethod="Scenarios",INDEX(BD10:BW10,RandomScenarioNumber),"Error"))</f>
        <v>3.3333333333333335E-3</v>
      </c>
      <c r="BA10" s="26" cm="1">
        <f t="array" aca="1" ref="BA10" ca="1">INDIRECT("'"&amp;AV10&amp;"'!"&amp;AW10)</f>
        <v>3.3333333333333335E-3</v>
      </c>
      <c r="BB10" s="32" cm="1">
        <f t="array" aca="1" ref="BB10" ca="1">IF(CheckAnswer(AY10,BA10)=TRUE,1,0)</f>
        <v>1</v>
      </c>
      <c r="BD10" s="26">
        <v>2.5000000000000001E-3</v>
      </c>
      <c r="BE10" s="26">
        <v>5.0000000000000001E-3</v>
      </c>
      <c r="BF10" s="26">
        <v>5.0000000000000001E-3</v>
      </c>
      <c r="BG10" s="26">
        <v>5.8333333333333336E-3</v>
      </c>
      <c r="BH10" s="26">
        <v>5.8333333333333336E-3</v>
      </c>
      <c r="BI10" s="26">
        <v>2.5000000000000001E-3</v>
      </c>
      <c r="BJ10" s="26">
        <v>3.3333333333333335E-3</v>
      </c>
      <c r="BK10" s="26">
        <v>3.3333333333333335E-3</v>
      </c>
      <c r="BL10" s="26">
        <v>1.6666666666666668E-3</v>
      </c>
      <c r="BM10" s="26">
        <v>3.3333333333333335E-3</v>
      </c>
      <c r="BN10" s="26">
        <v>1.6666666666666668E-3</v>
      </c>
      <c r="BO10" s="26">
        <v>3.3333333333333335E-3</v>
      </c>
      <c r="BP10" s="26">
        <v>5.8333333333333336E-3</v>
      </c>
      <c r="BQ10" s="26">
        <v>2.5000000000000001E-3</v>
      </c>
      <c r="BR10" s="26">
        <v>5.0000000000000001E-3</v>
      </c>
      <c r="BS10" s="26">
        <v>4.1666666666666666E-3</v>
      </c>
      <c r="BT10" s="26">
        <v>5.0000000000000001E-3</v>
      </c>
      <c r="BU10" s="26">
        <v>2.5000000000000001E-3</v>
      </c>
      <c r="BV10" s="26">
        <v>2.5000000000000001E-3</v>
      </c>
      <c r="BW10" s="26">
        <v>5.0000000000000001E-3</v>
      </c>
    </row>
    <row r="11" spans="1:75">
      <c r="B11" s="6">
        <v>20</v>
      </c>
      <c r="D11" s="6">
        <f>ROUND((endTime-startTime)*3600*24,0)+60*activateCount</f>
        <v>0</v>
      </c>
      <c r="M11" s="6" t="s">
        <v>242</v>
      </c>
      <c r="N11" s="6" t="s">
        <v>326</v>
      </c>
      <c r="P11" s="6" t="s">
        <v>246</v>
      </c>
      <c r="Q11" s="23" cm="1">
        <f t="array" ref="Q11">IF(RandomMethod="Numbers",S11,IF(RandomMethod="Scenarios",INDEX(Z11:AS11,RandomScenarioNumber),"Error"))</f>
        <v>0</v>
      </c>
      <c r="S11" s="6">
        <v>0</v>
      </c>
      <c r="U11" s="1">
        <v>0</v>
      </c>
      <c r="V11" s="1">
        <v>0</v>
      </c>
      <c r="W11" s="1">
        <v>1</v>
      </c>
      <c r="X11" s="2">
        <f t="shared" ca="1" si="0"/>
        <v>0</v>
      </c>
      <c r="Z11" s="23">
        <v>0</v>
      </c>
      <c r="AA11" s="23">
        <v>0</v>
      </c>
      <c r="AB11" s="23">
        <v>0</v>
      </c>
      <c r="AC11" s="23">
        <v>0</v>
      </c>
      <c r="AD11" s="23">
        <v>0</v>
      </c>
      <c r="AE11" s="23">
        <v>0</v>
      </c>
      <c r="AF11" s="23">
        <v>0</v>
      </c>
      <c r="AG11" s="23">
        <v>0</v>
      </c>
      <c r="AH11" s="23">
        <v>0</v>
      </c>
      <c r="AI11" s="23">
        <v>0</v>
      </c>
      <c r="AJ11" s="23">
        <v>0</v>
      </c>
      <c r="AK11" s="23">
        <v>0</v>
      </c>
      <c r="AL11" s="23">
        <v>0</v>
      </c>
      <c r="AM11" s="23">
        <v>0</v>
      </c>
      <c r="AN11" s="23">
        <v>0</v>
      </c>
      <c r="AO11" s="23">
        <v>0</v>
      </c>
      <c r="AP11" s="23">
        <v>0</v>
      </c>
      <c r="AQ11" s="23">
        <v>0</v>
      </c>
      <c r="AR11" s="23">
        <v>0</v>
      </c>
      <c r="AS11" s="23">
        <v>0</v>
      </c>
      <c r="AU11" s="6">
        <v>10</v>
      </c>
      <c r="AV11" s="9" t="s">
        <v>242</v>
      </c>
      <c r="AW11" s="6" t="s">
        <v>122</v>
      </c>
      <c r="AX11" s="6" t="s">
        <v>123</v>
      </c>
      <c r="AY11" s="26" cm="1">
        <f t="array" ref="AY11">IF(RandomMethod="Numbers",BA11,IF(RandomMethod="Scenarios",INDEX(BD11:BW11,RandomScenarioNumber),"Error"))</f>
        <v>1.0033333333333334</v>
      </c>
      <c r="BA11" s="26" cm="1">
        <f t="array" aca="1" ref="BA11" ca="1">INDIRECT("'"&amp;AV11&amp;"'!"&amp;AW11)</f>
        <v>1.0033333333333334</v>
      </c>
      <c r="BB11" s="32" cm="1">
        <f t="array" aca="1" ref="BB11" ca="1">IF(CheckAnswer(AY11,BA11)=TRUE,1,0)</f>
        <v>1</v>
      </c>
      <c r="BD11" s="26">
        <v>1.0024999999999999</v>
      </c>
      <c r="BE11" s="26">
        <v>1.0049999999999999</v>
      </c>
      <c r="BF11" s="26">
        <v>1.0049999999999999</v>
      </c>
      <c r="BG11" s="26">
        <v>1.0058333333333334</v>
      </c>
      <c r="BH11" s="26">
        <v>1.0058333333333334</v>
      </c>
      <c r="BI11" s="26">
        <v>1.0024999999999999</v>
      </c>
      <c r="BJ11" s="26">
        <v>1.0033333333333334</v>
      </c>
      <c r="BK11" s="26">
        <v>1.0033333333333334</v>
      </c>
      <c r="BL11" s="26">
        <v>1.0016666666666667</v>
      </c>
      <c r="BM11" s="26">
        <v>1.0033333333333334</v>
      </c>
      <c r="BN11" s="26">
        <v>1.0016666666666667</v>
      </c>
      <c r="BO11" s="26">
        <v>1.0033333333333334</v>
      </c>
      <c r="BP11" s="26">
        <v>1.0058333333333334</v>
      </c>
      <c r="BQ11" s="26">
        <v>1.0024999999999999</v>
      </c>
      <c r="BR11" s="26">
        <v>1.0049999999999999</v>
      </c>
      <c r="BS11" s="26">
        <v>1.0041666666666667</v>
      </c>
      <c r="BT11" s="26">
        <v>1.0049999999999999</v>
      </c>
      <c r="BU11" s="26">
        <v>1.0024999999999999</v>
      </c>
      <c r="BV11" s="26">
        <v>1.0024999999999999</v>
      </c>
      <c r="BW11" s="26">
        <v>1.0049999999999999</v>
      </c>
    </row>
    <row r="12" spans="1:75">
      <c r="M12" s="6" t="s">
        <v>298</v>
      </c>
      <c r="N12" s="6" t="s">
        <v>330</v>
      </c>
      <c r="P12" s="6" t="s">
        <v>248</v>
      </c>
      <c r="Q12" s="27" cm="1">
        <f t="array" ref="Q12">IF(RandomMethod="Numbers",S12,IF(RandomMethod="Scenarios",INDEX(Z12:AS12,RandomScenarioNumber),"Error"))</f>
        <v>0.08</v>
      </c>
      <c r="S12" s="6">
        <v>7.0000000000000007E-2</v>
      </c>
      <c r="U12" s="1">
        <v>6</v>
      </c>
      <c r="V12" s="1">
        <v>12</v>
      </c>
      <c r="W12" s="80">
        <v>0.01</v>
      </c>
      <c r="X12" s="31">
        <f t="shared" ca="1" si="0"/>
        <v>0.12</v>
      </c>
      <c r="Z12" s="27">
        <v>0.12</v>
      </c>
      <c r="AA12" s="27">
        <v>0.11</v>
      </c>
      <c r="AB12" s="27">
        <v>0.09</v>
      </c>
      <c r="AC12" s="27">
        <v>0.09</v>
      </c>
      <c r="AD12" s="27">
        <v>0.06</v>
      </c>
      <c r="AE12" s="27">
        <v>0.12</v>
      </c>
      <c r="AF12" s="27">
        <v>0.12</v>
      </c>
      <c r="AG12" s="27">
        <v>0.1</v>
      </c>
      <c r="AH12" s="27">
        <v>0.09</v>
      </c>
      <c r="AI12" s="27">
        <v>0.08</v>
      </c>
      <c r="AJ12" s="27">
        <v>0.08</v>
      </c>
      <c r="AK12" s="27">
        <v>7.0000000000000007E-2</v>
      </c>
      <c r="AL12" s="27">
        <v>0.08</v>
      </c>
      <c r="AM12" s="27">
        <v>0.11</v>
      </c>
      <c r="AN12" s="27">
        <v>0.09</v>
      </c>
      <c r="AO12" s="27">
        <v>0.1</v>
      </c>
      <c r="AP12" s="27">
        <v>0.1</v>
      </c>
      <c r="AQ12" s="27">
        <v>0.1</v>
      </c>
      <c r="AR12" s="27">
        <v>0.12</v>
      </c>
      <c r="AS12" s="27">
        <v>7.0000000000000007E-2</v>
      </c>
      <c r="AU12" s="6">
        <v>11</v>
      </c>
      <c r="AV12" s="9" t="s">
        <v>242</v>
      </c>
      <c r="AW12" s="6" t="s">
        <v>124</v>
      </c>
      <c r="AX12" s="6" t="s">
        <v>125</v>
      </c>
      <c r="AY12" s="26" cm="1">
        <f t="array" ref="AY12">IF(RandomMethod="Numbers",BA12,IF(RandomMethod="Scenarios",INDEX(BD12:BW12,RandomScenarioNumber),"Error"))</f>
        <v>1.2209965939421226</v>
      </c>
      <c r="BA12" s="26" cm="1">
        <f t="array" aca="1" ref="BA12" ca="1">INDIRECT("'"&amp;AV12&amp;"'!"&amp;AW12)</f>
        <v>1.2209965939421226</v>
      </c>
      <c r="BB12" s="32" cm="1">
        <f t="array" aca="1" ref="BB12" ca="1">IF(CheckAnswer(AY12,BA12)=TRUE,1,0)</f>
        <v>1</v>
      </c>
      <c r="BD12" s="26">
        <v>1.1616167815552709</v>
      </c>
      <c r="BE12" s="26">
        <v>1.3488501525493037</v>
      </c>
      <c r="BF12" s="26">
        <v>1.3488501525493037</v>
      </c>
      <c r="BG12" s="26">
        <v>1.4176252596139898</v>
      </c>
      <c r="BH12" s="26">
        <v>1.4176252596139898</v>
      </c>
      <c r="BI12" s="26">
        <v>1.1616167815552709</v>
      </c>
      <c r="BJ12" s="26">
        <v>1.2209965939421226</v>
      </c>
      <c r="BK12" s="26">
        <v>1.2209965939421226</v>
      </c>
      <c r="BL12" s="26">
        <v>1.1050789265308238</v>
      </c>
      <c r="BM12" s="26">
        <v>1.2209965939421226</v>
      </c>
      <c r="BN12" s="26">
        <v>1.1050789265308238</v>
      </c>
      <c r="BO12" s="26">
        <v>1.2209965939421226</v>
      </c>
      <c r="BP12" s="26">
        <v>1.4176252596139898</v>
      </c>
      <c r="BQ12" s="26">
        <v>1.1616167815552709</v>
      </c>
      <c r="BR12" s="26">
        <v>1.3488501525493037</v>
      </c>
      <c r="BS12" s="26">
        <v>1.283358678503514</v>
      </c>
      <c r="BT12" s="26">
        <v>1.3488501525493037</v>
      </c>
      <c r="BU12" s="26">
        <v>1.1616167815552709</v>
      </c>
      <c r="BV12" s="26">
        <v>1.1616167815552709</v>
      </c>
      <c r="BW12" s="26">
        <v>1.3488501525493037</v>
      </c>
    </row>
    <row r="13" spans="1:75">
      <c r="B13" s="8" t="s">
        <v>79</v>
      </c>
      <c r="D13" s="8" t="s">
        <v>21</v>
      </c>
      <c r="M13" s="6" t="s">
        <v>298</v>
      </c>
      <c r="N13" s="6" t="s">
        <v>329</v>
      </c>
      <c r="P13" s="6" t="s">
        <v>250</v>
      </c>
      <c r="Q13" s="27" cm="1">
        <f t="array" ref="Q13">IF(RandomMethod="Numbers",S13,IF(RandomMethod="Scenarios",INDEX(Z13:AS13,RandomScenarioNumber),"Error"))</f>
        <v>0.18</v>
      </c>
      <c r="S13" s="6">
        <v>0.21</v>
      </c>
      <c r="U13" s="1">
        <v>15</v>
      </c>
      <c r="V13" s="1">
        <v>25</v>
      </c>
      <c r="W13" s="80">
        <v>0.01</v>
      </c>
      <c r="X13" s="31">
        <f t="shared" ca="1" si="0"/>
        <v>0.16</v>
      </c>
      <c r="Z13" s="27">
        <v>0.2</v>
      </c>
      <c r="AA13" s="27">
        <v>0.17</v>
      </c>
      <c r="AB13" s="27">
        <v>0.24</v>
      </c>
      <c r="AC13" s="27">
        <v>0.2</v>
      </c>
      <c r="AD13" s="27">
        <v>0.19</v>
      </c>
      <c r="AE13" s="27">
        <v>0.24</v>
      </c>
      <c r="AF13" s="27">
        <v>0.23</v>
      </c>
      <c r="AG13" s="27">
        <v>0.25</v>
      </c>
      <c r="AH13" s="27">
        <v>0.23</v>
      </c>
      <c r="AI13" s="27">
        <v>0.18</v>
      </c>
      <c r="AJ13" s="27">
        <v>0.25</v>
      </c>
      <c r="AK13" s="27">
        <v>0.25</v>
      </c>
      <c r="AL13" s="27">
        <v>0.19</v>
      </c>
      <c r="AM13" s="27">
        <v>0.21</v>
      </c>
      <c r="AN13" s="27">
        <v>0.15</v>
      </c>
      <c r="AO13" s="27">
        <v>0.17</v>
      </c>
      <c r="AP13" s="27">
        <v>0.16</v>
      </c>
      <c r="AQ13" s="27">
        <v>0.25</v>
      </c>
      <c r="AR13" s="27">
        <v>0.19</v>
      </c>
      <c r="AS13" s="27">
        <v>0.21</v>
      </c>
      <c r="AU13" s="6">
        <v>12</v>
      </c>
      <c r="AV13" s="9" t="s">
        <v>242</v>
      </c>
      <c r="AW13" s="6" t="s">
        <v>126</v>
      </c>
      <c r="AX13" s="6" t="s">
        <v>127</v>
      </c>
      <c r="AY13" s="26" cm="1">
        <f t="array" ref="AY13">IF(RandomMethod="Numbers",BA13,IF(RandomMethod="Scenarios",INDEX(BD13:BW13,RandomScenarioNumber),"Error"))</f>
        <v>1069.5533333333335</v>
      </c>
      <c r="BA13" s="26" cm="1">
        <f t="array" aca="1" ref="BA13" ca="1">INDIRECT("'"&amp;AV13&amp;"'!"&amp;AW13)</f>
        <v>1069.5533333333335</v>
      </c>
      <c r="BB13" s="32" cm="1">
        <f t="array" aca="1" ref="BB13" ca="1">IF(CheckAnswer(AY13,BA13)=TRUE,1,0)</f>
        <v>1</v>
      </c>
      <c r="BD13" s="26">
        <v>986.45999999999981</v>
      </c>
      <c r="BE13" s="26">
        <v>1071.33</v>
      </c>
      <c r="BF13" s="26">
        <v>1071.33</v>
      </c>
      <c r="BG13" s="26">
        <v>1072.2183333333332</v>
      </c>
      <c r="BH13" s="26">
        <v>989.7399999999999</v>
      </c>
      <c r="BI13" s="26">
        <v>1027.5625</v>
      </c>
      <c r="BJ13" s="26">
        <v>1069.5533333333335</v>
      </c>
      <c r="BK13" s="26">
        <v>1069.5533333333335</v>
      </c>
      <c r="BL13" s="26">
        <v>1067.7766666666666</v>
      </c>
      <c r="BM13" s="26">
        <v>1069.5533333333335</v>
      </c>
      <c r="BN13" s="26">
        <v>1026.7083333333335</v>
      </c>
      <c r="BO13" s="26">
        <v>987.28</v>
      </c>
      <c r="BP13" s="26">
        <v>1072.2183333333332</v>
      </c>
      <c r="BQ13" s="26">
        <v>1027.5625</v>
      </c>
      <c r="BR13" s="26">
        <v>1030.125</v>
      </c>
      <c r="BS13" s="26">
        <v>1029.2708333333333</v>
      </c>
      <c r="BT13" s="26">
        <v>1071.33</v>
      </c>
      <c r="BU13" s="26">
        <v>1027.5625</v>
      </c>
      <c r="BV13" s="26">
        <v>1068.665</v>
      </c>
      <c r="BW13" s="26">
        <v>1030.125</v>
      </c>
    </row>
    <row r="14" spans="1:75">
      <c r="B14" s="6" t="s">
        <v>357</v>
      </c>
      <c r="D14" s="6" t="b">
        <f ca="1">IF(PRODUCT(BB2:BB33)=1,TRUE,FALSE)</f>
        <v>1</v>
      </c>
      <c r="P14" s="6" t="s">
        <v>251</v>
      </c>
      <c r="Q14" s="23" cm="1">
        <f t="array" ref="Q14">IF(RandomMethod="Numbers",S14,IF(RandomMethod="Scenarios",INDEX(Z14:AS14,RandomScenarioNumber),"Error"))</f>
        <v>2750</v>
      </c>
      <c r="S14" s="6">
        <v>2800</v>
      </c>
      <c r="U14" s="1">
        <v>55</v>
      </c>
      <c r="V14" s="1">
        <v>56</v>
      </c>
      <c r="W14" s="1">
        <v>50</v>
      </c>
      <c r="X14" s="2">
        <f t="shared" ca="1" si="0"/>
        <v>2750</v>
      </c>
      <c r="Z14" s="23">
        <v>2750</v>
      </c>
      <c r="AA14" s="23">
        <v>2750</v>
      </c>
      <c r="AB14" s="23">
        <v>2800</v>
      </c>
      <c r="AC14" s="23">
        <v>2800</v>
      </c>
      <c r="AD14" s="23">
        <v>2750</v>
      </c>
      <c r="AE14" s="23">
        <v>2750</v>
      </c>
      <c r="AF14" s="23">
        <v>2750</v>
      </c>
      <c r="AG14" s="23">
        <v>2750</v>
      </c>
      <c r="AH14" s="23">
        <v>2800</v>
      </c>
      <c r="AI14" s="23">
        <v>2750</v>
      </c>
      <c r="AJ14" s="23">
        <v>2800</v>
      </c>
      <c r="AK14" s="23">
        <v>2800</v>
      </c>
      <c r="AL14" s="23">
        <v>2800</v>
      </c>
      <c r="AM14" s="23">
        <v>2750</v>
      </c>
      <c r="AN14" s="23">
        <v>2800</v>
      </c>
      <c r="AO14" s="23">
        <v>2750</v>
      </c>
      <c r="AP14" s="23">
        <v>2800</v>
      </c>
      <c r="AQ14" s="23">
        <v>2750</v>
      </c>
      <c r="AR14" s="23">
        <v>2800</v>
      </c>
      <c r="AS14" s="23">
        <v>2800</v>
      </c>
      <c r="AU14" s="6">
        <v>13</v>
      </c>
      <c r="AV14" s="9" t="s">
        <v>242</v>
      </c>
      <c r="AW14" s="6" t="s">
        <v>128</v>
      </c>
      <c r="AX14" s="6" t="s">
        <v>129</v>
      </c>
      <c r="AY14" s="26" cm="1">
        <f t="array" ref="AY14">IF(RandomMethod="Numbers",BA14,IF(RandomMethod="Scenarios",INDEX(BD14:BW14,RandomScenarioNumber),"Error"))</f>
        <v>1230.1602444444447</v>
      </c>
      <c r="BA14" s="26" cm="1">
        <f t="array" aca="1" ref="BA14" ca="1">INDIRECT("'"&amp;AV14&amp;"'!"&amp;AW14)</f>
        <v>1230.1602444444447</v>
      </c>
      <c r="BB14" s="32" cm="1">
        <f t="array" aca="1" ref="BB14" ca="1">IF(CheckAnswer(AY14,BA14)=TRUE,1,0)</f>
        <v>1</v>
      </c>
      <c r="BD14" s="26">
        <v>1133.6470499999998</v>
      </c>
      <c r="BE14" s="26">
        <v>1234.2505499999997</v>
      </c>
      <c r="BF14" s="26">
        <v>1234.2505499999997</v>
      </c>
      <c r="BG14" s="26">
        <v>1236.2982486111111</v>
      </c>
      <c r="BH14" s="26">
        <v>1141.1983833333334</v>
      </c>
      <c r="BI14" s="26">
        <v>1180.8823437499998</v>
      </c>
      <c r="BJ14" s="26">
        <v>1230.1602444444447</v>
      </c>
      <c r="BK14" s="26">
        <v>1230.1602444444447</v>
      </c>
      <c r="BL14" s="26">
        <v>1226.0767277777779</v>
      </c>
      <c r="BM14" s="26">
        <v>1230.1602444444447</v>
      </c>
      <c r="BN14" s="26">
        <v>1178.9199305555558</v>
      </c>
      <c r="BO14" s="26">
        <v>1135.5325333333335</v>
      </c>
      <c r="BP14" s="26">
        <v>1236.2982486111111</v>
      </c>
      <c r="BQ14" s="26">
        <v>1180.8823437499998</v>
      </c>
      <c r="BR14" s="26">
        <v>1186.7793749999996</v>
      </c>
      <c r="BS14" s="26">
        <v>1184.8120659722222</v>
      </c>
      <c r="BT14" s="26">
        <v>1234.2505499999997</v>
      </c>
      <c r="BU14" s="26">
        <v>1180.8823437499998</v>
      </c>
      <c r="BV14" s="26">
        <v>1228.1176374999998</v>
      </c>
      <c r="BW14" s="26">
        <v>1186.7793749999996</v>
      </c>
    </row>
    <row r="15" spans="1:75">
      <c r="Q15" s="23"/>
      <c r="S15" s="2"/>
      <c r="U15" s="1"/>
      <c r="V15" s="1"/>
      <c r="W15" s="1"/>
      <c r="X15" s="2"/>
      <c r="Z15" s="27"/>
      <c r="AA15" s="27"/>
      <c r="AB15" s="27"/>
      <c r="AC15" s="27"/>
      <c r="AD15" s="27"/>
      <c r="AE15" s="27"/>
      <c r="AF15" s="27"/>
      <c r="AG15" s="27"/>
      <c r="AH15" s="27"/>
      <c r="AI15" s="27"/>
      <c r="AJ15" s="27"/>
      <c r="AK15" s="27"/>
      <c r="AL15" s="27"/>
      <c r="AM15" s="27"/>
      <c r="AN15" s="27"/>
      <c r="AU15" s="6">
        <v>14</v>
      </c>
      <c r="AV15" s="9" t="s">
        <v>242</v>
      </c>
      <c r="AW15" s="6" t="s">
        <v>130</v>
      </c>
      <c r="AX15" s="6" t="s">
        <v>131</v>
      </c>
      <c r="AY15" s="26" cm="1">
        <f t="array" ref="AY15">IF(RandomMethod="Numbers",BA15,IF(RandomMethod="Scenarios",INDEX(BD15:BW15,RandomScenarioNumber),"Error"))</f>
        <v>86523.418931765569</v>
      </c>
      <c r="BA15" s="26" cm="1">
        <f t="array" aca="1" ref="BA15" ca="1">INDIRECT("'"&amp;AV15&amp;"'!"&amp;AW15)</f>
        <v>86523.418931765569</v>
      </c>
      <c r="BB15" s="32" cm="1">
        <f t="array" aca="1" ref="BB15" ca="1">IF(CheckAnswer(AY15,BA15)=TRUE,1,0)</f>
        <v>1</v>
      </c>
      <c r="BD15" s="26">
        <v>77802.019675975665</v>
      </c>
      <c r="BE15" s="26">
        <v>91229.486851084148</v>
      </c>
      <c r="BF15" s="26">
        <v>91229.486851084148</v>
      </c>
      <c r="BG15" s="26">
        <v>93703.424370119959</v>
      </c>
      <c r="BH15" s="26">
        <v>86495.468649341477</v>
      </c>
      <c r="BI15" s="26">
        <v>81043.770495807985</v>
      </c>
      <c r="BJ15" s="26">
        <v>86523.418931765569</v>
      </c>
      <c r="BK15" s="26">
        <v>86523.418931765569</v>
      </c>
      <c r="BL15" s="26">
        <v>82120.716119947567</v>
      </c>
      <c r="BM15" s="26">
        <v>86523.418931765569</v>
      </c>
      <c r="BN15" s="26">
        <v>78962.227038411089</v>
      </c>
      <c r="BO15" s="26">
        <v>79867.771321629742</v>
      </c>
      <c r="BP15" s="26">
        <v>93703.424370119959</v>
      </c>
      <c r="BQ15" s="26">
        <v>81043.770495807985</v>
      </c>
      <c r="BR15" s="26">
        <v>87720.660433734694</v>
      </c>
      <c r="BS15" s="26">
        <v>85420.318554988815</v>
      </c>
      <c r="BT15" s="26">
        <v>91229.486851084148</v>
      </c>
      <c r="BU15" s="26">
        <v>81043.770495807985</v>
      </c>
      <c r="BV15" s="26">
        <v>84285.521315640319</v>
      </c>
      <c r="BW15" s="26">
        <v>87720.660433734694</v>
      </c>
    </row>
    <row r="16" spans="1:75">
      <c r="B16" s="8" t="s">
        <v>9</v>
      </c>
      <c r="D16" s="8" t="s">
        <v>27</v>
      </c>
      <c r="Q16" s="23"/>
      <c r="S16" s="2"/>
      <c r="U16" s="1"/>
      <c r="V16" s="1"/>
      <c r="W16" s="1"/>
      <c r="X16" s="2"/>
      <c r="Z16" s="27"/>
      <c r="AA16" s="27"/>
      <c r="AB16" s="27"/>
      <c r="AC16" s="27"/>
      <c r="AD16" s="27"/>
      <c r="AE16" s="27"/>
      <c r="AF16" s="27"/>
      <c r="AG16" s="27"/>
      <c r="AH16" s="27"/>
      <c r="AI16" s="27"/>
      <c r="AJ16" s="27"/>
      <c r="AK16" s="27"/>
      <c r="AL16" s="27"/>
      <c r="AM16" s="27"/>
      <c r="AN16" s="27"/>
      <c r="AU16" s="6">
        <v>15</v>
      </c>
      <c r="AV16" s="9" t="s">
        <v>298</v>
      </c>
      <c r="AW16" s="6" t="s">
        <v>136</v>
      </c>
      <c r="AX16" s="6" t="s">
        <v>143</v>
      </c>
      <c r="AY16" s="26" cm="1">
        <f t="array" ref="AY16">IF(RandomMethod="Numbers",BA16,IF(RandomMethod="Scenarios",INDEX(BD16:BW16,RandomScenarioNumber),"Error"))</f>
        <v>2685.3785026806736</v>
      </c>
      <c r="BA16" s="26" cm="1">
        <f t="array" aca="1" ref="BA16" ca="1">INDIRECT("'"&amp;AV16&amp;"'!"&amp;AW16)</f>
        <v>2685.3785026806736</v>
      </c>
      <c r="BB16" s="32" cm="1">
        <f t="array" aca="1" ref="BB16" ca="1">IF(CheckAnswer(AY16,BA16)=TRUE,1,0)</f>
        <v>1</v>
      </c>
      <c r="BD16" s="26">
        <v>2573.1160305885578</v>
      </c>
      <c r="BE16" s="26">
        <v>2705.3683738122513</v>
      </c>
      <c r="BF16" s="26">
        <v>2576.4934852158594</v>
      </c>
      <c r="BG16" s="26">
        <v>2658.8743639218915</v>
      </c>
      <c r="BH16" s="26">
        <v>2625.3663678876896</v>
      </c>
      <c r="BI16" s="26">
        <v>2590.8423852734522</v>
      </c>
      <c r="BJ16" s="26">
        <v>2624.7168185491932</v>
      </c>
      <c r="BK16" s="26">
        <v>2674.7168185491932</v>
      </c>
      <c r="BL16" s="26">
        <v>2614.072573190896</v>
      </c>
      <c r="BM16" s="26">
        <v>2685.3785026806736</v>
      </c>
      <c r="BN16" s="26">
        <v>2563.3643639218917</v>
      </c>
      <c r="BO16" s="26">
        <v>2505.610441105327</v>
      </c>
      <c r="BP16" s="26">
        <v>2599.5608372786592</v>
      </c>
      <c r="BQ16" s="26">
        <v>2672.2169351768421</v>
      </c>
      <c r="BR16" s="26">
        <v>2676.2056743451012</v>
      </c>
      <c r="BS16" s="26">
        <v>2554.5924669807473</v>
      </c>
      <c r="BT16" s="26">
        <v>2576.8578857682733</v>
      </c>
      <c r="BU16" s="26">
        <v>2593.9195686335147</v>
      </c>
      <c r="BV16" s="26">
        <v>2705.2984629219281</v>
      </c>
      <c r="BW16" s="26">
        <v>2589.4988132812628</v>
      </c>
    </row>
    <row r="17" spans="2:75">
      <c r="B17" s="6">
        <f>COUNTA(F2:F26)</f>
        <v>5</v>
      </c>
      <c r="D17" s="6">
        <v>6802</v>
      </c>
      <c r="Q17" s="27"/>
      <c r="S17" s="27"/>
      <c r="U17" s="28"/>
      <c r="V17" s="28"/>
      <c r="W17" s="1"/>
      <c r="X17" s="27"/>
      <c r="Z17" s="27"/>
      <c r="AA17" s="27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27"/>
      <c r="AM17" s="27"/>
      <c r="AN17" s="27"/>
      <c r="AU17" s="6">
        <v>16</v>
      </c>
      <c r="AV17" s="9" t="s">
        <v>298</v>
      </c>
      <c r="AW17" s="6" t="s">
        <v>137</v>
      </c>
      <c r="AX17" s="6" t="s">
        <v>144</v>
      </c>
      <c r="AY17" s="26" cm="1">
        <f t="array" ref="AY17">IF(RandomMethod="Numbers",BA17,IF(RandomMethod="Scenarios",INDEX(BD17:BW17,RandomScenarioNumber),"Error"))</f>
        <v>35340.815677917577</v>
      </c>
      <c r="BA17" s="26" cm="1">
        <f t="array" aca="1" ref="BA17" ca="1">INDIRECT("'"&amp;AV17&amp;"'!"&amp;AW17)</f>
        <v>35340.815677917577</v>
      </c>
      <c r="BB17" s="32" cm="1">
        <f t="array" aca="1" ref="BB17" ca="1">IF(CheckAnswer(AY17,BA17)=TRUE,1,0)</f>
        <v>1</v>
      </c>
      <c r="BD17" s="26">
        <v>33682.057760656826</v>
      </c>
      <c r="BE17" s="26">
        <v>35738.122707123213</v>
      </c>
      <c r="BF17" s="26">
        <v>34191.624043966513</v>
      </c>
      <c r="BG17" s="26">
        <v>35259.744054142153</v>
      </c>
      <c r="BH17" s="26">
        <v>34599.705664264082</v>
      </c>
      <c r="BI17" s="26">
        <v>34011.635074941973</v>
      </c>
      <c r="BJ17" s="26">
        <v>34612.875468339822</v>
      </c>
      <c r="BK17" s="26">
        <v>35212.875468339822</v>
      </c>
      <c r="BL17" s="26">
        <v>34329.91970474102</v>
      </c>
      <c r="BM17" s="26">
        <v>35340.815677917577</v>
      </c>
      <c r="BN17" s="26">
        <v>33607.534700187956</v>
      </c>
      <c r="BO17" s="26">
        <v>32943.885581648079</v>
      </c>
      <c r="BP17" s="26">
        <v>34547.981734423367</v>
      </c>
      <c r="BQ17" s="26">
        <v>34988.129673782649</v>
      </c>
      <c r="BR17" s="26">
        <v>35262.25868961832</v>
      </c>
      <c r="BS17" s="26">
        <v>33726.94683023369</v>
      </c>
      <c r="BT17" s="26">
        <v>34195.996850595468</v>
      </c>
      <c r="BU17" s="26">
        <v>34048.561275262728</v>
      </c>
      <c r="BV17" s="26">
        <v>35501.969064790108</v>
      </c>
      <c r="BW17" s="26">
        <v>34221.776356852264</v>
      </c>
    </row>
    <row r="18" spans="2:75">
      <c r="Q18" s="2"/>
      <c r="S18" s="2"/>
      <c r="U18" s="1"/>
      <c r="V18" s="1"/>
      <c r="W18" s="1"/>
      <c r="X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U18" s="6">
        <v>17</v>
      </c>
      <c r="AV18" s="9" t="s">
        <v>298</v>
      </c>
      <c r="AW18" s="6" t="s">
        <v>138</v>
      </c>
      <c r="AX18" s="6" t="s">
        <v>145</v>
      </c>
      <c r="AY18" s="26" cm="1">
        <f t="array" ref="AY18">IF(RandomMethod="Numbers",BA18,IF(RandomMethod="Scenarios",INDEX(BD18:BW18,RandomScenarioNumber),"Error"))</f>
        <v>64.621497319326409</v>
      </c>
      <c r="BA18" s="26" cm="1">
        <f t="array" aca="1" ref="BA18" ca="1">INDIRECT("'"&amp;AV18&amp;"'!"&amp;AW18)</f>
        <v>64.621497319326409</v>
      </c>
      <c r="BB18" s="32" cm="1">
        <f t="array" aca="1" ref="BB18" ca="1">IF(CheckAnswer(AY18,BA18)=TRUE,1,0)</f>
        <v>1</v>
      </c>
      <c r="BD18" s="26">
        <v>176.88396941144219</v>
      </c>
      <c r="BE18" s="26">
        <v>44.63162618774868</v>
      </c>
      <c r="BF18" s="26">
        <v>223.50651478414056</v>
      </c>
      <c r="BG18" s="26">
        <v>141.12563607810853</v>
      </c>
      <c r="BH18" s="26">
        <v>124.63363211231035</v>
      </c>
      <c r="BI18" s="26">
        <v>159.15761472654776</v>
      </c>
      <c r="BJ18" s="26">
        <v>125.28318145080675</v>
      </c>
      <c r="BK18" s="26">
        <v>75.283181450806751</v>
      </c>
      <c r="BL18" s="26">
        <v>185.92742680910396</v>
      </c>
      <c r="BM18" s="26">
        <v>64.621497319326409</v>
      </c>
      <c r="BN18" s="26">
        <v>236.63563607810829</v>
      </c>
      <c r="BO18" s="26">
        <v>294.38955889467297</v>
      </c>
      <c r="BP18" s="26">
        <v>200.43916272134084</v>
      </c>
      <c r="BQ18" s="26">
        <v>77.783064823157929</v>
      </c>
      <c r="BR18" s="26">
        <v>123.79432565489878</v>
      </c>
      <c r="BS18" s="26">
        <v>195.4075330192527</v>
      </c>
      <c r="BT18" s="26">
        <v>223.14211423172674</v>
      </c>
      <c r="BU18" s="26">
        <v>156.0804313664853</v>
      </c>
      <c r="BV18" s="26">
        <v>94.701537078071851</v>
      </c>
      <c r="BW18" s="26">
        <v>210.50118671873724</v>
      </c>
    </row>
    <row r="19" spans="2:75">
      <c r="B19" s="8" t="s">
        <v>11</v>
      </c>
      <c r="D19" s="8" t="s">
        <v>28</v>
      </c>
      <c r="Q19" s="2"/>
      <c r="S19" s="2"/>
      <c r="U19" s="1"/>
      <c r="V19" s="1"/>
      <c r="W19" s="1"/>
      <c r="X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U19" s="6">
        <v>18</v>
      </c>
      <c r="AV19" s="9" t="s">
        <v>298</v>
      </c>
      <c r="AW19" s="6" t="s">
        <v>139</v>
      </c>
      <c r="AX19" s="6" t="s">
        <v>146</v>
      </c>
      <c r="AY19" s="26" cm="1">
        <f t="array" ref="AY19">IF(RandomMethod="Numbers",BA19,IF(RandomMethod="Scenarios",INDEX(BD19:BW19,RandomScenarioNumber),"Error"))</f>
        <v>-2340.815677917582</v>
      </c>
      <c r="BA19" s="26" cm="1">
        <f t="array" aca="1" ref="BA19" ca="1">INDIRECT("'"&amp;AV19&amp;"'!"&amp;AW19)</f>
        <v>-2340.815677917582</v>
      </c>
      <c r="BB19" s="32" cm="1">
        <f t="array" aca="1" ref="BB19" ca="1">IF(CheckAnswer(AY19,BA19)=TRUE,1,0)</f>
        <v>1</v>
      </c>
      <c r="BD19" s="26">
        <v>-682.05776065682585</v>
      </c>
      <c r="BE19" s="26">
        <v>-2738.1227071232106</v>
      </c>
      <c r="BF19" s="26">
        <v>-591.62404396651118</v>
      </c>
      <c r="BG19" s="26">
        <v>-1659.744054142152</v>
      </c>
      <c r="BH19" s="26">
        <v>-1599.7056642640814</v>
      </c>
      <c r="BI19" s="26">
        <v>-1011.6350749419767</v>
      </c>
      <c r="BJ19" s="26">
        <v>-1612.8754683398161</v>
      </c>
      <c r="BK19" s="26">
        <v>-2212.8754683398161</v>
      </c>
      <c r="BL19" s="26">
        <v>-729.91970474102254</v>
      </c>
      <c r="BM19" s="26">
        <v>-2340.815677917582</v>
      </c>
      <c r="BN19" s="26">
        <v>-7.5347001879563322</v>
      </c>
      <c r="BO19" s="26">
        <v>656.11441835192181</v>
      </c>
      <c r="BP19" s="26">
        <v>-947.9817344233652</v>
      </c>
      <c r="BQ19" s="26">
        <v>-1988.1296737826542</v>
      </c>
      <c r="BR19" s="26">
        <v>-1662.2586896183207</v>
      </c>
      <c r="BS19" s="26">
        <v>-726.9468302336968</v>
      </c>
      <c r="BT19" s="26">
        <v>-595.9968505954771</v>
      </c>
      <c r="BU19" s="26">
        <v>-1048.5612752627258</v>
      </c>
      <c r="BV19" s="26">
        <v>-1901.969064790112</v>
      </c>
      <c r="BW19" s="26">
        <v>-621.77635685226187</v>
      </c>
    </row>
    <row r="20" spans="2:75">
      <c r="B20" s="6">
        <f>COUNTA(M2:M100)</f>
        <v>12</v>
      </c>
      <c r="D20" s="6">
        <v>-1324</v>
      </c>
      <c r="G20" s="4"/>
      <c r="Q20" s="24"/>
      <c r="S20" s="24"/>
      <c r="U20" s="25"/>
      <c r="V20" s="25"/>
      <c r="W20" s="1"/>
      <c r="X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  <c r="AL20" s="24"/>
      <c r="AM20" s="24"/>
      <c r="AN20" s="24"/>
      <c r="AU20" s="6">
        <v>19</v>
      </c>
      <c r="AV20" s="9" t="s">
        <v>298</v>
      </c>
      <c r="AW20" s="6" t="s">
        <v>140</v>
      </c>
      <c r="AX20" s="6" t="s">
        <v>147</v>
      </c>
      <c r="AY20" s="26" cm="1">
        <f t="array" ref="AY20">IF(RandomMethod="Numbers",BA20,IF(RandomMethod="Scenarios",INDEX(BD20:BW20,RandomScenarioNumber),"Error"))</f>
        <v>2700</v>
      </c>
      <c r="BA20" s="26" cm="1">
        <f t="array" aca="1" ref="BA20" ca="1">INDIRECT("'"&amp;AV20&amp;"'!"&amp;AW20)</f>
        <v>2700</v>
      </c>
      <c r="BB20" s="32" cm="1">
        <f t="array" aca="1" ref="BB20" ca="1">IF(CheckAnswer(AY20,BA20)=TRUE,1,0)</f>
        <v>1</v>
      </c>
      <c r="BD20" s="26">
        <v>2700</v>
      </c>
      <c r="BE20" s="26">
        <v>2500</v>
      </c>
      <c r="BF20" s="26">
        <v>2700</v>
      </c>
      <c r="BG20" s="26">
        <v>2500</v>
      </c>
      <c r="BH20" s="26">
        <v>2500</v>
      </c>
      <c r="BI20" s="26">
        <v>2700</v>
      </c>
      <c r="BJ20" s="26">
        <v>2700</v>
      </c>
      <c r="BK20" s="26">
        <v>2600</v>
      </c>
      <c r="BL20" s="26">
        <v>2500</v>
      </c>
      <c r="BM20" s="26">
        <v>2700</v>
      </c>
      <c r="BN20" s="26">
        <v>2500</v>
      </c>
      <c r="BO20" s="26">
        <v>2500</v>
      </c>
      <c r="BP20" s="26">
        <v>2500</v>
      </c>
      <c r="BQ20" s="26">
        <v>2600</v>
      </c>
      <c r="BR20" s="26">
        <v>2700</v>
      </c>
      <c r="BS20" s="26">
        <v>2700</v>
      </c>
      <c r="BT20" s="26">
        <v>2500</v>
      </c>
      <c r="BU20" s="26">
        <v>2500</v>
      </c>
      <c r="BV20" s="26">
        <v>2500</v>
      </c>
      <c r="BW20" s="26">
        <v>2700</v>
      </c>
    </row>
    <row r="21" spans="2:75">
      <c r="G21" s="4"/>
      <c r="Q21" s="24"/>
      <c r="S21" s="24"/>
      <c r="U21" s="25"/>
      <c r="V21" s="25"/>
      <c r="W21" s="1"/>
      <c r="X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24"/>
      <c r="AN21" s="24"/>
      <c r="AU21" s="6">
        <v>20</v>
      </c>
      <c r="AV21" s="9" t="s">
        <v>298</v>
      </c>
      <c r="AW21" s="6" t="s">
        <v>141</v>
      </c>
      <c r="AX21" s="6" t="s">
        <v>148</v>
      </c>
      <c r="AY21" s="26" cm="1">
        <f t="array" ref="AY21">IF(RandomMethod="Numbers",BA21,IF(RandomMethod="Scenarios",INDEX(BD21:BW21,RandomScenarioNumber),"Error"))</f>
        <v>-356.14012972537057</v>
      </c>
      <c r="BA21" s="26" cm="1">
        <f t="array" aca="1" ref="BA21" ca="1">INDIRECT("'"&amp;AV21&amp;"'!"&amp;AW21)</f>
        <v>-356.14012972537057</v>
      </c>
      <c r="BB21" s="32" cm="1">
        <f t="array" aca="1" ref="BB21" ca="1">IF(CheckAnswer(AY21,BA21)=TRUE,1,0)</f>
        <v>1</v>
      </c>
      <c r="BD21" s="26">
        <v>-204.3531674288165</v>
      </c>
      <c r="BE21" s="26">
        <v>-391.7691757579596</v>
      </c>
      <c r="BF21" s="26">
        <v>-212.89428716156772</v>
      </c>
      <c r="BG21" s="26">
        <v>-303.15997179227952</v>
      </c>
      <c r="BH21" s="26">
        <v>-285.47615976804809</v>
      </c>
      <c r="BI21" s="26">
        <v>-237.96440281538798</v>
      </c>
      <c r="BJ21" s="26">
        <v>-295.47844559388977</v>
      </c>
      <c r="BK21" s="26">
        <v>-345.47844559388977</v>
      </c>
      <c r="BL21" s="26">
        <v>-219.36774284375952</v>
      </c>
      <c r="BM21" s="26">
        <v>-356.14012972537057</v>
      </c>
      <c r="BN21" s="26">
        <v>-153.07125781887544</v>
      </c>
      <c r="BO21" s="26">
        <v>-94.005789146585812</v>
      </c>
      <c r="BP21" s="26">
        <v>-243.84644514904721</v>
      </c>
      <c r="BQ21" s="26">
        <v>-319.33895271877736</v>
      </c>
      <c r="BR21" s="26">
        <v>-295.8218300621279</v>
      </c>
      <c r="BS21" s="26">
        <v>-216.66894301357479</v>
      </c>
      <c r="BT21" s="26">
        <v>-213.25868771398154</v>
      </c>
      <c r="BU21" s="26">
        <v>-241.04158617544999</v>
      </c>
      <c r="BV21" s="26">
        <v>-318.3053611655414</v>
      </c>
      <c r="BW21" s="26">
        <v>-209.11496899828944</v>
      </c>
    </row>
    <row r="22" spans="2:75">
      <c r="B22" s="8" t="s">
        <v>17</v>
      </c>
      <c r="D22" s="8" t="s">
        <v>29</v>
      </c>
      <c r="G22" s="4"/>
      <c r="Q22" s="24"/>
      <c r="S22" s="24"/>
      <c r="U22" s="25"/>
      <c r="V22" s="25"/>
      <c r="W22" s="1"/>
      <c r="X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  <c r="AL22" s="24"/>
      <c r="AM22" s="24"/>
      <c r="AN22" s="24"/>
      <c r="AU22" s="6">
        <v>21</v>
      </c>
      <c r="AV22" s="9" t="s">
        <v>298</v>
      </c>
      <c r="AW22" s="6" t="s">
        <v>299</v>
      </c>
      <c r="AX22" s="6" t="s">
        <v>300</v>
      </c>
      <c r="AY22" s="26" cm="1">
        <f t="array" ref="AY22">IF(RandomMethod="Numbers",BA22,IF(RandomMethod="Scenarios",INDEX(BD22:BW22,RandomScenarioNumber),"Error"))</f>
        <v>1123.3188706418259</v>
      </c>
      <c r="BA22" s="26" cm="1">
        <f t="array" aca="1" ref="BA22" ca="1">INDIRECT("'"&amp;AV22&amp;"'!"&amp;AW22)</f>
        <v>1123.3188706418259</v>
      </c>
      <c r="BB22" s="32" cm="1">
        <f t="array" aca="1" ref="BB22" ca="1">IF(CheckAnswer(AY22,BA22)=TRUE,1,0)</f>
        <v>1</v>
      </c>
      <c r="BD22" s="26">
        <v>2765.5536705217405</v>
      </c>
      <c r="BE22" s="26">
        <v>596.46627570610667</v>
      </c>
      <c r="BF22" s="26">
        <v>2842.1987017769547</v>
      </c>
      <c r="BG22" s="26">
        <v>1612.5861938550142</v>
      </c>
      <c r="BH22" s="26">
        <v>1572.9017563628533</v>
      </c>
      <c r="BI22" s="26">
        <v>2462.0822130395509</v>
      </c>
      <c r="BJ22" s="26">
        <v>1906.0327193134924</v>
      </c>
      <c r="BK22" s="26">
        <v>1173.7171623365593</v>
      </c>
      <c r="BL22" s="26">
        <v>2446.4902330417412</v>
      </c>
      <c r="BM22" s="26">
        <v>1123.3188706418259</v>
      </c>
      <c r="BN22" s="26">
        <v>3095.5382795700384</v>
      </c>
      <c r="BO22" s="26">
        <v>3702.7309385057119</v>
      </c>
      <c r="BP22" s="26">
        <v>2271.7090639779217</v>
      </c>
      <c r="BQ22" s="26">
        <v>1380.6246497172904</v>
      </c>
      <c r="BR22" s="26">
        <v>1797.1026799047304</v>
      </c>
      <c r="BS22" s="26">
        <v>2709.0550726801139</v>
      </c>
      <c r="BT22" s="26">
        <v>2646.0523058518106</v>
      </c>
      <c r="BU22" s="26">
        <v>2157.5724203657383</v>
      </c>
      <c r="BV22" s="26">
        <v>1389.5569568963888</v>
      </c>
      <c r="BW22" s="26">
        <v>2741.7514099838909</v>
      </c>
    </row>
    <row r="23" spans="2:75">
      <c r="B23" s="6">
        <f ca="1">COUNTA(X2:X100)</f>
        <v>13</v>
      </c>
      <c r="D23" s="6">
        <v>1</v>
      </c>
      <c r="G23" s="4"/>
      <c r="Q23" s="24"/>
      <c r="S23" s="24"/>
      <c r="U23" s="25"/>
      <c r="V23" s="25"/>
      <c r="W23" s="1"/>
      <c r="X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  <c r="AL23" s="24"/>
      <c r="AM23" s="24"/>
      <c r="AN23" s="24"/>
      <c r="AU23" s="6">
        <v>22</v>
      </c>
      <c r="AV23" s="9" t="s">
        <v>298</v>
      </c>
      <c r="AW23" s="6" t="s">
        <v>301</v>
      </c>
      <c r="AX23" s="6" t="s">
        <v>302</v>
      </c>
      <c r="AY23" s="26" cm="1">
        <f t="array" ref="AY23">IF(RandomMethod="Numbers",BA23,IF(RandomMethod="Scenarios",INDEX(BD23:BW23,RandomScenarioNumber),"Error"))</f>
        <v>16</v>
      </c>
      <c r="BA23" s="26" cm="1">
        <f t="array" aca="1" ref="BA23" ca="1">INDIRECT("'"&amp;AV23&amp;"'!"&amp;AW23)</f>
        <v>16</v>
      </c>
      <c r="BB23" s="32" cm="1">
        <f t="array" aca="1" ref="BB23" ca="1">IF(CheckAnswer(AY23,BA23)=TRUE,1,0)</f>
        <v>1</v>
      </c>
      <c r="BD23" s="26">
        <v>28</v>
      </c>
      <c r="BE23" s="26">
        <v>12</v>
      </c>
      <c r="BF23" s="26">
        <v>27</v>
      </c>
      <c r="BG23" s="26">
        <v>18</v>
      </c>
      <c r="BH23" s="26">
        <v>18</v>
      </c>
      <c r="BI23" s="26">
        <v>27</v>
      </c>
      <c r="BJ23" s="26">
        <v>19</v>
      </c>
      <c r="BK23" s="26">
        <v>16</v>
      </c>
      <c r="BL23" s="26">
        <v>29</v>
      </c>
      <c r="BM23" s="26">
        <v>16</v>
      </c>
      <c r="BN23" s="26">
        <v>43</v>
      </c>
      <c r="BO23" s="26">
        <v>48</v>
      </c>
      <c r="BP23" s="26">
        <v>24</v>
      </c>
      <c r="BQ23" s="26">
        <v>18</v>
      </c>
      <c r="BR23" s="26">
        <v>19</v>
      </c>
      <c r="BS23" s="26">
        <v>29</v>
      </c>
      <c r="BT23" s="26">
        <v>26</v>
      </c>
      <c r="BU23" s="26">
        <v>24</v>
      </c>
      <c r="BV23" s="26">
        <v>18</v>
      </c>
      <c r="BW23" s="26">
        <v>29</v>
      </c>
    </row>
    <row r="24" spans="2:75">
      <c r="G24" s="4"/>
      <c r="Q24" s="24"/>
      <c r="S24" s="24"/>
      <c r="U24" s="25"/>
      <c r="V24" s="25"/>
      <c r="W24" s="1"/>
      <c r="X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24"/>
      <c r="AM24" s="24"/>
      <c r="AN24" s="24"/>
      <c r="AU24" s="6">
        <v>23</v>
      </c>
      <c r="AV24" s="9" t="s">
        <v>298</v>
      </c>
      <c r="AW24" s="6" t="s">
        <v>303</v>
      </c>
      <c r="AX24" s="6" t="s">
        <v>304</v>
      </c>
      <c r="AY24" s="26" cm="1">
        <f t="array" ref="AY24">IF(RandomMethod="Numbers",BA24,IF(RandomMethod="Scenarios",INDEX(BD24:BW24,RandomScenarioNumber),"Error"))</f>
        <v>-92.790042025783123</v>
      </c>
      <c r="BA24" s="26" cm="1">
        <f t="array" aca="1" ref="BA24" ca="1">INDIRECT("'"&amp;AV24&amp;"'!"&amp;AW24)</f>
        <v>-92.790042025783123</v>
      </c>
      <c r="BB24" s="32" cm="1">
        <f t="array" aca="1" ref="BB24" ca="1">IF(CheckAnswer(AY24,BA24)=TRUE,1,0)</f>
        <v>1</v>
      </c>
      <c r="BD24" s="26">
        <v>-166.46420315765053</v>
      </c>
      <c r="BE24" s="26">
        <v>-81.807600157145544</v>
      </c>
      <c r="BF24" s="26">
        <v>-104.74247929370117</v>
      </c>
      <c r="BG24" s="26">
        <v>-321.67104125375567</v>
      </c>
      <c r="BH24" s="26">
        <v>-282.13212348850539</v>
      </c>
      <c r="BI24" s="26">
        <v>-91.718899191035973</v>
      </c>
      <c r="BJ24" s="26">
        <v>-137.33265227603101</v>
      </c>
      <c r="BK24" s="26">
        <v>-178.43797066739518</v>
      </c>
      <c r="BL24" s="26">
        <v>-116.2617865498144</v>
      </c>
      <c r="BM24" s="26">
        <v>-92.790042025783123</v>
      </c>
      <c r="BN24" s="26">
        <v>-346.57025152355993</v>
      </c>
      <c r="BO24" s="26">
        <v>-356.99856478359823</v>
      </c>
      <c r="BP24" s="26">
        <v>-439.18645637537065</v>
      </c>
      <c r="BQ24" s="26">
        <v>-300.27993587635467</v>
      </c>
      <c r="BR24" s="26">
        <v>-378.26909034786729</v>
      </c>
      <c r="BS24" s="26">
        <v>-85.939838716995524</v>
      </c>
      <c r="BT24" s="26">
        <v>-0.56225916316319058</v>
      </c>
      <c r="BU24" s="26">
        <v>-545.16403319799849</v>
      </c>
      <c r="BV24" s="26">
        <v>-246.84811816773419</v>
      </c>
      <c r="BW24" s="26">
        <v>-20.678364746127272</v>
      </c>
    </row>
    <row r="25" spans="2:75">
      <c r="B25" s="8" t="s">
        <v>80</v>
      </c>
      <c r="D25" s="8" t="s">
        <v>96</v>
      </c>
      <c r="G25" s="4"/>
      <c r="Q25" s="2"/>
      <c r="S25" s="2"/>
      <c r="U25" s="1"/>
      <c r="V25" s="1"/>
      <c r="W25" s="1"/>
      <c r="X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U25" s="6">
        <v>24</v>
      </c>
      <c r="AV25" s="9" t="s">
        <v>298</v>
      </c>
      <c r="AW25" s="6" t="s">
        <v>305</v>
      </c>
      <c r="AX25" s="6" t="s">
        <v>306</v>
      </c>
      <c r="AY25" s="26" cm="1">
        <f t="array" ref="AY25">IF(RandomMethod="Numbers",BA25,IF(RandomMethod="Scenarios",INDEX(BD25:BW25,RandomScenarioNumber),"Error"))</f>
        <v>1.3918506303867468</v>
      </c>
      <c r="BA25" s="26" cm="1">
        <f t="array" aca="1" ref="BA25" ca="1">INDIRECT("'"&amp;AV25&amp;"'!"&amp;AW25)</f>
        <v>1.3918506303867468</v>
      </c>
      <c r="BB25" s="32" cm="1">
        <f t="array" aca="1" ref="BB25" ca="1">IF(CheckAnswer(AY25,BA25)=TRUE,1,0)</f>
        <v>1</v>
      </c>
      <c r="BD25" s="26">
        <v>2.7744033859608419</v>
      </c>
      <c r="BE25" s="26">
        <v>1.1589410022262288</v>
      </c>
      <c r="BF25" s="26">
        <v>2.0948495858740235</v>
      </c>
      <c r="BG25" s="26">
        <v>5.3611840208959274</v>
      </c>
      <c r="BH25" s="26">
        <v>4.4670919552346691</v>
      </c>
      <c r="BI25" s="26">
        <v>1.8343779838207193</v>
      </c>
      <c r="BJ25" s="26">
        <v>2.6322091686239277</v>
      </c>
      <c r="BK25" s="26">
        <v>3.7174577222373997</v>
      </c>
      <c r="BL25" s="26">
        <v>2.2283509088714428</v>
      </c>
      <c r="BM25" s="26">
        <v>1.3918506303867468</v>
      </c>
      <c r="BN25" s="26">
        <v>7.2202135734074986</v>
      </c>
      <c r="BO25" s="26">
        <v>7.4374700996582961</v>
      </c>
      <c r="BP25" s="26">
        <v>6.9537855592767022</v>
      </c>
      <c r="BQ25" s="26">
        <v>5.2548988778362071</v>
      </c>
      <c r="BR25" s="26">
        <v>4.7283636293483413</v>
      </c>
      <c r="BS25" s="26">
        <v>1.2174810484907701</v>
      </c>
      <c r="BT25" s="26">
        <v>7.4967888421758749E-3</v>
      </c>
      <c r="BU25" s="26">
        <v>11.357584024958301</v>
      </c>
      <c r="BV25" s="26">
        <v>3.9084285376557912</v>
      </c>
      <c r="BW25" s="26">
        <v>0.36187138305722727</v>
      </c>
    </row>
    <row r="26" spans="2:75">
      <c r="B26" s="6">
        <f>COUNTA(AV2:AV153)</f>
        <v>32</v>
      </c>
      <c r="D26" s="6">
        <v>0</v>
      </c>
      <c r="G26" s="4"/>
      <c r="Q26" s="2"/>
      <c r="S26" s="2"/>
      <c r="U26" s="1"/>
      <c r="V26" s="1"/>
      <c r="W26" s="1"/>
      <c r="X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U26" s="6">
        <v>25</v>
      </c>
      <c r="AV26" s="9" t="s">
        <v>298</v>
      </c>
      <c r="AW26" s="6" t="s">
        <v>307</v>
      </c>
      <c r="AX26" s="6" t="s">
        <v>308</v>
      </c>
      <c r="AY26" s="26" cm="1">
        <f t="array" ref="AY26">IF(RandomMethod="Numbers",BA26,IF(RandomMethod="Scenarios",INDEX(BD26:BW26,RandomScenarioNumber),"Error"))</f>
        <v>6014.8786434348376</v>
      </c>
      <c r="BA26" s="26" cm="1">
        <f t="array" aca="1" ref="BA26" ca="1">INDIRECT("'"&amp;AV26&amp;"'!"&amp;AW26)</f>
        <v>6014.8786434348385</v>
      </c>
      <c r="BB26" s="32" cm="1">
        <f t="array" aca="1" ref="BB26" ca="1">IF(CheckAnswer(AY26,BA26)=TRUE,1,0)</f>
        <v>1</v>
      </c>
      <c r="BD26" s="26">
        <v>3742.6566935299875</v>
      </c>
      <c r="BE26" s="26">
        <v>8743.8021304015183</v>
      </c>
      <c r="BF26" s="26">
        <v>5332.6510437970865</v>
      </c>
      <c r="BG26" s="26">
        <v>8477.3312595713451</v>
      </c>
      <c r="BH26" s="26">
        <v>7566.1693552177403</v>
      </c>
      <c r="BI26" s="26">
        <v>3808.0854842595395</v>
      </c>
      <c r="BJ26" s="26">
        <v>7122.423146459314</v>
      </c>
      <c r="BK26" s="26">
        <v>11554.121339360514</v>
      </c>
      <c r="BL26" s="26">
        <v>3038.579485059739</v>
      </c>
      <c r="BM26" s="26">
        <v>6014.8786434348376</v>
      </c>
      <c r="BN26" s="26">
        <v>747.79910744318943</v>
      </c>
      <c r="BO26" s="26">
        <v>464.02887098582869</v>
      </c>
      <c r="BP26" s="26">
        <v>4461.0628596759907</v>
      </c>
      <c r="BQ26" s="26">
        <v>6009.4924287792746</v>
      </c>
      <c r="BR26" s="26">
        <v>4913.5965747650553</v>
      </c>
      <c r="BS26" s="26">
        <v>2462.4096594169769</v>
      </c>
      <c r="BT26" s="26">
        <v>3433.2793122454109</v>
      </c>
      <c r="BU26" s="26">
        <v>6341.6440967201925</v>
      </c>
      <c r="BV26" s="26">
        <v>5156.3732287607445</v>
      </c>
      <c r="BW26" s="26">
        <v>3151.2245533434907</v>
      </c>
    </row>
    <row r="27" spans="2:75">
      <c r="G27" s="4"/>
      <c r="Q27" s="2"/>
      <c r="S27" s="2"/>
      <c r="U27" s="1"/>
      <c r="V27" s="1"/>
      <c r="W27" s="1"/>
      <c r="X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U27" s="6">
        <v>26</v>
      </c>
      <c r="AV27" s="9" t="s">
        <v>298</v>
      </c>
      <c r="AW27" s="6" t="s">
        <v>309</v>
      </c>
      <c r="AX27" s="6" t="s">
        <v>310</v>
      </c>
      <c r="AY27" s="26" cm="1">
        <f t="array" ref="AY27">IF(RandomMethod="Numbers",BA27,IF(RandomMethod="Scenarios",INDEX(BD27:BW27,RandomScenarioNumber),"Error"))</f>
        <v>0</v>
      </c>
      <c r="BA27" s="26" cm="1">
        <f t="array" aca="1" ref="BA27" ca="1">INDIRECT("'"&amp;AV27&amp;"'!"&amp;AW27)</f>
        <v>0</v>
      </c>
      <c r="BB27" s="32" cm="1">
        <f t="array" aca="1" ref="BB27" ca="1">IF(CheckAnswer(AY27,BA27)=TRUE,1,0)</f>
        <v>1</v>
      </c>
      <c r="BD27" s="26">
        <v>0</v>
      </c>
      <c r="BE27" s="26">
        <v>0</v>
      </c>
      <c r="BF27" s="26">
        <v>0</v>
      </c>
      <c r="BG27" s="26">
        <v>0</v>
      </c>
      <c r="BH27" s="26">
        <v>0</v>
      </c>
      <c r="BI27" s="26">
        <v>0</v>
      </c>
      <c r="BJ27" s="26">
        <v>0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0</v>
      </c>
      <c r="BQ27" s="26">
        <v>0</v>
      </c>
      <c r="BR27" s="26">
        <v>0</v>
      </c>
      <c r="BS27" s="26">
        <v>0</v>
      </c>
      <c r="BT27" s="26">
        <v>0</v>
      </c>
      <c r="BU27" s="26">
        <v>0</v>
      </c>
      <c r="BV27" s="26">
        <v>0</v>
      </c>
      <c r="BW27" s="26">
        <v>0</v>
      </c>
    </row>
    <row r="28" spans="2:75">
      <c r="B28" s="8" t="s">
        <v>92</v>
      </c>
      <c r="D28" s="8" t="s">
        <v>97</v>
      </c>
      <c r="G28" s="4"/>
      <c r="Q28" s="2"/>
      <c r="S28" s="2"/>
      <c r="U28" s="1"/>
      <c r="V28" s="1"/>
      <c r="W28" s="1"/>
      <c r="X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U28" s="6">
        <v>27</v>
      </c>
      <c r="AV28" s="9" t="s">
        <v>298</v>
      </c>
      <c r="AW28" s="6" t="s">
        <v>311</v>
      </c>
      <c r="AX28" s="6" t="s">
        <v>312</v>
      </c>
      <c r="AY28" s="26" cm="1">
        <f t="array" ref="AY28">IF(RandomMethod="Numbers",BA28,IF(RandomMethod="Scenarios",INDEX(BD28:BW28,RandomScenarioNumber),"Error"))</f>
        <v>23093.137311015129</v>
      </c>
      <c r="BA28" s="26" cm="1">
        <f t="array" aca="1" ref="BA28" ca="1">INDIRECT("'"&amp;AV28&amp;"'!"&amp;AW28)</f>
        <v>23093.137311015129</v>
      </c>
      <c r="BB28" s="32" cm="1">
        <f t="array" aca="1" ref="BB28" ca="1">IF(CheckAnswer(AY28,BA28)=TRUE,1,0)</f>
        <v>1</v>
      </c>
      <c r="BD28" s="26">
        <v>17688.312247283182</v>
      </c>
      <c r="BE28" s="26">
        <v>34810.831967254657</v>
      </c>
      <c r="BF28" s="26">
        <v>21265.383452792921</v>
      </c>
      <c r="BG28" s="26">
        <v>32670.820416044131</v>
      </c>
      <c r="BH28" s="26">
        <v>30559.549147681148</v>
      </c>
      <c r="BI28" s="26">
        <v>14746.564227907875</v>
      </c>
      <c r="BJ28" s="26">
        <v>24677.263223408245</v>
      </c>
      <c r="BK28" s="26">
        <v>34171.531689797266</v>
      </c>
      <c r="BL28" s="26">
        <v>12821.365971949943</v>
      </c>
      <c r="BM28" s="26">
        <v>23093.137311015129</v>
      </c>
      <c r="BN28" s="26">
        <v>5075.1215153223311</v>
      </c>
      <c r="BO28" s="26">
        <v>4447.0980061962164</v>
      </c>
      <c r="BP28" s="26">
        <v>20431.593756307408</v>
      </c>
      <c r="BQ28" s="26">
        <v>20841.080441418901</v>
      </c>
      <c r="BR28" s="26">
        <v>24919.721284752624</v>
      </c>
      <c r="BS28" s="26">
        <v>13944.187125966648</v>
      </c>
      <c r="BT28" s="26">
        <v>19586.28995917218</v>
      </c>
      <c r="BU28" s="26">
        <v>21968.594681825001</v>
      </c>
      <c r="BV28" s="26">
        <v>19707.690232798806</v>
      </c>
      <c r="BW28" s="26">
        <v>14865.817890793831</v>
      </c>
    </row>
    <row r="29" spans="2:75">
      <c r="B29" s="6" t="b">
        <v>1</v>
      </c>
      <c r="D29" s="37">
        <v>44859.891932870371</v>
      </c>
      <c r="G29" s="4"/>
      <c r="Q29" s="2"/>
      <c r="S29" s="2"/>
      <c r="U29" s="1"/>
      <c r="V29" s="1"/>
      <c r="W29" s="1"/>
      <c r="X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U29" s="6">
        <v>28</v>
      </c>
      <c r="AV29" s="9" t="s">
        <v>313</v>
      </c>
      <c r="AW29" s="6" t="s">
        <v>108</v>
      </c>
      <c r="AX29" s="6" t="s">
        <v>296</v>
      </c>
      <c r="AY29" s="26" cm="1">
        <f t="array" ref="AY29">IF(RandomMethod="Numbers",BA29,IF(RandomMethod="Scenarios",INDEX(BD29:BW29,RandomScenarioNumber),"Error"))</f>
        <v>25624.87691243349</v>
      </c>
      <c r="BA29" s="26" cm="1">
        <f t="array" aca="1" ref="BA29" ca="1">INDIRECT("'"&amp;AV29&amp;"'!"&amp;AW29)</f>
        <v>25624.87691243349</v>
      </c>
      <c r="BB29" s="32" cm="1">
        <f t="array" aca="1" ref="BB29" ca="1">IF(CheckAnswer(AY29,BA29)=TRUE,1,0)</f>
        <v>1</v>
      </c>
      <c r="BD29" s="26">
        <v>38824.557642894732</v>
      </c>
      <c r="BE29" s="26">
        <v>19191.316049027657</v>
      </c>
      <c r="BF29" s="26">
        <v>23046.946825005838</v>
      </c>
      <c r="BG29" s="26">
        <v>21262.697667375425</v>
      </c>
      <c r="BH29" s="26">
        <v>20166.725315291129</v>
      </c>
      <c r="BI29" s="26">
        <v>35057.654525160971</v>
      </c>
      <c r="BJ29" s="26">
        <v>27621.903838888335</v>
      </c>
      <c r="BK29" s="26">
        <v>24573.580247429156</v>
      </c>
      <c r="BL29" s="26">
        <v>34035.18642116525</v>
      </c>
      <c r="BM29" s="26">
        <v>25624.87691243349</v>
      </c>
      <c r="BN29" s="26">
        <v>38414.454717971108</v>
      </c>
      <c r="BO29" s="26">
        <v>37751.29319487718</v>
      </c>
      <c r="BP29" s="26">
        <v>23654.691042902385</v>
      </c>
      <c r="BQ29" s="26">
        <v>32101.09589303179</v>
      </c>
      <c r="BR29" s="26">
        <v>25214.135574760377</v>
      </c>
      <c r="BS29" s="26">
        <v>27517.84817330357</v>
      </c>
      <c r="BT29" s="26">
        <v>23621.709820219789</v>
      </c>
      <c r="BU29" s="26">
        <v>25541.956058875789</v>
      </c>
      <c r="BV29" s="26">
        <v>29265.561310613488</v>
      </c>
      <c r="BW29" s="26">
        <v>31291.317433265805</v>
      </c>
    </row>
    <row r="30" spans="2:75">
      <c r="G30" s="4"/>
      <c r="Q30" s="2"/>
      <c r="S30" s="2"/>
      <c r="U30" s="1"/>
      <c r="V30" s="1"/>
      <c r="W30" s="1"/>
      <c r="X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U30" s="6">
        <v>29</v>
      </c>
      <c r="AV30" s="9" t="s">
        <v>313</v>
      </c>
      <c r="AW30" s="6" t="s">
        <v>109</v>
      </c>
      <c r="AX30" s="6" t="s">
        <v>297</v>
      </c>
      <c r="AY30" s="26" cm="1">
        <f t="array" ref="AY30">IF(RandomMethod="Numbers",BA30,IF(RandomMethod="Scenarios",INDEX(BD30:BW30,RandomScenarioNumber),"Error"))</f>
        <v>3022.4175379674671</v>
      </c>
      <c r="BA30" s="26" cm="1">
        <f t="array" aca="1" ref="BA30" ca="1">INDIRECT("'"&amp;AV30&amp;"'!"&amp;AW30)</f>
        <v>3022.4175379674671</v>
      </c>
      <c r="BB30" s="32" cm="1">
        <f t="array" aca="1" ref="BB30" ca="1">IF(CheckAnswer(AY30,BA30)=TRUE,1,0)</f>
        <v>1</v>
      </c>
      <c r="BD30" s="26">
        <v>11309.896434730583</v>
      </c>
      <c r="BE30" s="26">
        <v>0</v>
      </c>
      <c r="BF30" s="26">
        <v>0</v>
      </c>
      <c r="BG30" s="26">
        <v>0</v>
      </c>
      <c r="BH30" s="26">
        <v>0</v>
      </c>
      <c r="BI30" s="26">
        <v>8965.8204844367829</v>
      </c>
      <c r="BJ30" s="26">
        <v>1064.50047116939</v>
      </c>
      <c r="BK30" s="26">
        <v>0</v>
      </c>
      <c r="BL30" s="26">
        <v>9512.8249153253801</v>
      </c>
      <c r="BM30" s="26">
        <v>3022.4175379674671</v>
      </c>
      <c r="BN30" s="26">
        <v>14963.125148225656</v>
      </c>
      <c r="BO30" s="26">
        <v>14906.820484789325</v>
      </c>
      <c r="BP30" s="26">
        <v>1052.2316684363359</v>
      </c>
      <c r="BQ30" s="26">
        <v>7152.5833140444329</v>
      </c>
      <c r="BR30" s="26">
        <v>1135.4198641641826</v>
      </c>
      <c r="BS30" s="26">
        <v>3232.8843319138846</v>
      </c>
      <c r="BT30" s="26">
        <v>0</v>
      </c>
      <c r="BU30" s="26">
        <v>0</v>
      </c>
      <c r="BV30" s="26">
        <v>3630.7524235975461</v>
      </c>
      <c r="BW30" s="26">
        <v>9282.293688053036</v>
      </c>
    </row>
    <row r="31" spans="2:75">
      <c r="B31" s="8" t="s">
        <v>82</v>
      </c>
      <c r="D31" s="8" t="s">
        <v>98</v>
      </c>
      <c r="G31" s="4"/>
      <c r="Q31" s="2"/>
      <c r="S31" s="2"/>
      <c r="U31" s="1"/>
      <c r="V31" s="1"/>
      <c r="W31" s="1"/>
      <c r="X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U31" s="6">
        <v>30</v>
      </c>
      <c r="AV31" s="9" t="s">
        <v>313</v>
      </c>
      <c r="AW31" s="6" t="s">
        <v>86</v>
      </c>
      <c r="AX31" s="6" t="s">
        <v>142</v>
      </c>
      <c r="AY31" s="26" cm="1">
        <f t="array" ref="AY31">IF(RandomMethod="Numbers",BA31,IF(RandomMethod="Scenarios",INDEX(BD31:BW31,RandomScenarioNumber),"Error"))</f>
        <v>13636.205642053239</v>
      </c>
      <c r="BA31" s="26" cm="1">
        <f t="array" aca="1" ref="BA31" ca="1">INDIRECT("'"&amp;AV31&amp;"'!"&amp;AW31)</f>
        <v>13636.205642053239</v>
      </c>
      <c r="BB31" s="32" cm="1">
        <f t="array" aca="1" ref="BB31" ca="1">IF(CheckAnswer(AY31,BA31)=TRUE,1,0)</f>
        <v>1</v>
      </c>
      <c r="BD31" s="26">
        <v>7314.1762311805178</v>
      </c>
      <c r="BE31" s="26">
        <v>25095.954109939252</v>
      </c>
      <c r="BF31" s="26">
        <v>21265.383452792921</v>
      </c>
      <c r="BG31" s="26">
        <v>22268.106991164932</v>
      </c>
      <c r="BH31" s="26">
        <v>20515.281163736101</v>
      </c>
      <c r="BI31" s="26">
        <v>9332.7053261916844</v>
      </c>
      <c r="BJ31" s="26">
        <v>19050.469152167883</v>
      </c>
      <c r="BK31" s="26">
        <v>22103.182209709787</v>
      </c>
      <c r="BL31" s="26">
        <v>7611.9404161887142</v>
      </c>
      <c r="BM31" s="26">
        <v>13636.205642053239</v>
      </c>
      <c r="BN31" s="26">
        <v>667.30013180825699</v>
      </c>
      <c r="BO31" s="26">
        <v>320.95574674654512</v>
      </c>
      <c r="BP31" s="26">
        <v>15725.783037137202</v>
      </c>
      <c r="BQ31" s="26">
        <v>10526.090229898451</v>
      </c>
      <c r="BR31" s="26">
        <v>15842.974702288204</v>
      </c>
      <c r="BS31" s="26">
        <v>13944.187125966648</v>
      </c>
      <c r="BT31" s="26">
        <v>19586.28995917218</v>
      </c>
      <c r="BU31" s="26">
        <v>21968.594681825001</v>
      </c>
      <c r="BV31" s="26">
        <v>14716.668123890717</v>
      </c>
      <c r="BW31" s="26">
        <v>5756.4525092236527</v>
      </c>
    </row>
    <row r="32" spans="2:75">
      <c r="B32" s="105">
        <v>5.3587962943517295E-2</v>
      </c>
      <c r="D32" s="6">
        <f>totalTime*24*3600</f>
        <v>4629.9999983198941</v>
      </c>
      <c r="G32" s="4"/>
      <c r="Q32" s="2"/>
      <c r="S32" s="2"/>
      <c r="U32" s="1"/>
      <c r="V32" s="1"/>
      <c r="W32" s="1"/>
      <c r="X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U32" s="6">
        <v>31</v>
      </c>
      <c r="AV32" s="9" t="s">
        <v>313</v>
      </c>
      <c r="AW32" s="6" t="s">
        <v>110</v>
      </c>
      <c r="AX32" s="6" t="s">
        <v>132</v>
      </c>
      <c r="AY32" s="26" cm="1">
        <f t="array" ref="AY32">IF(RandomMethod="Numbers",BA32,IF(RandomMethod="Scenarios",INDEX(BD32:BW32,RandomScenarioNumber),"Error"))</f>
        <v>32730.089670255886</v>
      </c>
      <c r="BA32" s="26" cm="1">
        <f t="array" aca="1" ref="BA32" ca="1">INDIRECT("'"&amp;AV32&amp;"'!"&amp;AW32)</f>
        <v>32730.089670255886</v>
      </c>
      <c r="BB32" s="32" cm="1">
        <f t="array" aca="1" ref="BB32" ca="1">IF(CheckAnswer(AY32,BA32)=TRUE,1,0)</f>
        <v>1</v>
      </c>
      <c r="BD32" s="26">
        <v>28549.604843823356</v>
      </c>
      <c r="BE32" s="26">
        <v>44588.326096399091</v>
      </c>
      <c r="BF32" s="26">
        <v>44413.841711398665</v>
      </c>
      <c r="BG32" s="26">
        <v>43301.134559472172</v>
      </c>
      <c r="BH32" s="26">
        <v>40868.23340302243</v>
      </c>
      <c r="BI32" s="26">
        <v>31960.81119006894</v>
      </c>
      <c r="BJ32" s="26">
        <v>41974.181400637841</v>
      </c>
      <c r="BK32" s="26">
        <v>46549.341833457176</v>
      </c>
      <c r="BL32" s="26">
        <v>29672.833788733704</v>
      </c>
      <c r="BM32" s="26">
        <v>32730.089670255886</v>
      </c>
      <c r="BN32" s="26">
        <v>21455.038255182131</v>
      </c>
      <c r="BO32" s="26">
        <v>19949.404100189116</v>
      </c>
      <c r="BP32" s="26">
        <v>35071.473809135932</v>
      </c>
      <c r="BQ32" s="26">
        <v>31449.668358913521</v>
      </c>
      <c r="BR32" s="26">
        <v>34128.837731155334</v>
      </c>
      <c r="BS32" s="26">
        <v>32883.0732342095</v>
      </c>
      <c r="BT32" s="26">
        <v>38762.764488969136</v>
      </c>
      <c r="BU32" s="26">
        <v>46874.202049156549</v>
      </c>
      <c r="BV32" s="26">
        <v>34871.444950130826</v>
      </c>
      <c r="BW32" s="26">
        <v>24833.477433509892</v>
      </c>
    </row>
    <row r="33" spans="2:75">
      <c r="Q33" s="2"/>
      <c r="S33" s="2"/>
      <c r="U33" s="1"/>
      <c r="V33" s="1"/>
      <c r="W33" s="1"/>
      <c r="X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U33" s="6">
        <v>32</v>
      </c>
      <c r="AV33" s="9" t="s">
        <v>313</v>
      </c>
      <c r="AW33" s="6" t="s">
        <v>119</v>
      </c>
      <c r="AX33" s="6" t="s">
        <v>133</v>
      </c>
      <c r="AY33" s="26" cm="1">
        <f t="array" ref="AY33">IF(RandomMethod="Numbers",BA33,IF(RandomMethod="Scenarios",INDEX(BD33:BW33,RandomScenarioNumber),"Error"))</f>
        <v>48718.014223448619</v>
      </c>
      <c r="BA33" s="26" cm="1">
        <f t="array" aca="1" ref="BA33" ca="1">INDIRECT("'"&amp;AV33&amp;"'!"&amp;AW33)</f>
        <v>48718.014223448619</v>
      </c>
      <c r="BB33" s="32" cm="1">
        <f t="array" aca="1" ref="BB33" ca="1">IF(CheckAnswer(AY33,BA33)=TRUE,1,0)</f>
        <v>1</v>
      </c>
      <c r="BD33" s="26">
        <v>56512.869890177913</v>
      </c>
      <c r="BE33" s="26">
        <v>54002.148016282314</v>
      </c>
      <c r="BF33" s="26">
        <v>55703.097970725445</v>
      </c>
      <c r="BG33" s="26">
        <v>53933.518083419556</v>
      </c>
      <c r="BH33" s="26">
        <v>50726.274462972273</v>
      </c>
      <c r="BI33" s="26">
        <v>55435.360939979582</v>
      </c>
      <c r="BJ33" s="26">
        <v>58014.377394276351</v>
      </c>
      <c r="BK33" s="26">
        <v>58745.111937226422</v>
      </c>
      <c r="BL33" s="26">
        <v>52330.142715199123</v>
      </c>
      <c r="BM33" s="26">
        <v>48718.014223448619</v>
      </c>
      <c r="BN33" s="26">
        <v>48574.978505654108</v>
      </c>
      <c r="BO33" s="26">
        <v>46934.863093903012</v>
      </c>
      <c r="BP33" s="26">
        <v>48908.978448869668</v>
      </c>
      <c r="BQ33" s="26">
        <v>52942.176334450691</v>
      </c>
      <c r="BR33" s="26">
        <v>50133.856859513005</v>
      </c>
      <c r="BS33" s="26">
        <v>50851.624237530013</v>
      </c>
      <c r="BT33" s="26">
        <v>52741.445559145301</v>
      </c>
      <c r="BU33" s="26">
        <v>59819.978723564855</v>
      </c>
      <c r="BV33" s="26">
        <v>54002.9195300063</v>
      </c>
      <c r="BW33" s="26">
        <v>46157.135324059636</v>
      </c>
    </row>
    <row r="34" spans="2:75">
      <c r="Q34" s="2"/>
      <c r="S34" s="2"/>
      <c r="U34" s="1"/>
      <c r="V34" s="1"/>
      <c r="W34" s="1"/>
      <c r="X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V34" s="9"/>
      <c r="AY34" s="26"/>
      <c r="BA34" s="26"/>
      <c r="BB34" s="32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</row>
    <row r="35" spans="2:75">
      <c r="B35" s="38" t="s">
        <v>93</v>
      </c>
      <c r="Q35" s="2"/>
      <c r="S35" s="2"/>
      <c r="U35" s="1"/>
      <c r="V35" s="1"/>
      <c r="W35" s="1"/>
      <c r="X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V35" s="26"/>
      <c r="AX35" s="26"/>
      <c r="AY35" s="32"/>
      <c r="BA35" s="26"/>
      <c r="BB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</row>
    <row r="36" spans="2:75">
      <c r="B36" s="39" t="s">
        <v>94</v>
      </c>
      <c r="Q36" s="2"/>
      <c r="S36" s="2"/>
      <c r="U36" s="1"/>
      <c r="V36" s="1"/>
      <c r="W36" s="1"/>
      <c r="X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V36" s="26"/>
      <c r="AX36" s="26"/>
      <c r="AY36" s="32"/>
      <c r="BA36" s="26"/>
      <c r="BB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</row>
    <row r="37" spans="2:75">
      <c r="B37" s="39" t="s">
        <v>95</v>
      </c>
      <c r="Q37" s="2"/>
      <c r="S37" s="2"/>
      <c r="U37" s="1"/>
      <c r="V37" s="1"/>
      <c r="W37" s="1"/>
      <c r="X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V37" s="26"/>
      <c r="AX37" s="26"/>
      <c r="AY37" s="32"/>
      <c r="BA37" s="26"/>
      <c r="BB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</row>
    <row r="38" spans="2:75">
      <c r="Q38" s="2"/>
      <c r="S38" s="2"/>
      <c r="U38" s="1"/>
      <c r="V38" s="1"/>
      <c r="W38" s="1"/>
      <c r="X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V38" s="26"/>
      <c r="AX38" s="26"/>
      <c r="AY38" s="32"/>
      <c r="BA38" s="26"/>
      <c r="BB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</row>
    <row r="39" spans="2:75">
      <c r="Q39" s="2"/>
      <c r="S39" s="2"/>
      <c r="U39" s="1"/>
      <c r="V39" s="1"/>
      <c r="W39" s="1"/>
      <c r="X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V39" s="26"/>
      <c r="AX39" s="26"/>
      <c r="AY39" s="32"/>
      <c r="BA39" s="26"/>
      <c r="BB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</row>
    <row r="40" spans="2:75">
      <c r="Q40" s="2"/>
      <c r="S40" s="2"/>
      <c r="U40" s="1"/>
      <c r="V40" s="1"/>
      <c r="W40" s="1"/>
      <c r="X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V40" s="26"/>
      <c r="AX40" s="26"/>
      <c r="AY40" s="32"/>
      <c r="BA40" s="26"/>
      <c r="BB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</row>
    <row r="41" spans="2:75">
      <c r="Q41" s="2"/>
      <c r="S41" s="2"/>
      <c r="U41" s="1"/>
      <c r="V41" s="1"/>
      <c r="W41" s="1"/>
      <c r="X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V41" s="26"/>
      <c r="AX41" s="26"/>
      <c r="AY41" s="32"/>
      <c r="BA41" s="26"/>
      <c r="BB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</row>
    <row r="42" spans="2:75">
      <c r="Q42" s="2"/>
      <c r="S42" s="2"/>
      <c r="U42" s="1"/>
      <c r="V42" s="1"/>
      <c r="W42" s="1"/>
      <c r="X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V42" s="26"/>
      <c r="AX42" s="26"/>
      <c r="AY42" s="32"/>
    </row>
    <row r="43" spans="2:75">
      <c r="Q43" s="2"/>
      <c r="S43" s="2"/>
      <c r="U43" s="1"/>
      <c r="V43" s="1"/>
      <c r="W43" s="1"/>
      <c r="X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V43" s="26"/>
      <c r="AX43" s="26"/>
      <c r="AY43" s="32"/>
    </row>
    <row r="44" spans="2:75">
      <c r="Q44" s="2"/>
      <c r="S44" s="2"/>
      <c r="U44" s="1"/>
      <c r="V44" s="1"/>
      <c r="W44" s="1"/>
      <c r="X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V44" s="26"/>
      <c r="AX44" s="26"/>
      <c r="AY44" s="32"/>
    </row>
    <row r="45" spans="2:75">
      <c r="Q45" s="2"/>
      <c r="S45" s="2"/>
      <c r="U45" s="1"/>
      <c r="V45" s="1"/>
      <c r="W45" s="1"/>
      <c r="X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V45" s="26"/>
      <c r="AX45" s="26"/>
      <c r="AY45" s="32"/>
    </row>
    <row r="46" spans="2:75">
      <c r="Q46" s="2"/>
      <c r="S46" s="2"/>
      <c r="U46" s="1"/>
      <c r="V46" s="1"/>
      <c r="W46" s="1"/>
      <c r="X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V46" s="26"/>
      <c r="AX46" s="26"/>
      <c r="AY46" s="32"/>
    </row>
    <row r="47" spans="2:75">
      <c r="Q47" s="2"/>
      <c r="S47" s="2"/>
      <c r="U47" s="1"/>
      <c r="V47" s="1"/>
      <c r="W47" s="1"/>
      <c r="X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V47" s="26"/>
      <c r="AX47" s="26"/>
      <c r="AY47" s="32"/>
    </row>
    <row r="48" spans="2:75">
      <c r="Q48" s="2"/>
      <c r="S48" s="2"/>
      <c r="U48" s="1"/>
      <c r="V48" s="1"/>
      <c r="W48" s="1"/>
      <c r="X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V48" s="26"/>
      <c r="AX48" s="26"/>
      <c r="AY48" s="32"/>
    </row>
    <row r="49" spans="4:51">
      <c r="Q49" s="2"/>
      <c r="S49" s="2"/>
      <c r="U49" s="1"/>
      <c r="V49" s="1"/>
      <c r="W49" s="1"/>
      <c r="X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V49" s="26"/>
      <c r="AX49" s="26"/>
      <c r="AY49" s="32"/>
    </row>
    <row r="50" spans="4:51">
      <c r="Q50" s="2"/>
      <c r="S50" s="2"/>
      <c r="U50" s="1"/>
      <c r="V50" s="1"/>
      <c r="W50" s="1"/>
      <c r="X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V50" s="26"/>
      <c r="AX50" s="26"/>
      <c r="AY50" s="32"/>
    </row>
    <row r="51" spans="4:51">
      <c r="Q51" s="2"/>
      <c r="S51" s="2"/>
      <c r="U51" s="1"/>
      <c r="V51" s="1"/>
      <c r="W51" s="1"/>
      <c r="X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V51" s="26"/>
      <c r="AX51" s="26"/>
      <c r="AY51" s="32"/>
    </row>
    <row r="52" spans="4:51">
      <c r="Q52" s="2"/>
      <c r="S52" s="2"/>
      <c r="U52" s="1"/>
      <c r="V52" s="1"/>
      <c r="W52" s="1"/>
      <c r="X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V52" s="26"/>
      <c r="AX52" s="26"/>
      <c r="AY52" s="32"/>
    </row>
    <row r="53" spans="4:51">
      <c r="Q53" s="2"/>
      <c r="S53" s="2"/>
      <c r="U53" s="1"/>
      <c r="V53" s="1"/>
      <c r="W53" s="1"/>
      <c r="X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V53" s="26"/>
      <c r="AX53" s="26"/>
      <c r="AY53" s="32"/>
    </row>
    <row r="54" spans="4:51">
      <c r="Q54" s="2"/>
      <c r="S54" s="2"/>
      <c r="U54" s="1"/>
      <c r="V54" s="1"/>
      <c r="W54" s="1"/>
      <c r="X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V54" s="26"/>
      <c r="AX54" s="26"/>
      <c r="AY54" s="32"/>
    </row>
    <row r="55" spans="4:51">
      <c r="Q55" s="29"/>
      <c r="S55" s="29"/>
      <c r="U55" s="1"/>
      <c r="V55" s="1"/>
      <c r="W55" s="1"/>
      <c r="X55" s="2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  <c r="AN55" s="29"/>
      <c r="AV55" s="26"/>
      <c r="AX55" s="26"/>
      <c r="AY55" s="32"/>
    </row>
    <row r="56" spans="4:51">
      <c r="Q56" s="29"/>
      <c r="S56" s="29"/>
      <c r="U56" s="1"/>
      <c r="V56" s="1"/>
      <c r="W56" s="1"/>
      <c r="X56" s="2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  <c r="AN56" s="29"/>
      <c r="AV56" s="26"/>
      <c r="AX56" s="26"/>
      <c r="AY56" s="32"/>
    </row>
    <row r="57" spans="4:51">
      <c r="Q57" s="29"/>
      <c r="S57" s="29"/>
      <c r="U57" s="1"/>
      <c r="V57" s="1"/>
      <c r="W57" s="1"/>
      <c r="X57" s="2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  <c r="AN57" s="29"/>
      <c r="AV57" s="26"/>
      <c r="AX57" s="26"/>
      <c r="AY57" s="32"/>
    </row>
    <row r="58" spans="4:51">
      <c r="Q58" s="29"/>
      <c r="S58" s="29"/>
      <c r="U58" s="1"/>
      <c r="V58" s="1"/>
      <c r="W58" s="1"/>
      <c r="X58" s="2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  <c r="AN58" s="29"/>
      <c r="AV58" s="26"/>
      <c r="AX58" s="26"/>
      <c r="AY58" s="32"/>
    </row>
    <row r="59" spans="4:51">
      <c r="Q59" s="29"/>
      <c r="S59" s="29"/>
      <c r="U59" s="1"/>
      <c r="V59" s="1"/>
      <c r="W59" s="1"/>
      <c r="X59" s="2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  <c r="AN59" s="29"/>
      <c r="AV59" s="26"/>
      <c r="AX59" s="26"/>
      <c r="AY59" s="32"/>
    </row>
    <row r="60" spans="4:51">
      <c r="Q60" s="29"/>
      <c r="S60" s="29"/>
      <c r="U60" s="1"/>
      <c r="V60" s="1"/>
      <c r="W60" s="1"/>
      <c r="X60" s="2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  <c r="AN60" s="29"/>
      <c r="AV60" s="26"/>
      <c r="AX60" s="26"/>
      <c r="AY60" s="32"/>
    </row>
    <row r="61" spans="4:51">
      <c r="Q61" s="29"/>
      <c r="S61" s="29"/>
      <c r="U61" s="1"/>
      <c r="V61" s="1"/>
      <c r="W61" s="1"/>
      <c r="X61" s="2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  <c r="AN61" s="29"/>
      <c r="AV61" s="26"/>
      <c r="AX61" s="26"/>
      <c r="AY61" s="32"/>
    </row>
    <row r="62" spans="4:51">
      <c r="D62" s="39" t="str">
        <f>"I finished the MECC Project Your Budget Challenge in "&amp;'Timed Results'!E16&amp;" seconds. Sign up for the Microsoft Excel Collegiate Challenge and give it a try! #ExcelEsports #ExcelAtEller"</f>
        <v>I finished the MECC Project Your Budget Challenge in  seconds. Sign up for the Microsoft Excel Collegiate Challenge and give it a try! #ExcelEsports #ExcelAtEller</v>
      </c>
      <c r="Q62" s="29"/>
      <c r="S62" s="29"/>
      <c r="U62" s="1"/>
      <c r="V62" s="1"/>
      <c r="W62" s="1"/>
      <c r="X62" s="2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  <c r="AN62" s="29"/>
      <c r="AV62" s="26"/>
      <c r="AX62" s="26"/>
      <c r="AY62" s="32"/>
    </row>
    <row r="63" spans="4:51">
      <c r="Q63" s="29"/>
      <c r="S63" s="29"/>
      <c r="U63" s="1"/>
      <c r="V63" s="1"/>
      <c r="W63" s="1"/>
      <c r="X63" s="2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  <c r="AN63" s="29"/>
      <c r="AV63" s="26"/>
      <c r="AX63" s="26"/>
      <c r="AY63" s="32"/>
    </row>
    <row r="64" spans="4:51">
      <c r="D64" s="88"/>
      <c r="Q64" s="29"/>
      <c r="S64" s="29"/>
      <c r="U64" s="1"/>
      <c r="V64" s="1"/>
      <c r="W64" s="1"/>
      <c r="X64" s="2"/>
      <c r="Z64" s="29"/>
      <c r="AA64" s="29"/>
      <c r="AB64" s="29"/>
      <c r="AC64" s="29"/>
      <c r="AD64" s="29"/>
      <c r="AE64" s="29"/>
      <c r="AF64" s="29"/>
      <c r="AG64" s="29"/>
      <c r="AH64" s="29"/>
      <c r="AI64" s="29"/>
      <c r="AJ64" s="29"/>
      <c r="AK64" s="29"/>
      <c r="AL64" s="29"/>
      <c r="AM64" s="29"/>
      <c r="AN64" s="29"/>
      <c r="AV64" s="26"/>
      <c r="AX64" s="26"/>
      <c r="AY64" s="32"/>
    </row>
    <row r="65" spans="4:51">
      <c r="D65" s="89" t="s">
        <v>172</v>
      </c>
      <c r="Q65" s="29"/>
      <c r="S65" s="29"/>
      <c r="U65" s="1"/>
      <c r="V65" s="1"/>
      <c r="W65" s="1"/>
      <c r="X65" s="2"/>
      <c r="Z65" s="29"/>
      <c r="AA65" s="29"/>
      <c r="AB65" s="29"/>
      <c r="AC65" s="29"/>
      <c r="AD65" s="29"/>
      <c r="AE65" s="29"/>
      <c r="AF65" s="29"/>
      <c r="AG65" s="29"/>
      <c r="AH65" s="29"/>
      <c r="AI65" s="29"/>
      <c r="AJ65" s="29"/>
      <c r="AK65" s="29"/>
      <c r="AL65" s="29"/>
      <c r="AM65" s="29"/>
      <c r="AN65" s="29"/>
      <c r="AV65" s="26"/>
      <c r="AX65" s="26"/>
      <c r="AY65" s="32"/>
    </row>
    <row r="66" spans="4:51">
      <c r="Q66" s="29"/>
      <c r="S66" s="29"/>
      <c r="U66" s="1"/>
      <c r="V66" s="1"/>
      <c r="W66" s="1"/>
      <c r="X66" s="2"/>
      <c r="Z66" s="29"/>
      <c r="AA66" s="29"/>
      <c r="AB66" s="29"/>
      <c r="AC66" s="29"/>
      <c r="AD66" s="29"/>
      <c r="AE66" s="29"/>
      <c r="AF66" s="29"/>
      <c r="AG66" s="29"/>
      <c r="AH66" s="29"/>
      <c r="AI66" s="29"/>
      <c r="AJ66" s="29"/>
      <c r="AK66" s="29"/>
      <c r="AL66" s="29"/>
      <c r="AM66" s="29"/>
      <c r="AN66" s="29"/>
      <c r="AV66" s="26"/>
      <c r="AX66" s="30"/>
      <c r="AY66" s="32"/>
    </row>
    <row r="67" spans="4:51">
      <c r="D67" s="39" t="s">
        <v>173</v>
      </c>
      <c r="Q67" s="29"/>
      <c r="S67" s="29"/>
      <c r="U67" s="1"/>
      <c r="V67" s="1"/>
      <c r="W67" s="1"/>
      <c r="X67" s="2"/>
      <c r="Z67" s="29"/>
      <c r="AA67" s="29"/>
      <c r="AB67" s="29"/>
      <c r="AC67" s="29"/>
      <c r="AD67" s="29"/>
      <c r="AE67" s="29"/>
      <c r="AF67" s="29"/>
      <c r="AG67" s="29"/>
      <c r="AH67" s="29"/>
      <c r="AI67" s="29"/>
      <c r="AJ67" s="29"/>
      <c r="AK67" s="29"/>
      <c r="AL67" s="29"/>
      <c r="AM67" s="29"/>
      <c r="AN67" s="29"/>
      <c r="AV67" s="26"/>
      <c r="AX67" s="30"/>
      <c r="AY67" s="32"/>
    </row>
    <row r="68" spans="4:51">
      <c r="Q68" s="29"/>
      <c r="S68" s="29"/>
      <c r="U68" s="1"/>
      <c r="V68" s="1"/>
      <c r="W68" s="1"/>
      <c r="X68" s="2"/>
      <c r="Z68" s="29"/>
      <c r="AA68" s="29"/>
      <c r="AB68" s="29"/>
      <c r="AC68" s="29"/>
      <c r="AD68" s="29"/>
      <c r="AE68" s="29"/>
      <c r="AF68" s="29"/>
      <c r="AG68" s="29"/>
      <c r="AH68" s="29"/>
      <c r="AI68" s="29"/>
      <c r="AJ68" s="29"/>
      <c r="AK68" s="29"/>
      <c r="AL68" s="29"/>
      <c r="AM68" s="29"/>
      <c r="AN68" s="29"/>
      <c r="AV68" s="26"/>
      <c r="AX68" s="30"/>
      <c r="AY68" s="32"/>
    </row>
    <row r="69" spans="4:51">
      <c r="D69" s="64"/>
      <c r="Q69" s="2"/>
      <c r="S69" s="2"/>
      <c r="U69" s="1"/>
      <c r="V69" s="1"/>
      <c r="W69" s="1"/>
      <c r="X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V69" s="26"/>
      <c r="AX69" s="30"/>
      <c r="AY69" s="32"/>
    </row>
    <row r="70" spans="4:51">
      <c r="Q70" s="29"/>
      <c r="S70" s="29"/>
      <c r="U70" s="1"/>
      <c r="V70" s="1"/>
      <c r="W70" s="1"/>
      <c r="X70" s="2"/>
      <c r="Z70" s="29"/>
      <c r="AA70" s="29"/>
      <c r="AB70" s="29"/>
      <c r="AC70" s="29"/>
      <c r="AD70" s="29"/>
      <c r="AE70" s="29"/>
      <c r="AF70" s="29"/>
      <c r="AG70" s="29"/>
      <c r="AH70" s="29"/>
      <c r="AI70" s="29"/>
      <c r="AJ70" s="29"/>
      <c r="AK70" s="29"/>
      <c r="AL70" s="29"/>
      <c r="AM70" s="29"/>
      <c r="AN70" s="29"/>
      <c r="AV70" s="26"/>
      <c r="AX70" s="30"/>
      <c r="AY70" s="32"/>
    </row>
    <row r="71" spans="4:51">
      <c r="D71" s="39" t="str">
        <f>"https://twitter.com/intent/tweet?text=I+finished+the+MECC+Project+Your+Budget+Challenge+in+"&amp;'Timed Results'!E16&amp;"+seconds.+Sign+up+for+the+Microsoft+Excel+Collegiate+Challenge+and+give+it+a+try!&amp;hashtags=ExcelEsports,ExcelAtEller"</f>
        <v>https://twitter.com/intent/tweet?text=I+finished+the+MECC+Project+Your+Budget+Challenge+in++seconds.+Sign+up+for+the+Microsoft+Excel+Collegiate+Challenge+and+give+it+a+try!&amp;hashtags=ExcelEsports,ExcelAtEller</v>
      </c>
      <c r="Q71" s="23"/>
      <c r="R71" s="10"/>
      <c r="S71" s="23"/>
      <c r="T71" s="10"/>
      <c r="U71" s="3"/>
      <c r="V71" s="3"/>
      <c r="W71" s="1"/>
      <c r="X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V71" s="26"/>
      <c r="AX71" s="30"/>
      <c r="AY71" s="32"/>
    </row>
    <row r="72" spans="4:51">
      <c r="AV72" s="26"/>
      <c r="AX72" s="30"/>
      <c r="AY72" s="32"/>
    </row>
    <row r="73" spans="4:51">
      <c r="AV73" s="26"/>
      <c r="AX73" s="30"/>
      <c r="AY73" s="32"/>
    </row>
    <row r="74" spans="4:51">
      <c r="AV74" s="26"/>
      <c r="AX74" s="30"/>
      <c r="AY74" s="32"/>
    </row>
    <row r="75" spans="4:51">
      <c r="AV75" s="26"/>
      <c r="AX75" s="30"/>
      <c r="AY75" s="32"/>
    </row>
    <row r="76" spans="4:51">
      <c r="AV76" s="26"/>
      <c r="AX76" s="30"/>
      <c r="AY76" s="30"/>
    </row>
    <row r="77" spans="4:51">
      <c r="AV77" s="26"/>
    </row>
    <row r="78" spans="4:51">
      <c r="AV78" s="26"/>
    </row>
    <row r="79" spans="4:51">
      <c r="AV79" s="26"/>
    </row>
    <row r="80" spans="4:51">
      <c r="AV80" s="26"/>
    </row>
    <row r="81" spans="48:48">
      <c r="AV81" s="26"/>
    </row>
    <row r="82" spans="48:48">
      <c r="AV82" s="26"/>
    </row>
    <row r="83" spans="48:48">
      <c r="AV83" s="26"/>
    </row>
    <row r="84" spans="48:48">
      <c r="AV84" s="26"/>
    </row>
    <row r="85" spans="48:48">
      <c r="AV85" s="26"/>
    </row>
    <row r="86" spans="48:48">
      <c r="AV86" s="26"/>
    </row>
    <row r="87" spans="48:48">
      <c r="AV87" s="26"/>
    </row>
    <row r="88" spans="48:48">
      <c r="AV88" s="26"/>
    </row>
    <row r="89" spans="48:48">
      <c r="AV89" s="26"/>
    </row>
    <row r="90" spans="48:48">
      <c r="AV90" s="26"/>
    </row>
    <row r="91" spans="48:48">
      <c r="AV91" s="26"/>
    </row>
    <row r="92" spans="48:48">
      <c r="AV92" s="26"/>
    </row>
    <row r="93" spans="48:48">
      <c r="AV93" s="26"/>
    </row>
    <row r="94" spans="48:48">
      <c r="AV94" s="26"/>
    </row>
    <row r="95" spans="48:48">
      <c r="AV95" s="26"/>
    </row>
    <row r="96" spans="48:48">
      <c r="AV96" s="26"/>
    </row>
    <row r="97" spans="48:48">
      <c r="AV97" s="26"/>
    </row>
    <row r="98" spans="48:48">
      <c r="AV98" s="26"/>
    </row>
    <row r="99" spans="48:48">
      <c r="AV99" s="26"/>
    </row>
    <row r="100" spans="48:48">
      <c r="AV100" s="26"/>
    </row>
    <row r="101" spans="48:48">
      <c r="AV101" s="26"/>
    </row>
    <row r="102" spans="48:48">
      <c r="AV102" s="26"/>
    </row>
    <row r="103" spans="48:48">
      <c r="AV103" s="26"/>
    </row>
    <row r="104" spans="48:48">
      <c r="AV104" s="26"/>
    </row>
    <row r="105" spans="48:48">
      <c r="AV105" s="26"/>
    </row>
    <row r="106" spans="48:48">
      <c r="AV106" s="26"/>
    </row>
    <row r="107" spans="48:48">
      <c r="AV107" s="26"/>
    </row>
    <row r="108" spans="48:48">
      <c r="AV108" s="26"/>
    </row>
    <row r="109" spans="48:48">
      <c r="AV109" s="26"/>
    </row>
    <row r="110" spans="48:48">
      <c r="AV110" s="26"/>
    </row>
  </sheetData>
  <phoneticPr fontId="7" type="noConversion"/>
  <hyperlinks>
    <hyperlink ref="D65" r:id="rId1" xr:uid="{9DBA56ED-5479-4856-9DD1-189E54A1A28B}"/>
  </hyperlinks>
  <pageMargins left="0.7" right="0.7" top="0.75" bottom="0.75" header="0.3" footer="0.3"/>
  <pageSetup orientation="portrait" horizontalDpi="1200" verticalDpi="12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ED523-1F67-4C47-BE26-CB657EA12C66}">
  <sheetPr codeName="Sheet9"/>
  <dimension ref="A1:H76"/>
  <sheetViews>
    <sheetView workbookViewId="0">
      <selection activeCell="C14" sqref="C14"/>
    </sheetView>
  </sheetViews>
  <sheetFormatPr defaultColWidth="8.7265625" defaultRowHeight="14.5"/>
  <cols>
    <col min="1" max="3" width="21" style="6" customWidth="1"/>
    <col min="4" max="4" width="24.36328125" style="6" bestFit="1" customWidth="1"/>
    <col min="5" max="16384" width="8.7265625" style="4"/>
  </cols>
  <sheetData>
    <row r="1" spans="1:8">
      <c r="A1" s="8" t="s">
        <v>174</v>
      </c>
      <c r="B1" s="8" t="s">
        <v>175</v>
      </c>
      <c r="C1" s="8" t="s">
        <v>176</v>
      </c>
      <c r="D1" s="8" t="s">
        <v>177</v>
      </c>
    </row>
    <row r="2" spans="1:8">
      <c r="A2" s="2" t="str">
        <f>'Timed Results'!C16</f>
        <v/>
      </c>
      <c r="B2" s="2" t="str">
        <f>'Timed Results'!D16</f>
        <v/>
      </c>
      <c r="C2" s="2" t="str">
        <f>'Timed Results'!E16</f>
        <v/>
      </c>
      <c r="D2" s="2">
        <f>ROUND(BackgroundCalcs!D32,0)</f>
        <v>4630</v>
      </c>
    </row>
    <row r="10" spans="1:8">
      <c r="H10" s="11"/>
    </row>
    <row r="11" spans="1:8">
      <c r="H11" s="12"/>
    </row>
    <row r="12" spans="1:8">
      <c r="H12" s="12"/>
    </row>
    <row r="14" spans="1:8">
      <c r="H14" s="11"/>
    </row>
    <row r="15" spans="1:8">
      <c r="H15" s="11"/>
    </row>
    <row r="16" spans="1:8">
      <c r="H16" s="11"/>
    </row>
    <row r="17" spans="8:8">
      <c r="H17" s="11"/>
    </row>
    <row r="18" spans="8:8">
      <c r="H18" s="11"/>
    </row>
    <row r="20" spans="8:8">
      <c r="H20" s="12"/>
    </row>
    <row r="21" spans="8:8">
      <c r="H21" s="13"/>
    </row>
    <row r="22" spans="8:8">
      <c r="H22" s="13"/>
    </row>
    <row r="23" spans="8:8">
      <c r="H23" s="13"/>
    </row>
    <row r="25" spans="8:8">
      <c r="H25" s="12"/>
    </row>
    <row r="26" spans="8:8">
      <c r="H26" s="13"/>
    </row>
    <row r="28" spans="8:8">
      <c r="H28" s="13"/>
    </row>
    <row r="29" spans="8:8">
      <c r="H29" s="13"/>
    </row>
    <row r="30" spans="8:8">
      <c r="H30" s="13"/>
    </row>
    <row r="31" spans="8:8">
      <c r="H31" s="13"/>
    </row>
    <row r="32" spans="8:8">
      <c r="H32" s="13"/>
    </row>
    <row r="33" spans="8:8">
      <c r="H33" s="13"/>
    </row>
    <row r="35" spans="8:8">
      <c r="H35" s="12"/>
    </row>
    <row r="36" spans="8:8">
      <c r="H36" s="13"/>
    </row>
    <row r="37" spans="8:8">
      <c r="H37" s="13"/>
    </row>
    <row r="38" spans="8:8">
      <c r="H38" s="13"/>
    </row>
    <row r="40" spans="8:8">
      <c r="H40" s="12"/>
    </row>
    <row r="41" spans="8:8">
      <c r="H41" s="13"/>
    </row>
    <row r="43" spans="8:8">
      <c r="H43" s="12"/>
    </row>
    <row r="44" spans="8:8">
      <c r="H44" s="13"/>
    </row>
    <row r="46" spans="8:8">
      <c r="H46" s="12"/>
    </row>
    <row r="47" spans="8:8">
      <c r="H47" s="13"/>
    </row>
    <row r="48" spans="8:8">
      <c r="H48" s="13"/>
    </row>
    <row r="49" spans="8:8">
      <c r="H49" s="13"/>
    </row>
    <row r="50" spans="8:8">
      <c r="H50" s="13"/>
    </row>
    <row r="51" spans="8:8">
      <c r="H51" s="13"/>
    </row>
    <row r="52" spans="8:8">
      <c r="H52" s="13"/>
    </row>
    <row r="53" spans="8:8">
      <c r="H53" s="13"/>
    </row>
    <row r="54" spans="8:8">
      <c r="H54" s="13"/>
    </row>
    <row r="55" spans="8:8">
      <c r="H55" s="13"/>
    </row>
    <row r="56" spans="8:8">
      <c r="H56" s="13"/>
    </row>
    <row r="57" spans="8:8">
      <c r="H57" s="13"/>
    </row>
    <row r="58" spans="8:8">
      <c r="H58" s="13"/>
    </row>
    <row r="59" spans="8:8">
      <c r="H59" s="13"/>
    </row>
    <row r="60" spans="8:8">
      <c r="H60" s="13"/>
    </row>
    <row r="61" spans="8:8">
      <c r="H61" s="13"/>
    </row>
    <row r="63" spans="8:8">
      <c r="H63" s="13"/>
    </row>
    <row r="64" spans="8:8">
      <c r="H64" s="13"/>
    </row>
    <row r="65" spans="8:8">
      <c r="H65" s="13"/>
    </row>
    <row r="67" spans="8:8">
      <c r="H67" s="12"/>
    </row>
    <row r="68" spans="8:8">
      <c r="H68" s="13"/>
    </row>
    <row r="70" spans="8:8">
      <c r="H70" s="13"/>
    </row>
    <row r="71" spans="8:8">
      <c r="H71" s="13"/>
    </row>
    <row r="72" spans="8:8">
      <c r="H72" s="13"/>
    </row>
    <row r="73" spans="8:8">
      <c r="H73" s="13"/>
    </row>
    <row r="74" spans="8:8">
      <c r="H74" s="13"/>
    </row>
    <row r="75" spans="8:8">
      <c r="H75" s="11"/>
    </row>
    <row r="76" spans="8:8">
      <c r="H76" s="11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61055-155C-445F-BBD4-3909BBE38A7E}">
  <sheetPr codeName="Sheet3"/>
  <dimension ref="A1:H500"/>
  <sheetViews>
    <sheetView workbookViewId="0">
      <selection activeCell="B1" sqref="B1"/>
    </sheetView>
  </sheetViews>
  <sheetFormatPr defaultRowHeight="14.5"/>
  <cols>
    <col min="1" max="1" width="8.7265625" style="4"/>
    <col min="2" max="2" width="12.26953125" style="6" bestFit="1" customWidth="1"/>
    <col min="3" max="3" width="21.7265625" style="4" bestFit="1" customWidth="1"/>
    <col min="4" max="4" width="7.26953125" style="4" customWidth="1"/>
    <col min="5" max="5" width="31.7265625" style="4" customWidth="1"/>
    <col min="6" max="6" width="5.81640625" style="4" bestFit="1" customWidth="1"/>
    <col min="7" max="7" width="41.08984375" style="4" bestFit="1" customWidth="1"/>
    <col min="8" max="8" width="16.7265625" style="4" bestFit="1" customWidth="1"/>
    <col min="9" max="16384" width="8.7265625" style="4"/>
  </cols>
  <sheetData>
    <row r="1" spans="1:8">
      <c r="B1" s="6" t="s">
        <v>99</v>
      </c>
      <c r="C1" s="4" t="s">
        <v>100</v>
      </c>
      <c r="D1" s="4" t="s">
        <v>101</v>
      </c>
      <c r="E1" s="4" t="s">
        <v>102</v>
      </c>
      <c r="F1" s="4" t="s">
        <v>103</v>
      </c>
      <c r="G1" s="4" t="s">
        <v>104</v>
      </c>
      <c r="H1" s="4" t="s">
        <v>105</v>
      </c>
    </row>
    <row r="2" spans="1:8">
      <c r="A2" s="6">
        <v>1</v>
      </c>
      <c r="B2" s="6" t="str">
        <f>IF(ISNUMBER(A2),"CELL","")</f>
        <v>CELL</v>
      </c>
      <c r="C2" s="9" t="str" cm="1">
        <f t="array" ref="C2">IF(ISNUMBER(A2),INDEX(BackgroundCalcs!$AV$2:$AV$500,'Grading Formulas'!$A2),"")</f>
        <v>Rent Costs</v>
      </c>
      <c r="D2" s="9" t="str" cm="1">
        <f t="array" ref="D2">IF(ISNUMBER($A2),INDEX(BackgroundCalcs!$AW$2:$AW$500,'Grading Formulas'!$A2),"")</f>
        <v>F8</v>
      </c>
      <c r="E2" s="4" t="str" cm="1">
        <f t="array" ref="E2">IF(ISNUMBER($A2),IF(A2=A1,"Reference2(False,True,"&amp;INDEX(BackgroundCalcs!$AX$2:$AX$500,'Grading Formulas'!$A2)&amp;")","Reference() AND MOEValue(.0001)"),"")</f>
        <v>Reference() AND MOEValue(.0001)</v>
      </c>
      <c r="F2" s="4">
        <f>IF(ISNUMBER($A2),IF(A2=A1,-1000,1),"")</f>
        <v>1</v>
      </c>
      <c r="G2" s="4" t="str">
        <f>IF(ISNUMBER($A2),IF(A2=A1,"You should not be referencing the answer cell","Correct"),"")</f>
        <v>Correct</v>
      </c>
      <c r="H2" s="4" t="str">
        <f>IF(ISNUMBER($A2),IF(A2=A1,"N/A","Incorrect"),"")</f>
        <v>Incorrect</v>
      </c>
    </row>
    <row r="3" spans="1:8">
      <c r="A3" s="6">
        <v>1</v>
      </c>
      <c r="B3" s="6" t="str">
        <f t="shared" ref="B3:B257" si="0">IF(ISNUMBER(A3),"CELL","")</f>
        <v>CELL</v>
      </c>
      <c r="C3" s="9" t="str" cm="1">
        <f t="array" ref="C3">IF(ISNUMBER(A3),INDEX(BackgroundCalcs!$AV$2:$AV$500,'Grading Formulas'!$A3),"")</f>
        <v>Rent Costs</v>
      </c>
      <c r="D3" s="9" t="str" cm="1">
        <f t="array" ref="D3">IF(ISNUMBER($A3),INDEX(BackgroundCalcs!$AW$2:$AW$500,'Grading Formulas'!$A3),"")</f>
        <v>F8</v>
      </c>
      <c r="E3" s="4" t="str" cm="1">
        <f t="array" ref="E3">IF(ISNUMBER($A3),IF(A3=A2,"Reference2(False,True,"&amp;INDEX(BackgroundCalcs!$AX$2:$AX$500,'Grading Formulas'!$A3)&amp;")","Reference() AND MOEValue(.0001)"),"")</f>
        <v>Reference2(False,True,G8)</v>
      </c>
      <c r="F3" s="4">
        <f t="shared" ref="F3:F66" si="1">IF(ISNUMBER($A3),IF(A3=A2,-1000,1),"")</f>
        <v>-1000</v>
      </c>
      <c r="G3" s="4" t="str">
        <f t="shared" ref="G3:G66" si="2">IF(ISNUMBER($A3),IF(A3=A2,"You should not be referencing the answer cell","Correct"),"")</f>
        <v>You should not be referencing the answer cell</v>
      </c>
      <c r="H3" s="4" t="str">
        <f t="shared" ref="H3:H66" si="3">IF(ISNUMBER($A3),IF(A3=A2,"N/A","Incorrect"),"")</f>
        <v>N/A</v>
      </c>
    </row>
    <row r="4" spans="1:8">
      <c r="A4" s="6">
        <f t="shared" ref="A4:A67" si="4">IF(A2&lt;NumAnswers,A2+1,"")</f>
        <v>2</v>
      </c>
      <c r="B4" s="6" t="str">
        <f t="shared" si="0"/>
        <v>CELL</v>
      </c>
      <c r="C4" s="9" t="str" cm="1">
        <f t="array" ref="C4">IF(ISNUMBER(A4),INDEX(BackgroundCalcs!$AV$2:$AV$500,'Grading Formulas'!$A4),"")</f>
        <v>Rent Costs</v>
      </c>
      <c r="D4" s="9" t="str" cm="1">
        <f t="array" ref="D4">IF(ISNUMBER($A4),INDEX(BackgroundCalcs!$AW$2:$AW$500,'Grading Formulas'!$A4),"")</f>
        <v>F9</v>
      </c>
      <c r="E4" s="4" t="str" cm="1">
        <f t="array" ref="E4">IF(ISNUMBER($A4),IF(A4=A3,"Reference2(False,True,"&amp;INDEX(BackgroundCalcs!$AX$2:$AX$500,'Grading Formulas'!$A4)&amp;")","Reference() AND MOEValue(.0001)"),"")</f>
        <v>Reference() AND MOEValue(.0001)</v>
      </c>
      <c r="F4" s="4">
        <f t="shared" si="1"/>
        <v>1</v>
      </c>
      <c r="G4" s="4" t="str">
        <f t="shared" si="2"/>
        <v>Correct</v>
      </c>
      <c r="H4" s="4" t="str">
        <f t="shared" si="3"/>
        <v>Incorrect</v>
      </c>
    </row>
    <row r="5" spans="1:8">
      <c r="A5" s="6">
        <f t="shared" si="4"/>
        <v>2</v>
      </c>
      <c r="B5" s="6" t="str">
        <f t="shared" si="0"/>
        <v>CELL</v>
      </c>
      <c r="C5" s="9" t="str" cm="1">
        <f t="array" ref="C5">IF(ISNUMBER(A5),INDEX(BackgroundCalcs!$AV$2:$AV$500,'Grading Formulas'!$A5),"")</f>
        <v>Rent Costs</v>
      </c>
      <c r="D5" s="9" t="str" cm="1">
        <f t="array" ref="D5">IF(ISNUMBER($A5),INDEX(BackgroundCalcs!$AW$2:$AW$500,'Grading Formulas'!$A5),"")</f>
        <v>F9</v>
      </c>
      <c r="E5" s="4" t="str" cm="1">
        <f t="array" ref="E5">IF(ISNUMBER($A5),IF(A5=A4,"Reference2(False,True,"&amp;INDEX(BackgroundCalcs!$AX$2:$AX$500,'Grading Formulas'!$A5)&amp;")","Reference() AND MOEValue(.0001)"),"")</f>
        <v>Reference2(False,True,G9)</v>
      </c>
      <c r="F5" s="4">
        <f t="shared" si="1"/>
        <v>-1000</v>
      </c>
      <c r="G5" s="4" t="str">
        <f t="shared" si="2"/>
        <v>You should not be referencing the answer cell</v>
      </c>
      <c r="H5" s="4" t="str">
        <f t="shared" si="3"/>
        <v>N/A</v>
      </c>
    </row>
    <row r="6" spans="1:8">
      <c r="A6" s="6">
        <f t="shared" si="4"/>
        <v>3</v>
      </c>
      <c r="B6" s="6" t="str">
        <f t="shared" si="0"/>
        <v>CELL</v>
      </c>
      <c r="C6" s="9" t="str" cm="1">
        <f t="array" ref="C6">IF(ISNUMBER(A6),INDEX(BackgroundCalcs!$AV$2:$AV$500,'Grading Formulas'!$A6),"")</f>
        <v>Car Loan</v>
      </c>
      <c r="D6" s="9" t="str" cm="1">
        <f t="array" ref="D6">IF(ISNUMBER($A6),INDEX(BackgroundCalcs!$AW$2:$AW$500,'Grading Formulas'!$A6),"")</f>
        <v>F11</v>
      </c>
      <c r="E6" s="4" t="str" cm="1">
        <f t="array" ref="E6">IF(ISNUMBER($A6),IF(A6=A5,"Reference2(False,True,"&amp;INDEX(BackgroundCalcs!$AX$2:$AX$500,'Grading Formulas'!$A6)&amp;")","Reference() AND MOEValue(.0001)"),"")</f>
        <v>Reference() AND MOEValue(.0001)</v>
      </c>
      <c r="F6" s="4">
        <f t="shared" si="1"/>
        <v>1</v>
      </c>
      <c r="G6" s="4" t="str">
        <f t="shared" si="2"/>
        <v>Correct</v>
      </c>
      <c r="H6" s="4" t="str">
        <f t="shared" si="3"/>
        <v>Incorrect</v>
      </c>
    </row>
    <row r="7" spans="1:8">
      <c r="A7" s="6">
        <f t="shared" si="4"/>
        <v>3</v>
      </c>
      <c r="B7" s="6" t="str">
        <f t="shared" si="0"/>
        <v>CELL</v>
      </c>
      <c r="C7" s="9" t="str" cm="1">
        <f t="array" ref="C7">IF(ISNUMBER(A7),INDEX(BackgroundCalcs!$AV$2:$AV$500,'Grading Formulas'!$A7),"")</f>
        <v>Car Loan</v>
      </c>
      <c r="D7" s="9" t="str" cm="1">
        <f t="array" ref="D7">IF(ISNUMBER($A7),INDEX(BackgroundCalcs!$AW$2:$AW$500,'Grading Formulas'!$A7),"")</f>
        <v>F11</v>
      </c>
      <c r="E7" s="4" t="str" cm="1">
        <f t="array" ref="E7">IF(ISNUMBER($A7),IF(A7=A6,"Reference2(False,True,"&amp;INDEX(BackgroundCalcs!$AX$2:$AX$500,'Grading Formulas'!$A7)&amp;")","Reference() AND MOEValue(.0001)"),"")</f>
        <v>Reference2(False,True,G11)</v>
      </c>
      <c r="F7" s="4">
        <f t="shared" si="1"/>
        <v>-1000</v>
      </c>
      <c r="G7" s="4" t="str">
        <f t="shared" si="2"/>
        <v>You should not be referencing the answer cell</v>
      </c>
      <c r="H7" s="4" t="str">
        <f t="shared" si="3"/>
        <v>N/A</v>
      </c>
    </row>
    <row r="8" spans="1:8">
      <c r="A8" s="6">
        <f t="shared" si="4"/>
        <v>4</v>
      </c>
      <c r="B8" s="6" t="str">
        <f t="shared" si="0"/>
        <v>CELL</v>
      </c>
      <c r="C8" s="9" t="str" cm="1">
        <f t="array" ref="C8">IF(ISNUMBER(A8),INDEX(BackgroundCalcs!$AV$2:$AV$500,'Grading Formulas'!$A8),"")</f>
        <v>Car Loan</v>
      </c>
      <c r="D8" s="9" t="str" cm="1">
        <f t="array" ref="D8">IF(ISNUMBER($A8),INDEX(BackgroundCalcs!$AW$2:$AW$500,'Grading Formulas'!$A8),"")</f>
        <v>F12</v>
      </c>
      <c r="E8" s="4" t="str" cm="1">
        <f t="array" ref="E8">IF(ISNUMBER($A8),IF(A8=A7,"Reference2(False,True,"&amp;INDEX(BackgroundCalcs!$AX$2:$AX$500,'Grading Formulas'!$A8)&amp;")","Reference() AND MOEValue(.0001)"),"")</f>
        <v>Reference() AND MOEValue(.0001)</v>
      </c>
      <c r="F8" s="4">
        <f t="shared" si="1"/>
        <v>1</v>
      </c>
      <c r="G8" s="4" t="str">
        <f t="shared" si="2"/>
        <v>Correct</v>
      </c>
      <c r="H8" s="4" t="str">
        <f t="shared" si="3"/>
        <v>Incorrect</v>
      </c>
    </row>
    <row r="9" spans="1:8">
      <c r="A9" s="6">
        <f t="shared" si="4"/>
        <v>4</v>
      </c>
      <c r="B9" s="6" t="str">
        <f t="shared" si="0"/>
        <v>CELL</v>
      </c>
      <c r="C9" s="9" t="str" cm="1">
        <f t="array" ref="C9">IF(ISNUMBER(A9),INDEX(BackgroundCalcs!$AV$2:$AV$500,'Grading Formulas'!$A9),"")</f>
        <v>Car Loan</v>
      </c>
      <c r="D9" s="9" t="str" cm="1">
        <f t="array" ref="D9">IF(ISNUMBER($A9),INDEX(BackgroundCalcs!$AW$2:$AW$500,'Grading Formulas'!$A9),"")</f>
        <v>F12</v>
      </c>
      <c r="E9" s="4" t="str" cm="1">
        <f t="array" ref="E9">IF(ISNUMBER($A9),IF(A9=A8,"Reference2(False,True,"&amp;INDEX(BackgroundCalcs!$AX$2:$AX$500,'Grading Formulas'!$A9)&amp;")","Reference() AND MOEValue(.0001)"),"")</f>
        <v>Reference2(False,True,G12)</v>
      </c>
      <c r="F9" s="4">
        <f t="shared" si="1"/>
        <v>-1000</v>
      </c>
      <c r="G9" s="4" t="str">
        <f t="shared" si="2"/>
        <v>You should not be referencing the answer cell</v>
      </c>
      <c r="H9" s="4" t="str">
        <f t="shared" si="3"/>
        <v>N/A</v>
      </c>
    </row>
    <row r="10" spans="1:8">
      <c r="A10" s="6">
        <f t="shared" si="4"/>
        <v>5</v>
      </c>
      <c r="B10" s="6" t="str">
        <f t="shared" si="0"/>
        <v>CELL</v>
      </c>
      <c r="C10" s="9" t="str" cm="1">
        <f t="array" ref="C10">IF(ISNUMBER(A10),INDEX(BackgroundCalcs!$AV$2:$AV$500,'Grading Formulas'!$A10),"")</f>
        <v>Car Loan</v>
      </c>
      <c r="D10" s="9" t="str" cm="1">
        <f t="array" ref="D10">IF(ISNUMBER($A10),INDEX(BackgroundCalcs!$AW$2:$AW$500,'Grading Formulas'!$A10),"")</f>
        <v>F13</v>
      </c>
      <c r="E10" s="4" t="str" cm="1">
        <f t="array" ref="E10">IF(ISNUMBER($A10),IF(A10=A9,"Reference2(False,True,"&amp;INDEX(BackgroundCalcs!$AX$2:$AX$500,'Grading Formulas'!$A10)&amp;")","Reference() AND MOEValue(.0001)"),"")</f>
        <v>Reference() AND MOEValue(.0001)</v>
      </c>
      <c r="F10" s="4">
        <f t="shared" si="1"/>
        <v>1</v>
      </c>
      <c r="G10" s="4" t="str">
        <f t="shared" si="2"/>
        <v>Correct</v>
      </c>
      <c r="H10" s="4" t="str">
        <f t="shared" si="3"/>
        <v>Incorrect</v>
      </c>
    </row>
    <row r="11" spans="1:8">
      <c r="A11" s="6">
        <f t="shared" si="4"/>
        <v>5</v>
      </c>
      <c r="B11" s="6" t="str">
        <f t="shared" si="0"/>
        <v>CELL</v>
      </c>
      <c r="C11" s="9" t="str" cm="1">
        <f t="array" ref="C11">IF(ISNUMBER(A11),INDEX(BackgroundCalcs!$AV$2:$AV$500,'Grading Formulas'!$A11),"")</f>
        <v>Car Loan</v>
      </c>
      <c r="D11" s="9" t="str" cm="1">
        <f t="array" ref="D11">IF(ISNUMBER($A11),INDEX(BackgroundCalcs!$AW$2:$AW$500,'Grading Formulas'!$A11),"")</f>
        <v>F13</v>
      </c>
      <c r="E11" s="4" t="str" cm="1">
        <f t="array" ref="E11">IF(ISNUMBER($A11),IF(A11=A10,"Reference2(False,True,"&amp;INDEX(BackgroundCalcs!$AX$2:$AX$500,'Grading Formulas'!$A11)&amp;")","Reference() AND MOEValue(.0001)"),"")</f>
        <v>Reference2(False,True,G13)</v>
      </c>
      <c r="F11" s="4">
        <f t="shared" si="1"/>
        <v>-1000</v>
      </c>
      <c r="G11" s="4" t="str">
        <f t="shared" si="2"/>
        <v>You should not be referencing the answer cell</v>
      </c>
      <c r="H11" s="4" t="str">
        <f t="shared" si="3"/>
        <v>N/A</v>
      </c>
    </row>
    <row r="12" spans="1:8">
      <c r="A12" s="6">
        <f t="shared" si="4"/>
        <v>6</v>
      </c>
      <c r="B12" s="6" t="str">
        <f t="shared" si="0"/>
        <v>CELL</v>
      </c>
      <c r="C12" s="9" t="str" cm="1">
        <f t="array" ref="C12">IF(ISNUMBER(A12),INDEX(BackgroundCalcs!$AV$2:$AV$500,'Grading Formulas'!$A12),"")</f>
        <v>Car Loan</v>
      </c>
      <c r="D12" s="9" t="str" cm="1">
        <f t="array" ref="D12">IF(ISNUMBER($A12),INDEX(BackgroundCalcs!$AW$2:$AW$500,'Grading Formulas'!$A12),"")</f>
        <v>F14</v>
      </c>
      <c r="E12" s="4" t="str" cm="1">
        <f t="array" ref="E12">IF(ISNUMBER($A12),IF(A12=A11,"Reference2(False,True,"&amp;INDEX(BackgroundCalcs!$AX$2:$AX$500,'Grading Formulas'!$A12)&amp;")","Reference() AND MOEValue(.0001)"),"")</f>
        <v>Reference() AND MOEValue(.0001)</v>
      </c>
      <c r="F12" s="4">
        <f t="shared" si="1"/>
        <v>1</v>
      </c>
      <c r="G12" s="4" t="str">
        <f t="shared" si="2"/>
        <v>Correct</v>
      </c>
      <c r="H12" s="4" t="str">
        <f t="shared" si="3"/>
        <v>Incorrect</v>
      </c>
    </row>
    <row r="13" spans="1:8">
      <c r="A13" s="6">
        <f t="shared" si="4"/>
        <v>6</v>
      </c>
      <c r="B13" s="6" t="str">
        <f t="shared" si="0"/>
        <v>CELL</v>
      </c>
      <c r="C13" s="9" t="str" cm="1">
        <f t="array" ref="C13">IF(ISNUMBER(A13),INDEX(BackgroundCalcs!$AV$2:$AV$500,'Grading Formulas'!$A13),"")</f>
        <v>Car Loan</v>
      </c>
      <c r="D13" s="9" t="str" cm="1">
        <f t="array" ref="D13">IF(ISNUMBER($A13),INDEX(BackgroundCalcs!$AW$2:$AW$500,'Grading Formulas'!$A13),"")</f>
        <v>F14</v>
      </c>
      <c r="E13" s="4" t="str" cm="1">
        <f t="array" ref="E13">IF(ISNUMBER($A13),IF(A13=A12,"Reference2(False,True,"&amp;INDEX(BackgroundCalcs!$AX$2:$AX$500,'Grading Formulas'!$A13)&amp;")","Reference() AND MOEValue(.0001)"),"")</f>
        <v>Reference2(False,True,G14)</v>
      </c>
      <c r="F13" s="4">
        <f t="shared" si="1"/>
        <v>-1000</v>
      </c>
      <c r="G13" s="4" t="str">
        <f t="shared" si="2"/>
        <v>You should not be referencing the answer cell</v>
      </c>
      <c r="H13" s="4" t="str">
        <f t="shared" si="3"/>
        <v>N/A</v>
      </c>
    </row>
    <row r="14" spans="1:8">
      <c r="A14" s="6">
        <f t="shared" si="4"/>
        <v>7</v>
      </c>
      <c r="B14" s="6" t="str">
        <f t="shared" si="0"/>
        <v>CELL</v>
      </c>
      <c r="C14" s="9" t="str" cm="1">
        <f t="array" ref="C14">IF(ISNUMBER(A14),INDEX(BackgroundCalcs!$AV$2:$AV$500,'Grading Formulas'!$A14),"")</f>
        <v>Car Loan</v>
      </c>
      <c r="D14" s="9" t="str" cm="1">
        <f t="array" ref="D14">IF(ISNUMBER($A14),INDEX(BackgroundCalcs!$AW$2:$AW$500,'Grading Formulas'!$A14),"")</f>
        <v>F15</v>
      </c>
      <c r="E14" s="4" t="str" cm="1">
        <f t="array" ref="E14">IF(ISNUMBER($A14),IF(A14=A13,"Reference2(False,True,"&amp;INDEX(BackgroundCalcs!$AX$2:$AX$500,'Grading Formulas'!$A14)&amp;")","Reference() AND MOEValue(.0001)"),"")</f>
        <v>Reference() AND MOEValue(.0001)</v>
      </c>
      <c r="F14" s="4">
        <f t="shared" si="1"/>
        <v>1</v>
      </c>
      <c r="G14" s="4" t="str">
        <f t="shared" si="2"/>
        <v>Correct</v>
      </c>
      <c r="H14" s="4" t="str">
        <f t="shared" si="3"/>
        <v>Incorrect</v>
      </c>
    </row>
    <row r="15" spans="1:8">
      <c r="A15" s="6">
        <f t="shared" si="4"/>
        <v>7</v>
      </c>
      <c r="B15" s="6" t="str">
        <f t="shared" si="0"/>
        <v>CELL</v>
      </c>
      <c r="C15" s="9" t="str" cm="1">
        <f t="array" ref="C15">IF(ISNUMBER(A15),INDEX(BackgroundCalcs!$AV$2:$AV$500,'Grading Formulas'!$A15),"")</f>
        <v>Car Loan</v>
      </c>
      <c r="D15" s="9" t="str" cm="1">
        <f t="array" ref="D15">IF(ISNUMBER($A15),INDEX(BackgroundCalcs!$AW$2:$AW$500,'Grading Formulas'!$A15),"")</f>
        <v>F15</v>
      </c>
      <c r="E15" s="4" t="str" cm="1">
        <f t="array" ref="E15">IF(ISNUMBER($A15),IF(A15=A14,"Reference2(False,True,"&amp;INDEX(BackgroundCalcs!$AX$2:$AX$500,'Grading Formulas'!$A15)&amp;")","Reference() AND MOEValue(.0001)"),"")</f>
        <v>Reference2(False,True,G15)</v>
      </c>
      <c r="F15" s="4">
        <f t="shared" si="1"/>
        <v>-1000</v>
      </c>
      <c r="G15" s="4" t="str">
        <f t="shared" si="2"/>
        <v>You should not be referencing the answer cell</v>
      </c>
      <c r="H15" s="4" t="str">
        <f t="shared" si="3"/>
        <v>N/A</v>
      </c>
    </row>
    <row r="16" spans="1:8">
      <c r="A16" s="6">
        <f t="shared" si="4"/>
        <v>8</v>
      </c>
      <c r="B16" s="6" t="str">
        <f t="shared" si="0"/>
        <v>CELL</v>
      </c>
      <c r="C16" s="9" t="str" cm="1">
        <f t="array" ref="C16">IF(ISNUMBER(A16),INDEX(BackgroundCalcs!$AV$2:$AV$500,'Grading Formulas'!$A16),"")</f>
        <v>Monthly Spending</v>
      </c>
      <c r="D16" s="9" t="str" cm="1">
        <f t="array" ref="D16">IF(ISNUMBER($A16),INDEX(BackgroundCalcs!$AW$2:$AW$500,'Grading Formulas'!$A16),"")</f>
        <v>E12</v>
      </c>
      <c r="E16" s="4" t="str" cm="1">
        <f t="array" ref="E16">IF(ISNUMBER($A16),IF(A16=A15,"Reference2(False,True,"&amp;INDEX(BackgroundCalcs!$AX$2:$AX$500,'Grading Formulas'!$A16)&amp;")","Reference() AND MOEValue(.0001)"),"")</f>
        <v>Reference() AND MOEValue(.0001)</v>
      </c>
      <c r="F16" s="4">
        <f t="shared" si="1"/>
        <v>1</v>
      </c>
      <c r="G16" s="4" t="str">
        <f t="shared" si="2"/>
        <v>Correct</v>
      </c>
      <c r="H16" s="4" t="str">
        <f t="shared" si="3"/>
        <v>Incorrect</v>
      </c>
    </row>
    <row r="17" spans="1:8">
      <c r="A17" s="6">
        <f t="shared" si="4"/>
        <v>8</v>
      </c>
      <c r="B17" s="6" t="str">
        <f t="shared" si="0"/>
        <v>CELL</v>
      </c>
      <c r="C17" s="9" t="str" cm="1">
        <f t="array" ref="C17">IF(ISNUMBER(A17),INDEX(BackgroundCalcs!$AV$2:$AV$500,'Grading Formulas'!$A17),"")</f>
        <v>Monthly Spending</v>
      </c>
      <c r="D17" s="9" t="str" cm="1">
        <f t="array" ref="D17">IF(ISNUMBER($A17),INDEX(BackgroundCalcs!$AW$2:$AW$500,'Grading Formulas'!$A17),"")</f>
        <v>E12</v>
      </c>
      <c r="E17" s="4" t="str" cm="1">
        <f t="array" ref="E17">IF(ISNUMBER($A17),IF(A17=A16,"Reference2(False,True,"&amp;INDEX(BackgroundCalcs!$AX$2:$AX$500,'Grading Formulas'!$A17)&amp;")","Reference() AND MOEValue(.0001)"),"")</f>
        <v>Reference2(False,True,F12)</v>
      </c>
      <c r="F17" s="4">
        <f t="shared" si="1"/>
        <v>-1000</v>
      </c>
      <c r="G17" s="4" t="str">
        <f t="shared" si="2"/>
        <v>You should not be referencing the answer cell</v>
      </c>
      <c r="H17" s="4" t="str">
        <f t="shared" si="3"/>
        <v>N/A</v>
      </c>
    </row>
    <row r="18" spans="1:8">
      <c r="A18" s="6">
        <f t="shared" si="4"/>
        <v>9</v>
      </c>
      <c r="B18" s="6" t="str">
        <f t="shared" si="0"/>
        <v>CELL</v>
      </c>
      <c r="C18" s="9" t="str" cm="1">
        <f t="array" ref="C18">IF(ISNUMBER(A18),INDEX(BackgroundCalcs!$AV$2:$AV$500,'Grading Formulas'!$A18),"")</f>
        <v>Monthly Spending</v>
      </c>
      <c r="D18" s="9" t="str" cm="1">
        <f t="array" ref="D18">IF(ISNUMBER($A18),INDEX(BackgroundCalcs!$AW$2:$AW$500,'Grading Formulas'!$A18),"")</f>
        <v>E13</v>
      </c>
      <c r="E18" s="4" t="str" cm="1">
        <f t="array" ref="E18">IF(ISNUMBER($A18),IF(A18=A17,"Reference2(False,True,"&amp;INDEX(BackgroundCalcs!$AX$2:$AX$500,'Grading Formulas'!$A18)&amp;")","Reference() AND MOEValue(.0001)"),"")</f>
        <v>Reference() AND MOEValue(.0001)</v>
      </c>
      <c r="F18" s="4">
        <f t="shared" si="1"/>
        <v>1</v>
      </c>
      <c r="G18" s="4" t="str">
        <f t="shared" si="2"/>
        <v>Correct</v>
      </c>
      <c r="H18" s="4" t="str">
        <f t="shared" si="3"/>
        <v>Incorrect</v>
      </c>
    </row>
    <row r="19" spans="1:8">
      <c r="A19" s="6">
        <f t="shared" si="4"/>
        <v>9</v>
      </c>
      <c r="B19" s="6" t="str">
        <f t="shared" si="0"/>
        <v>CELL</v>
      </c>
      <c r="C19" s="9" t="str" cm="1">
        <f t="array" ref="C19">IF(ISNUMBER(A19),INDEX(BackgroundCalcs!$AV$2:$AV$500,'Grading Formulas'!$A19),"")</f>
        <v>Monthly Spending</v>
      </c>
      <c r="D19" s="9" t="str" cm="1">
        <f t="array" ref="D19">IF(ISNUMBER($A19),INDEX(BackgroundCalcs!$AW$2:$AW$500,'Grading Formulas'!$A19),"")</f>
        <v>E13</v>
      </c>
      <c r="E19" s="4" t="str" cm="1">
        <f t="array" ref="E19">IF(ISNUMBER($A19),IF(A19=A18,"Reference2(False,True,"&amp;INDEX(BackgroundCalcs!$AX$2:$AX$500,'Grading Formulas'!$A19)&amp;")","Reference() AND MOEValue(.0001)"),"")</f>
        <v>Reference2(False,True,F13)</v>
      </c>
      <c r="F19" s="4">
        <f t="shared" si="1"/>
        <v>-1000</v>
      </c>
      <c r="G19" s="4" t="str">
        <f t="shared" si="2"/>
        <v>You should not be referencing the answer cell</v>
      </c>
      <c r="H19" s="4" t="str">
        <f t="shared" si="3"/>
        <v>N/A</v>
      </c>
    </row>
    <row r="20" spans="1:8">
      <c r="A20" s="6">
        <f t="shared" si="4"/>
        <v>10</v>
      </c>
      <c r="B20" s="6" t="str">
        <f t="shared" si="0"/>
        <v>CELL</v>
      </c>
      <c r="C20" s="9" t="str" cm="1">
        <f t="array" ref="C20">IF(ISNUMBER(A20),INDEX(BackgroundCalcs!$AV$2:$AV$500,'Grading Formulas'!$A20),"")</f>
        <v>Monthly Spending</v>
      </c>
      <c r="D20" s="9" t="str" cm="1">
        <f t="array" ref="D20">IF(ISNUMBER($A20),INDEX(BackgroundCalcs!$AW$2:$AW$500,'Grading Formulas'!$A20),"")</f>
        <v>E14</v>
      </c>
      <c r="E20" s="4" t="str" cm="1">
        <f t="array" ref="E20">IF(ISNUMBER($A20),IF(A20=A19,"Reference2(False,True,"&amp;INDEX(BackgroundCalcs!$AX$2:$AX$500,'Grading Formulas'!$A20)&amp;")","Reference() AND MOEValue(.0001)"),"")</f>
        <v>Reference() AND MOEValue(.0001)</v>
      </c>
      <c r="F20" s="4">
        <f t="shared" si="1"/>
        <v>1</v>
      </c>
      <c r="G20" s="4" t="str">
        <f t="shared" si="2"/>
        <v>Correct</v>
      </c>
      <c r="H20" s="4" t="str">
        <f t="shared" si="3"/>
        <v>Incorrect</v>
      </c>
    </row>
    <row r="21" spans="1:8">
      <c r="A21" s="6">
        <f t="shared" si="4"/>
        <v>10</v>
      </c>
      <c r="B21" s="6" t="str">
        <f t="shared" si="0"/>
        <v>CELL</v>
      </c>
      <c r="C21" s="9" t="str" cm="1">
        <f t="array" ref="C21">IF(ISNUMBER(A21),INDEX(BackgroundCalcs!$AV$2:$AV$500,'Grading Formulas'!$A21),"")</f>
        <v>Monthly Spending</v>
      </c>
      <c r="D21" s="9" t="str" cm="1">
        <f t="array" ref="D21">IF(ISNUMBER($A21),INDEX(BackgroundCalcs!$AW$2:$AW$500,'Grading Formulas'!$A21),"")</f>
        <v>E14</v>
      </c>
      <c r="E21" s="4" t="str" cm="1">
        <f t="array" ref="E21">IF(ISNUMBER($A21),IF(A21=A20,"Reference2(False,True,"&amp;INDEX(BackgroundCalcs!$AX$2:$AX$500,'Grading Formulas'!$A21)&amp;")","Reference() AND MOEValue(.0001)"),"")</f>
        <v>Reference2(False,True,F14)</v>
      </c>
      <c r="F21" s="4">
        <f t="shared" si="1"/>
        <v>-1000</v>
      </c>
      <c r="G21" s="4" t="str">
        <f t="shared" si="2"/>
        <v>You should not be referencing the answer cell</v>
      </c>
      <c r="H21" s="4" t="str">
        <f t="shared" si="3"/>
        <v>N/A</v>
      </c>
    </row>
    <row r="22" spans="1:8">
      <c r="A22" s="6">
        <f t="shared" si="4"/>
        <v>11</v>
      </c>
      <c r="B22" s="6" t="str">
        <f t="shared" si="0"/>
        <v>CELL</v>
      </c>
      <c r="C22" s="9" t="str" cm="1">
        <f t="array" ref="C22">IF(ISNUMBER(A22),INDEX(BackgroundCalcs!$AV$2:$AV$500,'Grading Formulas'!$A22),"")</f>
        <v>Monthly Spending</v>
      </c>
      <c r="D22" s="9" t="str" cm="1">
        <f t="array" ref="D22">IF(ISNUMBER($A22),INDEX(BackgroundCalcs!$AW$2:$AW$500,'Grading Formulas'!$A22),"")</f>
        <v>E15</v>
      </c>
      <c r="E22" s="4" t="str" cm="1">
        <f t="array" ref="E22">IF(ISNUMBER($A22),IF(A22=A21,"Reference2(False,True,"&amp;INDEX(BackgroundCalcs!$AX$2:$AX$500,'Grading Formulas'!$A22)&amp;")","Reference() AND MOEValue(.0001)"),"")</f>
        <v>Reference() AND MOEValue(.0001)</v>
      </c>
      <c r="F22" s="4">
        <f t="shared" si="1"/>
        <v>1</v>
      </c>
      <c r="G22" s="4" t="str">
        <f t="shared" si="2"/>
        <v>Correct</v>
      </c>
      <c r="H22" s="4" t="str">
        <f t="shared" si="3"/>
        <v>Incorrect</v>
      </c>
    </row>
    <row r="23" spans="1:8">
      <c r="A23" s="6">
        <f t="shared" si="4"/>
        <v>11</v>
      </c>
      <c r="B23" s="6" t="str">
        <f t="shared" si="0"/>
        <v>CELL</v>
      </c>
      <c r="C23" s="9" t="str" cm="1">
        <f t="array" ref="C23">IF(ISNUMBER(A23),INDEX(BackgroundCalcs!$AV$2:$AV$500,'Grading Formulas'!$A23),"")</f>
        <v>Monthly Spending</v>
      </c>
      <c r="D23" s="9" t="str" cm="1">
        <f t="array" ref="D23">IF(ISNUMBER($A23),INDEX(BackgroundCalcs!$AW$2:$AW$500,'Grading Formulas'!$A23),"")</f>
        <v>E15</v>
      </c>
      <c r="E23" s="4" t="str" cm="1">
        <f t="array" ref="E23">IF(ISNUMBER($A23),IF(A23=A22,"Reference2(False,True,"&amp;INDEX(BackgroundCalcs!$AX$2:$AX$500,'Grading Formulas'!$A23)&amp;")","Reference() AND MOEValue(.0001)"),"")</f>
        <v>Reference2(False,True,F15)</v>
      </c>
      <c r="F23" s="4">
        <f t="shared" si="1"/>
        <v>-1000</v>
      </c>
      <c r="G23" s="4" t="str">
        <f t="shared" si="2"/>
        <v>You should not be referencing the answer cell</v>
      </c>
      <c r="H23" s="4" t="str">
        <f t="shared" si="3"/>
        <v>N/A</v>
      </c>
    </row>
    <row r="24" spans="1:8">
      <c r="A24" s="6">
        <f t="shared" si="4"/>
        <v>12</v>
      </c>
      <c r="B24" s="6" t="str">
        <f t="shared" si="0"/>
        <v>CELL</v>
      </c>
      <c r="C24" s="9" t="str" cm="1">
        <f t="array" ref="C24">IF(ISNUMBER(A24),INDEX(BackgroundCalcs!$AV$2:$AV$500,'Grading Formulas'!$A24),"")</f>
        <v>Monthly Spending</v>
      </c>
      <c r="D24" s="9" t="str" cm="1">
        <f t="array" ref="D24">IF(ISNUMBER($A24),INDEX(BackgroundCalcs!$AW$2:$AW$500,'Grading Formulas'!$A24),"")</f>
        <v>E16</v>
      </c>
      <c r="E24" s="4" t="str" cm="1">
        <f t="array" ref="E24">IF(ISNUMBER($A24),IF(A24=A23,"Reference2(False,True,"&amp;INDEX(BackgroundCalcs!$AX$2:$AX$500,'Grading Formulas'!$A24)&amp;")","Reference() AND MOEValue(.0001)"),"")</f>
        <v>Reference() AND MOEValue(.0001)</v>
      </c>
      <c r="F24" s="4">
        <f t="shared" si="1"/>
        <v>1</v>
      </c>
      <c r="G24" s="4" t="str">
        <f t="shared" si="2"/>
        <v>Correct</v>
      </c>
      <c r="H24" s="4" t="str">
        <f t="shared" si="3"/>
        <v>Incorrect</v>
      </c>
    </row>
    <row r="25" spans="1:8">
      <c r="A25" s="6">
        <f t="shared" si="4"/>
        <v>12</v>
      </c>
      <c r="B25" s="6" t="str">
        <f t="shared" si="0"/>
        <v>CELL</v>
      </c>
      <c r="C25" s="9" t="str" cm="1">
        <f t="array" ref="C25">IF(ISNUMBER(A25),INDEX(BackgroundCalcs!$AV$2:$AV$500,'Grading Formulas'!$A25),"")</f>
        <v>Monthly Spending</v>
      </c>
      <c r="D25" s="9" t="str" cm="1">
        <f t="array" ref="D25">IF(ISNUMBER($A25),INDEX(BackgroundCalcs!$AW$2:$AW$500,'Grading Formulas'!$A25),"")</f>
        <v>E16</v>
      </c>
      <c r="E25" s="4" t="str" cm="1">
        <f t="array" ref="E25">IF(ISNUMBER($A25),IF(A25=A24,"Reference2(False,True,"&amp;INDEX(BackgroundCalcs!$AX$2:$AX$500,'Grading Formulas'!$A25)&amp;")","Reference() AND MOEValue(.0001)"),"")</f>
        <v>Reference2(False,True,F16)</v>
      </c>
      <c r="F25" s="4">
        <f t="shared" si="1"/>
        <v>-1000</v>
      </c>
      <c r="G25" s="4" t="str">
        <f t="shared" si="2"/>
        <v>You should not be referencing the answer cell</v>
      </c>
      <c r="H25" s="4" t="str">
        <f t="shared" si="3"/>
        <v>N/A</v>
      </c>
    </row>
    <row r="26" spans="1:8">
      <c r="A26" s="6">
        <f t="shared" si="4"/>
        <v>13</v>
      </c>
      <c r="B26" s="6" t="str">
        <f t="shared" si="0"/>
        <v>CELL</v>
      </c>
      <c r="C26" s="9" t="str" cm="1">
        <f t="array" ref="C26">IF(ISNUMBER(A26),INDEX(BackgroundCalcs!$AV$2:$AV$500,'Grading Formulas'!$A26),"")</f>
        <v>Monthly Spending</v>
      </c>
      <c r="D26" s="9" t="str" cm="1">
        <f t="array" ref="D26">IF(ISNUMBER($A26),INDEX(BackgroundCalcs!$AW$2:$AW$500,'Grading Formulas'!$A26),"")</f>
        <v>E17</v>
      </c>
      <c r="E26" s="4" t="str" cm="1">
        <f t="array" ref="E26">IF(ISNUMBER($A26),IF(A26=A25,"Reference2(False,True,"&amp;INDEX(BackgroundCalcs!$AX$2:$AX$500,'Grading Formulas'!$A26)&amp;")","Reference() AND MOEValue(.0001)"),"")</f>
        <v>Reference() AND MOEValue(.0001)</v>
      </c>
      <c r="F26" s="4">
        <f t="shared" si="1"/>
        <v>1</v>
      </c>
      <c r="G26" s="4" t="str">
        <f t="shared" si="2"/>
        <v>Correct</v>
      </c>
      <c r="H26" s="4" t="str">
        <f t="shared" si="3"/>
        <v>Incorrect</v>
      </c>
    </row>
    <row r="27" spans="1:8">
      <c r="A27" s="6">
        <f t="shared" si="4"/>
        <v>13</v>
      </c>
      <c r="B27" s="6" t="str">
        <f t="shared" si="0"/>
        <v>CELL</v>
      </c>
      <c r="C27" s="9" t="str" cm="1">
        <f t="array" ref="C27">IF(ISNUMBER(A27),INDEX(BackgroundCalcs!$AV$2:$AV$500,'Grading Formulas'!$A27),"")</f>
        <v>Monthly Spending</v>
      </c>
      <c r="D27" s="9" t="str" cm="1">
        <f t="array" ref="D27">IF(ISNUMBER($A27),INDEX(BackgroundCalcs!$AW$2:$AW$500,'Grading Formulas'!$A27),"")</f>
        <v>E17</v>
      </c>
      <c r="E27" s="4" t="str" cm="1">
        <f t="array" ref="E27">IF(ISNUMBER($A27),IF(A27=A26,"Reference2(False,True,"&amp;INDEX(BackgroundCalcs!$AX$2:$AX$500,'Grading Formulas'!$A27)&amp;")","Reference() AND MOEValue(.0001)"),"")</f>
        <v>Reference2(False,True,F17)</v>
      </c>
      <c r="F27" s="4">
        <f t="shared" si="1"/>
        <v>-1000</v>
      </c>
      <c r="G27" s="4" t="str">
        <f t="shared" si="2"/>
        <v>You should not be referencing the answer cell</v>
      </c>
      <c r="H27" s="4" t="str">
        <f t="shared" si="3"/>
        <v>N/A</v>
      </c>
    </row>
    <row r="28" spans="1:8">
      <c r="A28" s="6">
        <f t="shared" si="4"/>
        <v>14</v>
      </c>
      <c r="B28" s="6" t="str">
        <f t="shared" si="0"/>
        <v>CELL</v>
      </c>
      <c r="C28" s="9" t="str" cm="1">
        <f t="array" ref="C28">IF(ISNUMBER(A28),INDEX(BackgroundCalcs!$AV$2:$AV$500,'Grading Formulas'!$A28),"")</f>
        <v>Monthly Spending</v>
      </c>
      <c r="D28" s="9" t="str" cm="1">
        <f t="array" ref="D28">IF(ISNUMBER($A28),INDEX(BackgroundCalcs!$AW$2:$AW$500,'Grading Formulas'!$A28),"")</f>
        <v>E18</v>
      </c>
      <c r="E28" s="4" t="str" cm="1">
        <f t="array" ref="E28">IF(ISNUMBER($A28),IF(A28=A27,"Reference2(False,True,"&amp;INDEX(BackgroundCalcs!$AX$2:$AX$500,'Grading Formulas'!$A28)&amp;")","Reference() AND MOEValue(.0001)"),"")</f>
        <v>Reference() AND MOEValue(.0001)</v>
      </c>
      <c r="F28" s="4">
        <f t="shared" si="1"/>
        <v>1</v>
      </c>
      <c r="G28" s="4" t="str">
        <f t="shared" si="2"/>
        <v>Correct</v>
      </c>
      <c r="H28" s="4" t="str">
        <f t="shared" si="3"/>
        <v>Incorrect</v>
      </c>
    </row>
    <row r="29" spans="1:8">
      <c r="A29" s="6">
        <f t="shared" si="4"/>
        <v>14</v>
      </c>
      <c r="B29" s="6" t="str">
        <f t="shared" si="0"/>
        <v>CELL</v>
      </c>
      <c r="C29" s="9" t="str" cm="1">
        <f t="array" ref="C29">IF(ISNUMBER(A29),INDEX(BackgroundCalcs!$AV$2:$AV$500,'Grading Formulas'!$A29),"")</f>
        <v>Monthly Spending</v>
      </c>
      <c r="D29" s="9" t="str" cm="1">
        <f t="array" ref="D29">IF(ISNUMBER($A29),INDEX(BackgroundCalcs!$AW$2:$AW$500,'Grading Formulas'!$A29),"")</f>
        <v>E18</v>
      </c>
      <c r="E29" s="4" t="str" cm="1">
        <f t="array" ref="E29">IF(ISNUMBER($A29),IF(A29=A28,"Reference2(False,True,"&amp;INDEX(BackgroundCalcs!$AX$2:$AX$500,'Grading Formulas'!$A29)&amp;")","Reference() AND MOEValue(.0001)"),"")</f>
        <v>Reference2(False,True,F18)</v>
      </c>
      <c r="F29" s="4">
        <f t="shared" si="1"/>
        <v>-1000</v>
      </c>
      <c r="G29" s="4" t="str">
        <f t="shared" si="2"/>
        <v>You should not be referencing the answer cell</v>
      </c>
      <c r="H29" s="4" t="str">
        <f t="shared" si="3"/>
        <v>N/A</v>
      </c>
    </row>
    <row r="30" spans="1:8">
      <c r="A30" s="6">
        <f t="shared" si="4"/>
        <v>15</v>
      </c>
      <c r="B30" s="6" t="str">
        <f t="shared" si="0"/>
        <v>CELL</v>
      </c>
      <c r="C30" s="9" t="str" cm="1">
        <f t="array" ref="C30">IF(ISNUMBER(A30),INDEX(BackgroundCalcs!$AV$2:$AV$500,'Grading Formulas'!$A30),"")</f>
        <v>Budget</v>
      </c>
      <c r="D30" s="9" t="str" cm="1">
        <f t="array" ref="D30">IF(ISNUMBER($A30),INDEX(BackgroundCalcs!$AW$2:$AW$500,'Grading Formulas'!$A30),"")</f>
        <v>G15</v>
      </c>
      <c r="E30" s="4" t="str" cm="1">
        <f t="array" ref="E30">IF(ISNUMBER($A30),IF(A30=A29,"Reference2(False,True,"&amp;INDEX(BackgroundCalcs!$AX$2:$AX$500,'Grading Formulas'!$A30)&amp;")","Reference() AND MOEValue(.0001)"),"")</f>
        <v>Reference() AND MOEValue(.0001)</v>
      </c>
      <c r="F30" s="4">
        <f t="shared" si="1"/>
        <v>1</v>
      </c>
      <c r="G30" s="4" t="str">
        <f t="shared" si="2"/>
        <v>Correct</v>
      </c>
      <c r="H30" s="4" t="str">
        <f t="shared" si="3"/>
        <v>Incorrect</v>
      </c>
    </row>
    <row r="31" spans="1:8">
      <c r="A31" s="6">
        <f t="shared" si="4"/>
        <v>15</v>
      </c>
      <c r="B31" s="6" t="str">
        <f t="shared" si="0"/>
        <v>CELL</v>
      </c>
      <c r="C31" s="9" t="str" cm="1">
        <f t="array" ref="C31">IF(ISNUMBER(A31),INDEX(BackgroundCalcs!$AV$2:$AV$500,'Grading Formulas'!$A31),"")</f>
        <v>Budget</v>
      </c>
      <c r="D31" s="9" t="str" cm="1">
        <f t="array" ref="D31">IF(ISNUMBER($A31),INDEX(BackgroundCalcs!$AW$2:$AW$500,'Grading Formulas'!$A31),"")</f>
        <v>G15</v>
      </c>
      <c r="E31" s="4" t="str" cm="1">
        <f t="array" ref="E31">IF(ISNUMBER($A31),IF(A31=A30,"Reference2(False,True,"&amp;INDEX(BackgroundCalcs!$AX$2:$AX$500,'Grading Formulas'!$A31)&amp;")","Reference() AND MOEValue(.0001)"),"")</f>
        <v>Reference2(False,True,H15)</v>
      </c>
      <c r="F31" s="4">
        <f t="shared" si="1"/>
        <v>-1000</v>
      </c>
      <c r="G31" s="4" t="str">
        <f t="shared" si="2"/>
        <v>You should not be referencing the answer cell</v>
      </c>
      <c r="H31" s="4" t="str">
        <f t="shared" si="3"/>
        <v>N/A</v>
      </c>
    </row>
    <row r="32" spans="1:8">
      <c r="A32" s="6">
        <f t="shared" si="4"/>
        <v>16</v>
      </c>
      <c r="B32" s="6" t="str">
        <f t="shared" si="0"/>
        <v>CELL</v>
      </c>
      <c r="C32" s="9" t="str" cm="1">
        <f t="array" ref="C32">IF(ISNUMBER(A32),INDEX(BackgroundCalcs!$AV$2:$AV$500,'Grading Formulas'!$A32),"")</f>
        <v>Budget</v>
      </c>
      <c r="D32" s="9" t="str" cm="1">
        <f t="array" ref="D32">IF(ISNUMBER($A32),INDEX(BackgroundCalcs!$AW$2:$AW$500,'Grading Formulas'!$A32),"")</f>
        <v>G16</v>
      </c>
      <c r="E32" s="4" t="str" cm="1">
        <f t="array" ref="E32">IF(ISNUMBER($A32),IF(A32=A31,"Reference2(False,True,"&amp;INDEX(BackgroundCalcs!$AX$2:$AX$500,'Grading Formulas'!$A32)&amp;")","Reference() AND MOEValue(.0001)"),"")</f>
        <v>Reference() AND MOEValue(.0001)</v>
      </c>
      <c r="F32" s="4">
        <f t="shared" si="1"/>
        <v>1</v>
      </c>
      <c r="G32" s="4" t="str">
        <f t="shared" si="2"/>
        <v>Correct</v>
      </c>
      <c r="H32" s="4" t="str">
        <f t="shared" si="3"/>
        <v>Incorrect</v>
      </c>
    </row>
    <row r="33" spans="1:8">
      <c r="A33" s="6">
        <f t="shared" si="4"/>
        <v>16</v>
      </c>
      <c r="B33" s="6" t="str">
        <f t="shared" si="0"/>
        <v>CELL</v>
      </c>
      <c r="C33" s="9" t="str" cm="1">
        <f t="array" ref="C33">IF(ISNUMBER(A33),INDEX(BackgroundCalcs!$AV$2:$AV$500,'Grading Formulas'!$A33),"")</f>
        <v>Budget</v>
      </c>
      <c r="D33" s="9" t="str" cm="1">
        <f t="array" ref="D33">IF(ISNUMBER($A33),INDEX(BackgroundCalcs!$AW$2:$AW$500,'Grading Formulas'!$A33),"")</f>
        <v>G16</v>
      </c>
      <c r="E33" s="4" t="str" cm="1">
        <f t="array" ref="E33">IF(ISNUMBER($A33),IF(A33=A32,"Reference2(False,True,"&amp;INDEX(BackgroundCalcs!$AX$2:$AX$500,'Grading Formulas'!$A33)&amp;")","Reference() AND MOEValue(.0001)"),"")</f>
        <v>Reference2(False,True,H16)</v>
      </c>
      <c r="F33" s="4">
        <f t="shared" si="1"/>
        <v>-1000</v>
      </c>
      <c r="G33" s="4" t="str">
        <f t="shared" si="2"/>
        <v>You should not be referencing the answer cell</v>
      </c>
      <c r="H33" s="4" t="str">
        <f t="shared" si="3"/>
        <v>N/A</v>
      </c>
    </row>
    <row r="34" spans="1:8">
      <c r="A34" s="6">
        <f t="shared" si="4"/>
        <v>17</v>
      </c>
      <c r="B34" s="6" t="str">
        <f t="shared" si="0"/>
        <v>CELL</v>
      </c>
      <c r="C34" s="9" t="str" cm="1">
        <f t="array" ref="C34">IF(ISNUMBER(A34),INDEX(BackgroundCalcs!$AV$2:$AV$500,'Grading Formulas'!$A34),"")</f>
        <v>Budget</v>
      </c>
      <c r="D34" s="9" t="str" cm="1">
        <f t="array" ref="D34">IF(ISNUMBER($A34),INDEX(BackgroundCalcs!$AW$2:$AW$500,'Grading Formulas'!$A34),"")</f>
        <v>G17</v>
      </c>
      <c r="E34" s="4" t="str" cm="1">
        <f t="array" ref="E34">IF(ISNUMBER($A34),IF(A34=A33,"Reference2(False,True,"&amp;INDEX(BackgroundCalcs!$AX$2:$AX$500,'Grading Formulas'!$A34)&amp;")","Reference() AND MOEValue(.0001)"),"")</f>
        <v>Reference() AND MOEValue(.0001)</v>
      </c>
      <c r="F34" s="4">
        <f t="shared" si="1"/>
        <v>1</v>
      </c>
      <c r="G34" s="4" t="str">
        <f t="shared" si="2"/>
        <v>Correct</v>
      </c>
      <c r="H34" s="4" t="str">
        <f t="shared" si="3"/>
        <v>Incorrect</v>
      </c>
    </row>
    <row r="35" spans="1:8">
      <c r="A35" s="6">
        <f t="shared" si="4"/>
        <v>17</v>
      </c>
      <c r="B35" s="6" t="str">
        <f t="shared" si="0"/>
        <v>CELL</v>
      </c>
      <c r="C35" s="9" t="str" cm="1">
        <f t="array" ref="C35">IF(ISNUMBER(A35),INDEX(BackgroundCalcs!$AV$2:$AV$500,'Grading Formulas'!$A35),"")</f>
        <v>Budget</v>
      </c>
      <c r="D35" s="9" t="str" cm="1">
        <f t="array" ref="D35">IF(ISNUMBER($A35),INDEX(BackgroundCalcs!$AW$2:$AW$500,'Grading Formulas'!$A35),"")</f>
        <v>G17</v>
      </c>
      <c r="E35" s="4" t="str" cm="1">
        <f t="array" ref="E35">IF(ISNUMBER($A35),IF(A35=A34,"Reference2(False,True,"&amp;INDEX(BackgroundCalcs!$AX$2:$AX$500,'Grading Formulas'!$A35)&amp;")","Reference() AND MOEValue(.0001)"),"")</f>
        <v>Reference2(False,True,H17)</v>
      </c>
      <c r="F35" s="4">
        <f t="shared" si="1"/>
        <v>-1000</v>
      </c>
      <c r="G35" s="4" t="str">
        <f t="shared" si="2"/>
        <v>You should not be referencing the answer cell</v>
      </c>
      <c r="H35" s="4" t="str">
        <f t="shared" si="3"/>
        <v>N/A</v>
      </c>
    </row>
    <row r="36" spans="1:8">
      <c r="A36" s="6">
        <f t="shared" si="4"/>
        <v>18</v>
      </c>
      <c r="B36" s="6" t="str">
        <f t="shared" si="0"/>
        <v>CELL</v>
      </c>
      <c r="C36" s="9" t="str" cm="1">
        <f t="array" ref="C36">IF(ISNUMBER(A36),INDEX(BackgroundCalcs!$AV$2:$AV$500,'Grading Formulas'!$A36),"")</f>
        <v>Budget</v>
      </c>
      <c r="D36" s="9" t="str" cm="1">
        <f t="array" ref="D36">IF(ISNUMBER($A36),INDEX(BackgroundCalcs!$AW$2:$AW$500,'Grading Formulas'!$A36),"")</f>
        <v>G18</v>
      </c>
      <c r="E36" s="4" t="str" cm="1">
        <f t="array" ref="E36">IF(ISNUMBER($A36),IF(A36=A35,"Reference2(False,True,"&amp;INDEX(BackgroundCalcs!$AX$2:$AX$500,'Grading Formulas'!$A36)&amp;")","Reference() AND MOEValue(.0001)"),"")</f>
        <v>Reference() AND MOEValue(.0001)</v>
      </c>
      <c r="F36" s="4">
        <f t="shared" si="1"/>
        <v>1</v>
      </c>
      <c r="G36" s="4" t="str">
        <f t="shared" si="2"/>
        <v>Correct</v>
      </c>
      <c r="H36" s="4" t="str">
        <f t="shared" si="3"/>
        <v>Incorrect</v>
      </c>
    </row>
    <row r="37" spans="1:8">
      <c r="A37" s="6">
        <f t="shared" si="4"/>
        <v>18</v>
      </c>
      <c r="B37" s="6" t="str">
        <f t="shared" si="0"/>
        <v>CELL</v>
      </c>
      <c r="C37" s="9" t="str" cm="1">
        <f t="array" ref="C37">IF(ISNUMBER(A37),INDEX(BackgroundCalcs!$AV$2:$AV$500,'Grading Formulas'!$A37),"")</f>
        <v>Budget</v>
      </c>
      <c r="D37" s="9" t="str" cm="1">
        <f t="array" ref="D37">IF(ISNUMBER($A37),INDEX(BackgroundCalcs!$AW$2:$AW$500,'Grading Formulas'!$A37),"")</f>
        <v>G18</v>
      </c>
      <c r="E37" s="4" t="str" cm="1">
        <f t="array" ref="E37">IF(ISNUMBER($A37),IF(A37=A36,"Reference2(False,True,"&amp;INDEX(BackgroundCalcs!$AX$2:$AX$500,'Grading Formulas'!$A37)&amp;")","Reference() AND MOEValue(.0001)"),"")</f>
        <v>Reference2(False,True,H18)</v>
      </c>
      <c r="F37" s="4">
        <f t="shared" si="1"/>
        <v>-1000</v>
      </c>
      <c r="G37" s="4" t="str">
        <f t="shared" si="2"/>
        <v>You should not be referencing the answer cell</v>
      </c>
      <c r="H37" s="4" t="str">
        <f t="shared" si="3"/>
        <v>N/A</v>
      </c>
    </row>
    <row r="38" spans="1:8">
      <c r="A38" s="6">
        <f t="shared" si="4"/>
        <v>19</v>
      </c>
      <c r="B38" s="6" t="str">
        <f t="shared" si="0"/>
        <v>CELL</v>
      </c>
      <c r="C38" s="9" t="str" cm="1">
        <f t="array" ref="C38">IF(ISNUMBER(A38),INDEX(BackgroundCalcs!$AV$2:$AV$500,'Grading Formulas'!$A38),"")</f>
        <v>Budget</v>
      </c>
      <c r="D38" s="9" t="str" cm="1">
        <f t="array" ref="D38">IF(ISNUMBER($A38),INDEX(BackgroundCalcs!$AW$2:$AW$500,'Grading Formulas'!$A38),"")</f>
        <v>G19</v>
      </c>
      <c r="E38" s="4" t="str" cm="1">
        <f t="array" ref="E38">IF(ISNUMBER($A38),IF(A38=A37,"Reference2(False,True,"&amp;INDEX(BackgroundCalcs!$AX$2:$AX$500,'Grading Formulas'!$A38)&amp;")","Reference() AND MOEValue(.0001)"),"")</f>
        <v>Reference() AND MOEValue(.0001)</v>
      </c>
      <c r="F38" s="4">
        <f t="shared" si="1"/>
        <v>1</v>
      </c>
      <c r="G38" s="4" t="str">
        <f t="shared" si="2"/>
        <v>Correct</v>
      </c>
      <c r="H38" s="4" t="str">
        <f t="shared" si="3"/>
        <v>Incorrect</v>
      </c>
    </row>
    <row r="39" spans="1:8">
      <c r="A39" s="6">
        <f t="shared" si="4"/>
        <v>19</v>
      </c>
      <c r="B39" s="6" t="str">
        <f t="shared" si="0"/>
        <v>CELL</v>
      </c>
      <c r="C39" s="9" t="str" cm="1">
        <f t="array" ref="C39">IF(ISNUMBER(A39),INDEX(BackgroundCalcs!$AV$2:$AV$500,'Grading Formulas'!$A39),"")</f>
        <v>Budget</v>
      </c>
      <c r="D39" s="9" t="str" cm="1">
        <f t="array" ref="D39">IF(ISNUMBER($A39),INDEX(BackgroundCalcs!$AW$2:$AW$500,'Grading Formulas'!$A39),"")</f>
        <v>G19</v>
      </c>
      <c r="E39" s="4" t="str" cm="1">
        <f t="array" ref="E39">IF(ISNUMBER($A39),IF(A39=A38,"Reference2(False,True,"&amp;INDEX(BackgroundCalcs!$AX$2:$AX$500,'Grading Formulas'!$A39)&amp;")","Reference() AND MOEValue(.0001)"),"")</f>
        <v>Reference2(False,True,H19)</v>
      </c>
      <c r="F39" s="4">
        <f t="shared" si="1"/>
        <v>-1000</v>
      </c>
      <c r="G39" s="4" t="str">
        <f t="shared" si="2"/>
        <v>You should not be referencing the answer cell</v>
      </c>
      <c r="H39" s="4" t="str">
        <f t="shared" si="3"/>
        <v>N/A</v>
      </c>
    </row>
    <row r="40" spans="1:8">
      <c r="A40" s="6">
        <f t="shared" si="4"/>
        <v>20</v>
      </c>
      <c r="B40" s="6" t="str">
        <f t="shared" si="0"/>
        <v>CELL</v>
      </c>
      <c r="C40" s="9" t="str" cm="1">
        <f t="array" ref="C40">IF(ISNUMBER(A40),INDEX(BackgroundCalcs!$AV$2:$AV$500,'Grading Formulas'!$A40),"")</f>
        <v>Budget</v>
      </c>
      <c r="D40" s="9" t="str" cm="1">
        <f t="array" ref="D40">IF(ISNUMBER($A40),INDEX(BackgroundCalcs!$AW$2:$AW$500,'Grading Formulas'!$A40),"")</f>
        <v>G20</v>
      </c>
      <c r="E40" s="4" t="str" cm="1">
        <f t="array" ref="E40">IF(ISNUMBER($A40),IF(A40=A39,"Reference2(False,True,"&amp;INDEX(BackgroundCalcs!$AX$2:$AX$500,'Grading Formulas'!$A40)&amp;")","Reference() AND MOEValue(.0001)"),"")</f>
        <v>Reference() AND MOEValue(.0001)</v>
      </c>
      <c r="F40" s="4">
        <f t="shared" si="1"/>
        <v>1</v>
      </c>
      <c r="G40" s="4" t="str">
        <f t="shared" si="2"/>
        <v>Correct</v>
      </c>
      <c r="H40" s="4" t="str">
        <f t="shared" si="3"/>
        <v>Incorrect</v>
      </c>
    </row>
    <row r="41" spans="1:8">
      <c r="A41" s="6">
        <f t="shared" si="4"/>
        <v>20</v>
      </c>
      <c r="B41" s="6" t="str">
        <f t="shared" si="0"/>
        <v>CELL</v>
      </c>
      <c r="C41" s="9" t="str" cm="1">
        <f t="array" ref="C41">IF(ISNUMBER(A41),INDEX(BackgroundCalcs!$AV$2:$AV$500,'Grading Formulas'!$A41),"")</f>
        <v>Budget</v>
      </c>
      <c r="D41" s="9" t="str" cm="1">
        <f t="array" ref="D41">IF(ISNUMBER($A41),INDEX(BackgroundCalcs!$AW$2:$AW$500,'Grading Formulas'!$A41),"")</f>
        <v>G20</v>
      </c>
      <c r="E41" s="4" t="str" cm="1">
        <f t="array" ref="E41">IF(ISNUMBER($A41),IF(A41=A40,"Reference2(False,True,"&amp;INDEX(BackgroundCalcs!$AX$2:$AX$500,'Grading Formulas'!$A41)&amp;")","Reference() AND MOEValue(.0001)"),"")</f>
        <v>Reference2(False,True,H20)</v>
      </c>
      <c r="F41" s="4">
        <f t="shared" si="1"/>
        <v>-1000</v>
      </c>
      <c r="G41" s="4" t="str">
        <f t="shared" si="2"/>
        <v>You should not be referencing the answer cell</v>
      </c>
      <c r="H41" s="4" t="str">
        <f t="shared" si="3"/>
        <v>N/A</v>
      </c>
    </row>
    <row r="42" spans="1:8">
      <c r="A42" s="6">
        <f t="shared" si="4"/>
        <v>21</v>
      </c>
      <c r="B42" s="6" t="str">
        <f t="shared" si="0"/>
        <v>CELL</v>
      </c>
      <c r="C42" s="9" t="str" cm="1">
        <f t="array" ref="C42">IF(ISNUMBER(A42),INDEX(BackgroundCalcs!$AV$2:$AV$500,'Grading Formulas'!$A42),"")</f>
        <v>Budget</v>
      </c>
      <c r="D42" s="9" t="str" cm="1">
        <f t="array" ref="D42">IF(ISNUMBER($A42),INDEX(BackgroundCalcs!$AW$2:$AW$500,'Grading Formulas'!$A42),"")</f>
        <v>G21</v>
      </c>
      <c r="E42" s="4" t="str" cm="1">
        <f t="array" ref="E42">IF(ISNUMBER($A42),IF(A42=A41,"Reference2(False,True,"&amp;INDEX(BackgroundCalcs!$AX$2:$AX$500,'Grading Formulas'!$A42)&amp;")","Reference() AND MOEValue(.0001)"),"")</f>
        <v>Reference() AND MOEValue(.0001)</v>
      </c>
      <c r="F42" s="4">
        <f t="shared" si="1"/>
        <v>1</v>
      </c>
      <c r="G42" s="4" t="str">
        <f t="shared" si="2"/>
        <v>Correct</v>
      </c>
      <c r="H42" s="4" t="str">
        <f t="shared" si="3"/>
        <v>Incorrect</v>
      </c>
    </row>
    <row r="43" spans="1:8">
      <c r="A43" s="6">
        <f t="shared" si="4"/>
        <v>21</v>
      </c>
      <c r="B43" s="6" t="str">
        <f t="shared" si="0"/>
        <v>CELL</v>
      </c>
      <c r="C43" s="9" t="str" cm="1">
        <f t="array" ref="C43">IF(ISNUMBER(A43),INDEX(BackgroundCalcs!$AV$2:$AV$500,'Grading Formulas'!$A43),"")</f>
        <v>Budget</v>
      </c>
      <c r="D43" s="9" t="str" cm="1">
        <f t="array" ref="D43">IF(ISNUMBER($A43),INDEX(BackgroundCalcs!$AW$2:$AW$500,'Grading Formulas'!$A43),"")</f>
        <v>G21</v>
      </c>
      <c r="E43" s="4" t="str" cm="1">
        <f t="array" ref="E43">IF(ISNUMBER($A43),IF(A43=A42,"Reference2(False,True,"&amp;INDEX(BackgroundCalcs!$AX$2:$AX$500,'Grading Formulas'!$A43)&amp;")","Reference() AND MOEValue(.0001)"),"")</f>
        <v>Reference2(False,True,H21)</v>
      </c>
      <c r="F43" s="4">
        <f t="shared" si="1"/>
        <v>-1000</v>
      </c>
      <c r="G43" s="4" t="str">
        <f t="shared" si="2"/>
        <v>You should not be referencing the answer cell</v>
      </c>
      <c r="H43" s="4" t="str">
        <f t="shared" si="3"/>
        <v>N/A</v>
      </c>
    </row>
    <row r="44" spans="1:8">
      <c r="A44" s="6">
        <f t="shared" si="4"/>
        <v>22</v>
      </c>
      <c r="B44" s="6" t="str">
        <f t="shared" si="0"/>
        <v>CELL</v>
      </c>
      <c r="C44" s="9" t="str" cm="1">
        <f t="array" ref="C44">IF(ISNUMBER(A44),INDEX(BackgroundCalcs!$AV$2:$AV$500,'Grading Formulas'!$A44),"")</f>
        <v>Budget</v>
      </c>
      <c r="D44" s="9" t="str" cm="1">
        <f t="array" ref="D44">IF(ISNUMBER($A44),INDEX(BackgroundCalcs!$AW$2:$AW$500,'Grading Formulas'!$A44),"")</f>
        <v>G22</v>
      </c>
      <c r="E44" s="4" t="str" cm="1">
        <f t="array" ref="E44">IF(ISNUMBER($A44),IF(A44=A43,"Reference2(False,True,"&amp;INDEX(BackgroundCalcs!$AX$2:$AX$500,'Grading Formulas'!$A44)&amp;")","Reference() AND MOEValue(.0001)"),"")</f>
        <v>Reference() AND MOEValue(.0001)</v>
      </c>
      <c r="F44" s="4">
        <f t="shared" si="1"/>
        <v>1</v>
      </c>
      <c r="G44" s="4" t="str">
        <f t="shared" si="2"/>
        <v>Correct</v>
      </c>
      <c r="H44" s="4" t="str">
        <f t="shared" si="3"/>
        <v>Incorrect</v>
      </c>
    </row>
    <row r="45" spans="1:8">
      <c r="A45" s="6">
        <f t="shared" si="4"/>
        <v>22</v>
      </c>
      <c r="B45" s="6" t="str">
        <f t="shared" si="0"/>
        <v>CELL</v>
      </c>
      <c r="C45" s="9" t="str" cm="1">
        <f t="array" ref="C45">IF(ISNUMBER(A45),INDEX(BackgroundCalcs!$AV$2:$AV$500,'Grading Formulas'!$A45),"")</f>
        <v>Budget</v>
      </c>
      <c r="D45" s="9" t="str" cm="1">
        <f t="array" ref="D45">IF(ISNUMBER($A45),INDEX(BackgroundCalcs!$AW$2:$AW$500,'Grading Formulas'!$A45),"")</f>
        <v>G22</v>
      </c>
      <c r="E45" s="4" t="str" cm="1">
        <f t="array" ref="E45">IF(ISNUMBER($A45),IF(A45=A44,"Reference2(False,True,"&amp;INDEX(BackgroundCalcs!$AX$2:$AX$500,'Grading Formulas'!$A45)&amp;")","Reference() AND MOEValue(.0001)"),"")</f>
        <v>Reference2(False,True,H22)</v>
      </c>
      <c r="F45" s="4">
        <f t="shared" si="1"/>
        <v>-1000</v>
      </c>
      <c r="G45" s="4" t="str">
        <f t="shared" si="2"/>
        <v>You should not be referencing the answer cell</v>
      </c>
      <c r="H45" s="4" t="str">
        <f t="shared" si="3"/>
        <v>N/A</v>
      </c>
    </row>
    <row r="46" spans="1:8">
      <c r="A46" s="6">
        <f t="shared" si="4"/>
        <v>23</v>
      </c>
      <c r="B46" s="6" t="str">
        <f t="shared" si="0"/>
        <v>CELL</v>
      </c>
      <c r="C46" s="9" t="str" cm="1">
        <f t="array" ref="C46">IF(ISNUMBER(A46),INDEX(BackgroundCalcs!$AV$2:$AV$500,'Grading Formulas'!$A46),"")</f>
        <v>Budget</v>
      </c>
      <c r="D46" s="9" t="str" cm="1">
        <f t="array" ref="D46">IF(ISNUMBER($A46),INDEX(BackgroundCalcs!$AW$2:$AW$500,'Grading Formulas'!$A46),"")</f>
        <v>G23</v>
      </c>
      <c r="E46" s="4" t="str" cm="1">
        <f t="array" ref="E46">IF(ISNUMBER($A46),IF(A46=A45,"Reference2(False,True,"&amp;INDEX(BackgroundCalcs!$AX$2:$AX$500,'Grading Formulas'!$A46)&amp;")","Reference() AND MOEValue(.0001)"),"")</f>
        <v>Reference() AND MOEValue(.0001)</v>
      </c>
      <c r="F46" s="4">
        <f t="shared" si="1"/>
        <v>1</v>
      </c>
      <c r="G46" s="4" t="str">
        <f t="shared" si="2"/>
        <v>Correct</v>
      </c>
      <c r="H46" s="4" t="str">
        <f t="shared" si="3"/>
        <v>Incorrect</v>
      </c>
    </row>
    <row r="47" spans="1:8">
      <c r="A47" s="6">
        <f t="shared" si="4"/>
        <v>23</v>
      </c>
      <c r="B47" s="6" t="str">
        <f t="shared" si="0"/>
        <v>CELL</v>
      </c>
      <c r="C47" s="9" t="str" cm="1">
        <f t="array" ref="C47">IF(ISNUMBER(A47),INDEX(BackgroundCalcs!$AV$2:$AV$500,'Grading Formulas'!$A47),"")</f>
        <v>Budget</v>
      </c>
      <c r="D47" s="9" t="str" cm="1">
        <f t="array" ref="D47">IF(ISNUMBER($A47),INDEX(BackgroundCalcs!$AW$2:$AW$500,'Grading Formulas'!$A47),"")</f>
        <v>G23</v>
      </c>
      <c r="E47" s="4" t="str" cm="1">
        <f t="array" ref="E47">IF(ISNUMBER($A47),IF(A47=A46,"Reference2(False,True,"&amp;INDEX(BackgroundCalcs!$AX$2:$AX$500,'Grading Formulas'!$A47)&amp;")","Reference() AND MOEValue(.0001)"),"")</f>
        <v>Reference2(False,True,H23)</v>
      </c>
      <c r="F47" s="4">
        <f t="shared" si="1"/>
        <v>-1000</v>
      </c>
      <c r="G47" s="4" t="str">
        <f t="shared" si="2"/>
        <v>You should not be referencing the answer cell</v>
      </c>
      <c r="H47" s="4" t="str">
        <f t="shared" si="3"/>
        <v>N/A</v>
      </c>
    </row>
    <row r="48" spans="1:8">
      <c r="A48" s="6">
        <f t="shared" si="4"/>
        <v>24</v>
      </c>
      <c r="B48" s="6" t="str">
        <f t="shared" si="0"/>
        <v>CELL</v>
      </c>
      <c r="C48" s="9" t="str" cm="1">
        <f t="array" ref="C48">IF(ISNUMBER(A48),INDEX(BackgroundCalcs!$AV$2:$AV$500,'Grading Formulas'!$A48),"")</f>
        <v>Budget</v>
      </c>
      <c r="D48" s="9" t="str" cm="1">
        <f t="array" ref="D48">IF(ISNUMBER($A48),INDEX(BackgroundCalcs!$AW$2:$AW$500,'Grading Formulas'!$A48),"")</f>
        <v>G24</v>
      </c>
      <c r="E48" s="4" t="str" cm="1">
        <f t="array" ref="E48">IF(ISNUMBER($A48),IF(A48=A47,"Reference2(False,True,"&amp;INDEX(BackgroundCalcs!$AX$2:$AX$500,'Grading Formulas'!$A48)&amp;")","Reference() AND MOEValue(.0001)"),"")</f>
        <v>Reference() AND MOEValue(.0001)</v>
      </c>
      <c r="F48" s="4">
        <f t="shared" si="1"/>
        <v>1</v>
      </c>
      <c r="G48" s="4" t="str">
        <f t="shared" si="2"/>
        <v>Correct</v>
      </c>
      <c r="H48" s="4" t="str">
        <f t="shared" si="3"/>
        <v>Incorrect</v>
      </c>
    </row>
    <row r="49" spans="1:8">
      <c r="A49" s="6">
        <f t="shared" si="4"/>
        <v>24</v>
      </c>
      <c r="B49" s="6" t="str">
        <f t="shared" si="0"/>
        <v>CELL</v>
      </c>
      <c r="C49" s="9" t="str" cm="1">
        <f t="array" ref="C49">IF(ISNUMBER(A49),INDEX(BackgroundCalcs!$AV$2:$AV$500,'Grading Formulas'!$A49),"")</f>
        <v>Budget</v>
      </c>
      <c r="D49" s="9" t="str" cm="1">
        <f t="array" ref="D49">IF(ISNUMBER($A49),INDEX(BackgroundCalcs!$AW$2:$AW$500,'Grading Formulas'!$A49),"")</f>
        <v>G24</v>
      </c>
      <c r="E49" s="4" t="str" cm="1">
        <f t="array" ref="E49">IF(ISNUMBER($A49),IF(A49=A48,"Reference2(False,True,"&amp;INDEX(BackgroundCalcs!$AX$2:$AX$500,'Grading Formulas'!$A49)&amp;")","Reference() AND MOEValue(.0001)"),"")</f>
        <v>Reference2(False,True,H24)</v>
      </c>
      <c r="F49" s="4">
        <f t="shared" si="1"/>
        <v>-1000</v>
      </c>
      <c r="G49" s="4" t="str">
        <f t="shared" si="2"/>
        <v>You should not be referencing the answer cell</v>
      </c>
      <c r="H49" s="4" t="str">
        <f t="shared" si="3"/>
        <v>N/A</v>
      </c>
    </row>
    <row r="50" spans="1:8">
      <c r="A50" s="6">
        <f t="shared" si="4"/>
        <v>25</v>
      </c>
      <c r="B50" s="6" t="str">
        <f t="shared" si="0"/>
        <v>CELL</v>
      </c>
      <c r="C50" s="9" t="str" cm="1">
        <f t="array" ref="C50">IF(ISNUMBER(A50),INDEX(BackgroundCalcs!$AV$2:$AV$500,'Grading Formulas'!$A50),"")</f>
        <v>Budget</v>
      </c>
      <c r="D50" s="9" t="str" cm="1">
        <f t="array" ref="D50">IF(ISNUMBER($A50),INDEX(BackgroundCalcs!$AW$2:$AW$500,'Grading Formulas'!$A50),"")</f>
        <v>G25</v>
      </c>
      <c r="E50" s="4" t="str" cm="1">
        <f t="array" ref="E50">IF(ISNUMBER($A50),IF(A50=A49,"Reference2(False,True,"&amp;INDEX(BackgroundCalcs!$AX$2:$AX$500,'Grading Formulas'!$A50)&amp;")","Reference() AND MOEValue(.0001)"),"")</f>
        <v>Reference() AND MOEValue(.0001)</v>
      </c>
      <c r="F50" s="4">
        <f t="shared" si="1"/>
        <v>1</v>
      </c>
      <c r="G50" s="4" t="str">
        <f t="shared" si="2"/>
        <v>Correct</v>
      </c>
      <c r="H50" s="4" t="str">
        <f t="shared" si="3"/>
        <v>Incorrect</v>
      </c>
    </row>
    <row r="51" spans="1:8">
      <c r="A51" s="6">
        <f t="shared" si="4"/>
        <v>25</v>
      </c>
      <c r="B51" s="6" t="str">
        <f t="shared" si="0"/>
        <v>CELL</v>
      </c>
      <c r="C51" s="9" t="str" cm="1">
        <f t="array" ref="C51">IF(ISNUMBER(A51),INDEX(BackgroundCalcs!$AV$2:$AV$500,'Grading Formulas'!$A51),"")</f>
        <v>Budget</v>
      </c>
      <c r="D51" s="9" t="str" cm="1">
        <f t="array" ref="D51">IF(ISNUMBER($A51),INDEX(BackgroundCalcs!$AW$2:$AW$500,'Grading Formulas'!$A51),"")</f>
        <v>G25</v>
      </c>
      <c r="E51" s="4" t="str" cm="1">
        <f t="array" ref="E51">IF(ISNUMBER($A51),IF(A51=A50,"Reference2(False,True,"&amp;INDEX(BackgroundCalcs!$AX$2:$AX$500,'Grading Formulas'!$A51)&amp;")","Reference() AND MOEValue(.0001)"),"")</f>
        <v>Reference2(False,True,H25)</v>
      </c>
      <c r="F51" s="4">
        <f t="shared" si="1"/>
        <v>-1000</v>
      </c>
      <c r="G51" s="4" t="str">
        <f t="shared" si="2"/>
        <v>You should not be referencing the answer cell</v>
      </c>
      <c r="H51" s="4" t="str">
        <f t="shared" si="3"/>
        <v>N/A</v>
      </c>
    </row>
    <row r="52" spans="1:8">
      <c r="A52" s="6">
        <f t="shared" si="4"/>
        <v>26</v>
      </c>
      <c r="B52" s="6" t="str">
        <f t="shared" si="0"/>
        <v>CELL</v>
      </c>
      <c r="C52" s="9" t="str" cm="1">
        <f t="array" ref="C52">IF(ISNUMBER(A52),INDEX(BackgroundCalcs!$AV$2:$AV$500,'Grading Formulas'!$A52),"")</f>
        <v>Budget</v>
      </c>
      <c r="D52" s="9" t="str" cm="1">
        <f t="array" ref="D52">IF(ISNUMBER($A52),INDEX(BackgroundCalcs!$AW$2:$AW$500,'Grading Formulas'!$A52),"")</f>
        <v>G26</v>
      </c>
      <c r="E52" s="4" t="str" cm="1">
        <f t="array" ref="E52">IF(ISNUMBER($A52),IF(A52=A51,"Reference2(False,True,"&amp;INDEX(BackgroundCalcs!$AX$2:$AX$500,'Grading Formulas'!$A52)&amp;")","Reference() AND MOEValue(.0001)"),"")</f>
        <v>Reference() AND MOEValue(.0001)</v>
      </c>
      <c r="F52" s="4">
        <f t="shared" si="1"/>
        <v>1</v>
      </c>
      <c r="G52" s="4" t="str">
        <f t="shared" si="2"/>
        <v>Correct</v>
      </c>
      <c r="H52" s="4" t="str">
        <f t="shared" si="3"/>
        <v>Incorrect</v>
      </c>
    </row>
    <row r="53" spans="1:8">
      <c r="A53" s="6">
        <f t="shared" si="4"/>
        <v>26</v>
      </c>
      <c r="B53" s="6" t="str">
        <f t="shared" si="0"/>
        <v>CELL</v>
      </c>
      <c r="C53" s="9" t="str" cm="1">
        <f t="array" ref="C53">IF(ISNUMBER(A53),INDEX(BackgroundCalcs!$AV$2:$AV$500,'Grading Formulas'!$A53),"")</f>
        <v>Budget</v>
      </c>
      <c r="D53" s="9" t="str" cm="1">
        <f t="array" ref="D53">IF(ISNUMBER($A53),INDEX(BackgroundCalcs!$AW$2:$AW$500,'Grading Formulas'!$A53),"")</f>
        <v>G26</v>
      </c>
      <c r="E53" s="4" t="str" cm="1">
        <f t="array" ref="E53">IF(ISNUMBER($A53),IF(A53=A52,"Reference2(False,True,"&amp;INDEX(BackgroundCalcs!$AX$2:$AX$500,'Grading Formulas'!$A53)&amp;")","Reference() AND MOEValue(.0001)"),"")</f>
        <v>Reference2(False,True,H26)</v>
      </c>
      <c r="F53" s="4">
        <f t="shared" si="1"/>
        <v>-1000</v>
      </c>
      <c r="G53" s="4" t="str">
        <f t="shared" si="2"/>
        <v>You should not be referencing the answer cell</v>
      </c>
      <c r="H53" s="4" t="str">
        <f t="shared" si="3"/>
        <v>N/A</v>
      </c>
    </row>
    <row r="54" spans="1:8">
      <c r="A54" s="6">
        <f t="shared" si="4"/>
        <v>27</v>
      </c>
      <c r="B54" s="6" t="str">
        <f t="shared" si="0"/>
        <v>CELL</v>
      </c>
      <c r="C54" s="9" t="str" cm="1">
        <f t="array" ref="C54">IF(ISNUMBER(A54),INDEX(BackgroundCalcs!$AV$2:$AV$500,'Grading Formulas'!$A54),"")</f>
        <v>Budget</v>
      </c>
      <c r="D54" s="9" t="str" cm="1">
        <f t="array" ref="D54">IF(ISNUMBER($A54),INDEX(BackgroundCalcs!$AW$2:$AW$500,'Grading Formulas'!$A54),"")</f>
        <v>G27</v>
      </c>
      <c r="E54" s="4" t="str" cm="1">
        <f t="array" ref="E54">IF(ISNUMBER($A54),IF(A54=A53,"Reference2(False,True,"&amp;INDEX(BackgroundCalcs!$AX$2:$AX$500,'Grading Formulas'!$A54)&amp;")","Reference() AND MOEValue(.0001)"),"")</f>
        <v>Reference() AND MOEValue(.0001)</v>
      </c>
      <c r="F54" s="4">
        <f t="shared" si="1"/>
        <v>1</v>
      </c>
      <c r="G54" s="4" t="str">
        <f t="shared" si="2"/>
        <v>Correct</v>
      </c>
      <c r="H54" s="4" t="str">
        <f t="shared" si="3"/>
        <v>Incorrect</v>
      </c>
    </row>
    <row r="55" spans="1:8">
      <c r="A55" s="6">
        <f t="shared" si="4"/>
        <v>27</v>
      </c>
      <c r="B55" s="6" t="str">
        <f t="shared" si="0"/>
        <v>CELL</v>
      </c>
      <c r="C55" s="9" t="str" cm="1">
        <f t="array" ref="C55">IF(ISNUMBER(A55),INDEX(BackgroundCalcs!$AV$2:$AV$500,'Grading Formulas'!$A55),"")</f>
        <v>Budget</v>
      </c>
      <c r="D55" s="9" t="str" cm="1">
        <f t="array" ref="D55">IF(ISNUMBER($A55),INDEX(BackgroundCalcs!$AW$2:$AW$500,'Grading Formulas'!$A55),"")</f>
        <v>G27</v>
      </c>
      <c r="E55" s="4" t="str" cm="1">
        <f t="array" ref="E55">IF(ISNUMBER($A55),IF(A55=A54,"Reference2(False,True,"&amp;INDEX(BackgroundCalcs!$AX$2:$AX$500,'Grading Formulas'!$A55)&amp;")","Reference() AND MOEValue(.0001)"),"")</f>
        <v>Reference2(False,True,H27)</v>
      </c>
      <c r="F55" s="4">
        <f t="shared" si="1"/>
        <v>-1000</v>
      </c>
      <c r="G55" s="4" t="str">
        <f t="shared" si="2"/>
        <v>You should not be referencing the answer cell</v>
      </c>
      <c r="H55" s="4" t="str">
        <f t="shared" si="3"/>
        <v>N/A</v>
      </c>
    </row>
    <row r="56" spans="1:8">
      <c r="A56" s="6">
        <f t="shared" si="4"/>
        <v>28</v>
      </c>
      <c r="B56" s="6" t="str">
        <f t="shared" si="0"/>
        <v>CELL</v>
      </c>
      <c r="C56" s="9" t="str" cm="1">
        <f t="array" ref="C56">IF(ISNUMBER(A56),INDEX(BackgroundCalcs!$AV$2:$AV$500,'Grading Formulas'!$A56),"")</f>
        <v>Sensitivity Analysis</v>
      </c>
      <c r="D56" s="9" t="str" cm="1">
        <f t="array" ref="D56">IF(ISNUMBER($A56),INDEX(BackgroundCalcs!$AW$2:$AW$500,'Grading Formulas'!$A56),"")</f>
        <v>F8</v>
      </c>
      <c r="E56" s="4" t="str" cm="1">
        <f t="array" ref="E56">IF(ISNUMBER($A56),IF(A56=A55,"Reference2(False,True,"&amp;INDEX(BackgroundCalcs!$AX$2:$AX$500,'Grading Formulas'!$A56)&amp;")","Reference() AND MOEValue(.0001)"),"")</f>
        <v>Reference() AND MOEValue(.0001)</v>
      </c>
      <c r="F56" s="4">
        <f t="shared" si="1"/>
        <v>1</v>
      </c>
      <c r="G56" s="4" t="str">
        <f t="shared" si="2"/>
        <v>Correct</v>
      </c>
      <c r="H56" s="4" t="str">
        <f t="shared" si="3"/>
        <v>Incorrect</v>
      </c>
    </row>
    <row r="57" spans="1:8">
      <c r="A57" s="6">
        <f t="shared" si="4"/>
        <v>28</v>
      </c>
      <c r="B57" s="6" t="str">
        <f t="shared" si="0"/>
        <v>CELL</v>
      </c>
      <c r="C57" s="9" t="str" cm="1">
        <f t="array" ref="C57">IF(ISNUMBER(A57),INDEX(BackgroundCalcs!$AV$2:$AV$500,'Grading Formulas'!$A57),"")</f>
        <v>Sensitivity Analysis</v>
      </c>
      <c r="D57" s="9" t="str" cm="1">
        <f t="array" ref="D57">IF(ISNUMBER($A57),INDEX(BackgroundCalcs!$AW$2:$AW$500,'Grading Formulas'!$A57),"")</f>
        <v>F8</v>
      </c>
      <c r="E57" s="4" t="str" cm="1">
        <f t="array" ref="E57">IF(ISNUMBER($A57),IF(A57=A56,"Reference2(False,True,"&amp;INDEX(BackgroundCalcs!$AX$2:$AX$500,'Grading Formulas'!$A57)&amp;")","Reference() AND MOEValue(.0001)"),"")</f>
        <v>Reference2(False,True,G8)</v>
      </c>
      <c r="F57" s="4">
        <f t="shared" si="1"/>
        <v>-1000</v>
      </c>
      <c r="G57" s="4" t="str">
        <f t="shared" si="2"/>
        <v>You should not be referencing the answer cell</v>
      </c>
      <c r="H57" s="4" t="str">
        <f t="shared" si="3"/>
        <v>N/A</v>
      </c>
    </row>
    <row r="58" spans="1:8">
      <c r="A58" s="6">
        <f t="shared" si="4"/>
        <v>29</v>
      </c>
      <c r="B58" s="6" t="str">
        <f t="shared" si="0"/>
        <v>CELL</v>
      </c>
      <c r="C58" s="9" t="str" cm="1">
        <f t="array" ref="C58">IF(ISNUMBER(A58),INDEX(BackgroundCalcs!$AV$2:$AV$500,'Grading Formulas'!$A58),"")</f>
        <v>Sensitivity Analysis</v>
      </c>
      <c r="D58" s="9" t="str" cm="1">
        <f t="array" ref="D58">IF(ISNUMBER($A58),INDEX(BackgroundCalcs!$AW$2:$AW$500,'Grading Formulas'!$A58),"")</f>
        <v>F9</v>
      </c>
      <c r="E58" s="4" t="str" cm="1">
        <f t="array" ref="E58">IF(ISNUMBER($A58),IF(A58=A57,"Reference2(False,True,"&amp;INDEX(BackgroundCalcs!$AX$2:$AX$500,'Grading Formulas'!$A58)&amp;")","Reference() AND MOEValue(.0001)"),"")</f>
        <v>Reference() AND MOEValue(.0001)</v>
      </c>
      <c r="F58" s="4">
        <f t="shared" si="1"/>
        <v>1</v>
      </c>
      <c r="G58" s="4" t="str">
        <f t="shared" si="2"/>
        <v>Correct</v>
      </c>
      <c r="H58" s="4" t="str">
        <f t="shared" si="3"/>
        <v>Incorrect</v>
      </c>
    </row>
    <row r="59" spans="1:8">
      <c r="A59" s="6">
        <f t="shared" si="4"/>
        <v>29</v>
      </c>
      <c r="B59" s="6" t="str">
        <f t="shared" si="0"/>
        <v>CELL</v>
      </c>
      <c r="C59" s="9" t="str" cm="1">
        <f t="array" ref="C59">IF(ISNUMBER(A59),INDEX(BackgroundCalcs!$AV$2:$AV$500,'Grading Formulas'!$A59),"")</f>
        <v>Sensitivity Analysis</v>
      </c>
      <c r="D59" s="9" t="str" cm="1">
        <f t="array" ref="D59">IF(ISNUMBER($A59),INDEX(BackgroundCalcs!$AW$2:$AW$500,'Grading Formulas'!$A59),"")</f>
        <v>F9</v>
      </c>
      <c r="E59" s="4" t="str" cm="1">
        <f t="array" ref="E59">IF(ISNUMBER($A59),IF(A59=A58,"Reference2(False,True,"&amp;INDEX(BackgroundCalcs!$AX$2:$AX$500,'Grading Formulas'!$A59)&amp;")","Reference() AND MOEValue(.0001)"),"")</f>
        <v>Reference2(False,True,G9)</v>
      </c>
      <c r="F59" s="4">
        <f t="shared" si="1"/>
        <v>-1000</v>
      </c>
      <c r="G59" s="4" t="str">
        <f t="shared" si="2"/>
        <v>You should not be referencing the answer cell</v>
      </c>
      <c r="H59" s="4" t="str">
        <f t="shared" si="3"/>
        <v>N/A</v>
      </c>
    </row>
    <row r="60" spans="1:8">
      <c r="A60" s="6">
        <f t="shared" si="4"/>
        <v>30</v>
      </c>
      <c r="B60" s="6" t="str">
        <f t="shared" si="0"/>
        <v>CELL</v>
      </c>
      <c r="C60" s="9" t="str" cm="1">
        <f t="array" ref="C60">IF(ISNUMBER(A60),INDEX(BackgroundCalcs!$AV$2:$AV$500,'Grading Formulas'!$A60),"")</f>
        <v>Sensitivity Analysis</v>
      </c>
      <c r="D60" s="9" t="str" cm="1">
        <f t="array" ref="D60">IF(ISNUMBER($A60),INDEX(BackgroundCalcs!$AW$2:$AW$500,'Grading Formulas'!$A60),"")</f>
        <v>F10</v>
      </c>
      <c r="E60" s="4" t="str" cm="1">
        <f t="array" ref="E60">IF(ISNUMBER($A60),IF(A60=A59,"Reference2(False,True,"&amp;INDEX(BackgroundCalcs!$AX$2:$AX$500,'Grading Formulas'!$A60)&amp;")","Reference() AND MOEValue(.0001)"),"")</f>
        <v>Reference() AND MOEValue(.0001)</v>
      </c>
      <c r="F60" s="4">
        <f t="shared" si="1"/>
        <v>1</v>
      </c>
      <c r="G60" s="4" t="str">
        <f t="shared" si="2"/>
        <v>Correct</v>
      </c>
      <c r="H60" s="4" t="str">
        <f t="shared" si="3"/>
        <v>Incorrect</v>
      </c>
    </row>
    <row r="61" spans="1:8">
      <c r="A61" s="6">
        <f t="shared" si="4"/>
        <v>30</v>
      </c>
      <c r="B61" s="6" t="str">
        <f t="shared" si="0"/>
        <v>CELL</v>
      </c>
      <c r="C61" s="9" t="str" cm="1">
        <f t="array" ref="C61">IF(ISNUMBER(A61),INDEX(BackgroundCalcs!$AV$2:$AV$500,'Grading Formulas'!$A61),"")</f>
        <v>Sensitivity Analysis</v>
      </c>
      <c r="D61" s="9" t="str" cm="1">
        <f t="array" ref="D61">IF(ISNUMBER($A61),INDEX(BackgroundCalcs!$AW$2:$AW$500,'Grading Formulas'!$A61),"")</f>
        <v>F10</v>
      </c>
      <c r="E61" s="4" t="str" cm="1">
        <f t="array" ref="E61">IF(ISNUMBER($A61),IF(A61=A60,"Reference2(False,True,"&amp;INDEX(BackgroundCalcs!$AX$2:$AX$500,'Grading Formulas'!$A61)&amp;")","Reference() AND MOEValue(.0001)"),"")</f>
        <v>Reference2(False,True,G10)</v>
      </c>
      <c r="F61" s="4">
        <f t="shared" si="1"/>
        <v>-1000</v>
      </c>
      <c r="G61" s="4" t="str">
        <f t="shared" si="2"/>
        <v>You should not be referencing the answer cell</v>
      </c>
      <c r="H61" s="4" t="str">
        <f t="shared" si="3"/>
        <v>N/A</v>
      </c>
    </row>
    <row r="62" spans="1:8">
      <c r="A62" s="6">
        <f t="shared" si="4"/>
        <v>31</v>
      </c>
      <c r="B62" s="6" t="str">
        <f t="shared" si="0"/>
        <v>CELL</v>
      </c>
      <c r="C62" s="9" t="str" cm="1">
        <f t="array" ref="C62">IF(ISNUMBER(A62),INDEX(BackgroundCalcs!$AV$2:$AV$500,'Grading Formulas'!$A62),"")</f>
        <v>Sensitivity Analysis</v>
      </c>
      <c r="D62" s="9" t="str" cm="1">
        <f t="array" ref="D62">IF(ISNUMBER($A62),INDEX(BackgroundCalcs!$AW$2:$AW$500,'Grading Formulas'!$A62),"")</f>
        <v>F11</v>
      </c>
      <c r="E62" s="4" t="str" cm="1">
        <f t="array" ref="E62">IF(ISNUMBER($A62),IF(A62=A61,"Reference2(False,True,"&amp;INDEX(BackgroundCalcs!$AX$2:$AX$500,'Grading Formulas'!$A62)&amp;")","Reference() AND MOEValue(.0001)"),"")</f>
        <v>Reference() AND MOEValue(.0001)</v>
      </c>
      <c r="F62" s="4">
        <f t="shared" si="1"/>
        <v>1</v>
      </c>
      <c r="G62" s="4" t="str">
        <f t="shared" si="2"/>
        <v>Correct</v>
      </c>
      <c r="H62" s="4" t="str">
        <f t="shared" si="3"/>
        <v>Incorrect</v>
      </c>
    </row>
    <row r="63" spans="1:8">
      <c r="A63" s="6">
        <f t="shared" si="4"/>
        <v>31</v>
      </c>
      <c r="B63" s="6" t="str">
        <f t="shared" si="0"/>
        <v>CELL</v>
      </c>
      <c r="C63" s="9" t="str" cm="1">
        <f t="array" ref="C63">IF(ISNUMBER(A63),INDEX(BackgroundCalcs!$AV$2:$AV$500,'Grading Formulas'!$A63),"")</f>
        <v>Sensitivity Analysis</v>
      </c>
      <c r="D63" s="9" t="str" cm="1">
        <f t="array" ref="D63">IF(ISNUMBER($A63),INDEX(BackgroundCalcs!$AW$2:$AW$500,'Grading Formulas'!$A63),"")</f>
        <v>F11</v>
      </c>
      <c r="E63" s="4" t="str" cm="1">
        <f t="array" ref="E63">IF(ISNUMBER($A63),IF(A63=A62,"Reference2(False,True,"&amp;INDEX(BackgroundCalcs!$AX$2:$AX$500,'Grading Formulas'!$A63)&amp;")","Reference() AND MOEValue(.0001)"),"")</f>
        <v>Reference2(False,True,G11)</v>
      </c>
      <c r="F63" s="4">
        <f t="shared" si="1"/>
        <v>-1000</v>
      </c>
      <c r="G63" s="4" t="str">
        <f t="shared" si="2"/>
        <v>You should not be referencing the answer cell</v>
      </c>
      <c r="H63" s="4" t="str">
        <f t="shared" si="3"/>
        <v>N/A</v>
      </c>
    </row>
    <row r="64" spans="1:8">
      <c r="A64" s="6">
        <f t="shared" si="4"/>
        <v>32</v>
      </c>
      <c r="B64" s="6" t="str">
        <f t="shared" si="0"/>
        <v>CELL</v>
      </c>
      <c r="C64" s="9" t="str" cm="1">
        <f t="array" ref="C64">IF(ISNUMBER(A64),INDEX(BackgroundCalcs!$AV$2:$AV$500,'Grading Formulas'!$A64),"")</f>
        <v>Sensitivity Analysis</v>
      </c>
      <c r="D64" s="9" t="str" cm="1">
        <f t="array" ref="D64">IF(ISNUMBER($A64),INDEX(BackgroundCalcs!$AW$2:$AW$500,'Grading Formulas'!$A64),"")</f>
        <v>F12</v>
      </c>
      <c r="E64" s="4" t="str" cm="1">
        <f t="array" ref="E64">IF(ISNUMBER($A64),IF(A64=A63,"Reference2(False,True,"&amp;INDEX(BackgroundCalcs!$AX$2:$AX$500,'Grading Formulas'!$A64)&amp;")","Reference() AND MOEValue(.0001)"),"")</f>
        <v>Reference() AND MOEValue(.0001)</v>
      </c>
      <c r="F64" s="4">
        <f t="shared" si="1"/>
        <v>1</v>
      </c>
      <c r="G64" s="4" t="str">
        <f t="shared" si="2"/>
        <v>Correct</v>
      </c>
      <c r="H64" s="4" t="str">
        <f t="shared" si="3"/>
        <v>Incorrect</v>
      </c>
    </row>
    <row r="65" spans="1:8">
      <c r="A65" s="6">
        <f t="shared" si="4"/>
        <v>32</v>
      </c>
      <c r="B65" s="6" t="str">
        <f t="shared" si="0"/>
        <v>CELL</v>
      </c>
      <c r="C65" s="9" t="str" cm="1">
        <f t="array" ref="C65">IF(ISNUMBER(A65),INDEX(BackgroundCalcs!$AV$2:$AV$500,'Grading Formulas'!$A65),"")</f>
        <v>Sensitivity Analysis</v>
      </c>
      <c r="D65" s="9" t="str" cm="1">
        <f t="array" ref="D65">IF(ISNUMBER($A65),INDEX(BackgroundCalcs!$AW$2:$AW$500,'Grading Formulas'!$A65),"")</f>
        <v>F12</v>
      </c>
      <c r="E65" s="4" t="str" cm="1">
        <f t="array" ref="E65">IF(ISNUMBER($A65),IF(A65=A64,"Reference2(False,True,"&amp;INDEX(BackgroundCalcs!$AX$2:$AX$500,'Grading Formulas'!$A65)&amp;")","Reference() AND MOEValue(.0001)"),"")</f>
        <v>Reference2(False,True,G12)</v>
      </c>
      <c r="F65" s="4">
        <f t="shared" si="1"/>
        <v>-1000</v>
      </c>
      <c r="G65" s="4" t="str">
        <f t="shared" si="2"/>
        <v>You should not be referencing the answer cell</v>
      </c>
      <c r="H65" s="4" t="str">
        <f t="shared" si="3"/>
        <v>N/A</v>
      </c>
    </row>
    <row r="66" spans="1:8">
      <c r="A66" s="6" t="str">
        <f t="shared" si="4"/>
        <v/>
      </c>
      <c r="B66" s="6" t="str">
        <f t="shared" si="0"/>
        <v/>
      </c>
      <c r="C66" s="9" t="str" cm="1">
        <f t="array" ref="C66">IF(ISNUMBER(A66),INDEX(BackgroundCalcs!$AV$2:$AV$500,'Grading Formulas'!$A66),"")</f>
        <v/>
      </c>
      <c r="D66" s="9" t="str" cm="1">
        <f t="array" ref="D66">IF(ISNUMBER($A66),INDEX(BackgroundCalcs!$AW$2:$AW$500,'Grading Formulas'!$A66),"")</f>
        <v/>
      </c>
      <c r="E66" s="4" t="str" cm="1">
        <f t="array" ref="E66">IF(ISNUMBER($A66),IF(A66=A65,"Reference2(False,True,"&amp;INDEX(BackgroundCalcs!$AX$2:$AX$500,'Grading Formulas'!$A66)&amp;")","Reference() AND MOEValue(.0001)"),"")</f>
        <v/>
      </c>
      <c r="F66" s="4" t="str">
        <f t="shared" si="1"/>
        <v/>
      </c>
      <c r="G66" s="4" t="str">
        <f t="shared" si="2"/>
        <v/>
      </c>
      <c r="H66" s="4" t="str">
        <f t="shared" si="3"/>
        <v/>
      </c>
    </row>
    <row r="67" spans="1:8">
      <c r="A67" s="6" t="str">
        <f t="shared" si="4"/>
        <v/>
      </c>
      <c r="B67" s="6" t="str">
        <f t="shared" si="0"/>
        <v/>
      </c>
      <c r="C67" s="9" t="str" cm="1">
        <f t="array" ref="C67">IF(ISNUMBER(A67),INDEX(BackgroundCalcs!$AV$2:$AV$500,'Grading Formulas'!$A67),"")</f>
        <v/>
      </c>
      <c r="D67" s="9" t="str" cm="1">
        <f t="array" ref="D67">IF(ISNUMBER($A67),INDEX(BackgroundCalcs!$AW$2:$AW$500,'Grading Formulas'!$A67),"")</f>
        <v/>
      </c>
      <c r="E67" s="4" t="str" cm="1">
        <f t="array" ref="E67">IF(ISNUMBER($A67),IF(A67=A66,"Reference2(False,True,"&amp;INDEX(BackgroundCalcs!$AX$2:$AX$500,'Grading Formulas'!$A67)&amp;")","Reference() AND MOEValue(.0001)"),"")</f>
        <v/>
      </c>
      <c r="F67" s="4" t="str">
        <f t="shared" ref="F67:F130" si="5">IF(ISNUMBER($A67),IF(A67=A66,-1000,1),"")</f>
        <v/>
      </c>
      <c r="G67" s="4" t="str">
        <f t="shared" ref="G67:G130" si="6">IF(ISNUMBER($A67),IF(A67=A66,"You should not be referencing the answer cell","Correct"),"")</f>
        <v/>
      </c>
      <c r="H67" s="4" t="str">
        <f t="shared" ref="H67:H130" si="7">IF(ISNUMBER($A67),IF(A67=A66,"N/A","Incorrect"),"")</f>
        <v/>
      </c>
    </row>
    <row r="68" spans="1:8">
      <c r="A68" s="6" t="str">
        <f t="shared" ref="A68:A131" si="8">IF(A66&lt;NumAnswers,A66+1,"")</f>
        <v/>
      </c>
      <c r="B68" s="6" t="str">
        <f t="shared" si="0"/>
        <v/>
      </c>
      <c r="C68" s="9" t="str" cm="1">
        <f t="array" ref="C68">IF(ISNUMBER(A68),INDEX(BackgroundCalcs!$AV$2:$AV$500,'Grading Formulas'!$A68),"")</f>
        <v/>
      </c>
      <c r="D68" s="9" t="str" cm="1">
        <f t="array" ref="D68">IF(ISNUMBER($A68),INDEX(BackgroundCalcs!$AW$2:$AW$500,'Grading Formulas'!$A68),"")</f>
        <v/>
      </c>
      <c r="E68" s="4" t="str" cm="1">
        <f t="array" ref="E68">IF(ISNUMBER($A68),IF(A68=A67,"Reference2(False,True,"&amp;INDEX(BackgroundCalcs!$AX$2:$AX$500,'Grading Formulas'!$A68)&amp;")","Reference() AND MOEValue(.0001)"),"")</f>
        <v/>
      </c>
      <c r="F68" s="4" t="str">
        <f t="shared" si="5"/>
        <v/>
      </c>
      <c r="G68" s="4" t="str">
        <f t="shared" si="6"/>
        <v/>
      </c>
      <c r="H68" s="4" t="str">
        <f t="shared" si="7"/>
        <v/>
      </c>
    </row>
    <row r="69" spans="1:8">
      <c r="A69" s="6" t="str">
        <f t="shared" si="8"/>
        <v/>
      </c>
      <c r="B69" s="6" t="str">
        <f t="shared" si="0"/>
        <v/>
      </c>
      <c r="C69" s="9" t="str" cm="1">
        <f t="array" ref="C69">IF(ISNUMBER(A69),INDEX(BackgroundCalcs!$AV$2:$AV$500,'Grading Formulas'!$A69),"")</f>
        <v/>
      </c>
      <c r="D69" s="9" t="str" cm="1">
        <f t="array" ref="D69">IF(ISNUMBER($A69),INDEX(BackgroundCalcs!$AW$2:$AW$500,'Grading Formulas'!$A69),"")</f>
        <v/>
      </c>
      <c r="E69" s="4" t="str" cm="1">
        <f t="array" ref="E69">IF(ISNUMBER($A69),IF(A69=A68,"Reference2(False,True,"&amp;INDEX(BackgroundCalcs!$AX$2:$AX$500,'Grading Formulas'!$A69)&amp;")","Reference() AND MOEValue(.0001)"),"")</f>
        <v/>
      </c>
      <c r="F69" s="4" t="str">
        <f t="shared" si="5"/>
        <v/>
      </c>
      <c r="G69" s="4" t="str">
        <f t="shared" si="6"/>
        <v/>
      </c>
      <c r="H69" s="4" t="str">
        <f t="shared" si="7"/>
        <v/>
      </c>
    </row>
    <row r="70" spans="1:8">
      <c r="A70" s="6" t="str">
        <f t="shared" si="8"/>
        <v/>
      </c>
      <c r="B70" s="6" t="str">
        <f t="shared" si="0"/>
        <v/>
      </c>
      <c r="C70" s="9" t="str" cm="1">
        <f t="array" ref="C70">IF(ISNUMBER(A70),INDEX(BackgroundCalcs!$AV$2:$AV$500,'Grading Formulas'!$A70),"")</f>
        <v/>
      </c>
      <c r="D70" s="9" t="str" cm="1">
        <f t="array" ref="D70">IF(ISNUMBER($A70),INDEX(BackgroundCalcs!$AW$2:$AW$500,'Grading Formulas'!$A70),"")</f>
        <v/>
      </c>
      <c r="E70" s="4" t="str" cm="1">
        <f t="array" ref="E70">IF(ISNUMBER($A70),IF(A70=A69,"Reference2(False,True,"&amp;INDEX(BackgroundCalcs!$AX$2:$AX$500,'Grading Formulas'!$A70)&amp;")","Reference() AND MOEValue(.0001)"),"")</f>
        <v/>
      </c>
      <c r="F70" s="4" t="str">
        <f t="shared" si="5"/>
        <v/>
      </c>
      <c r="G70" s="4" t="str">
        <f t="shared" si="6"/>
        <v/>
      </c>
      <c r="H70" s="4" t="str">
        <f t="shared" si="7"/>
        <v/>
      </c>
    </row>
    <row r="71" spans="1:8">
      <c r="A71" s="6" t="str">
        <f t="shared" si="8"/>
        <v/>
      </c>
      <c r="B71" s="6" t="str">
        <f t="shared" si="0"/>
        <v/>
      </c>
      <c r="C71" s="9" t="str" cm="1">
        <f t="array" ref="C71">IF(ISNUMBER(A71),INDEX(BackgroundCalcs!$AV$2:$AV$500,'Grading Formulas'!$A71),"")</f>
        <v/>
      </c>
      <c r="D71" s="9" t="str" cm="1">
        <f t="array" ref="D71">IF(ISNUMBER($A71),INDEX(BackgroundCalcs!$AW$2:$AW$500,'Grading Formulas'!$A71),"")</f>
        <v/>
      </c>
      <c r="E71" s="4" t="str" cm="1">
        <f t="array" ref="E71">IF(ISNUMBER($A71),IF(A71=A70,"Reference2(False,True,"&amp;INDEX(BackgroundCalcs!$AX$2:$AX$500,'Grading Formulas'!$A71)&amp;")","Reference() AND MOEValue(.0001)"),"")</f>
        <v/>
      </c>
      <c r="F71" s="4" t="str">
        <f t="shared" si="5"/>
        <v/>
      </c>
      <c r="G71" s="4" t="str">
        <f t="shared" si="6"/>
        <v/>
      </c>
      <c r="H71" s="4" t="str">
        <f t="shared" si="7"/>
        <v/>
      </c>
    </row>
    <row r="72" spans="1:8">
      <c r="A72" s="6" t="str">
        <f t="shared" si="8"/>
        <v/>
      </c>
      <c r="B72" s="6" t="str">
        <f t="shared" si="0"/>
        <v/>
      </c>
      <c r="C72" s="9" t="str" cm="1">
        <f t="array" ref="C72">IF(ISNUMBER(A72),INDEX(BackgroundCalcs!$AV$2:$AV$500,'Grading Formulas'!$A72),"")</f>
        <v/>
      </c>
      <c r="D72" s="9" t="str" cm="1">
        <f t="array" ref="D72">IF(ISNUMBER($A72),INDEX(BackgroundCalcs!$AW$2:$AW$500,'Grading Formulas'!$A72),"")</f>
        <v/>
      </c>
      <c r="E72" s="4" t="str" cm="1">
        <f t="array" ref="E72">IF(ISNUMBER($A72),IF(A72=A71,"Reference2(False,True,"&amp;INDEX(BackgroundCalcs!$AX$2:$AX$500,'Grading Formulas'!$A72)&amp;")","Reference() AND MOEValue(.0001)"),"")</f>
        <v/>
      </c>
      <c r="F72" s="4" t="str">
        <f t="shared" si="5"/>
        <v/>
      </c>
      <c r="G72" s="4" t="str">
        <f t="shared" si="6"/>
        <v/>
      </c>
      <c r="H72" s="4" t="str">
        <f t="shared" si="7"/>
        <v/>
      </c>
    </row>
    <row r="73" spans="1:8">
      <c r="A73" s="6" t="str">
        <f t="shared" si="8"/>
        <v/>
      </c>
      <c r="B73" s="6" t="str">
        <f t="shared" si="0"/>
        <v/>
      </c>
      <c r="C73" s="9" t="str" cm="1">
        <f t="array" ref="C73">IF(ISNUMBER(A73),INDEX(BackgroundCalcs!$AV$2:$AV$500,'Grading Formulas'!$A73),"")</f>
        <v/>
      </c>
      <c r="D73" s="9" t="str" cm="1">
        <f t="array" ref="D73">IF(ISNUMBER($A73),INDEX(BackgroundCalcs!$AW$2:$AW$500,'Grading Formulas'!$A73),"")</f>
        <v/>
      </c>
      <c r="E73" s="4" t="str" cm="1">
        <f t="array" ref="E73">IF(ISNUMBER($A73),IF(A73=A72,"Reference2(False,True,"&amp;INDEX(BackgroundCalcs!$AX$2:$AX$500,'Grading Formulas'!$A73)&amp;")","Reference() AND MOEValue(.0001)"),"")</f>
        <v/>
      </c>
      <c r="F73" s="4" t="str">
        <f t="shared" si="5"/>
        <v/>
      </c>
      <c r="G73" s="4" t="str">
        <f t="shared" si="6"/>
        <v/>
      </c>
      <c r="H73" s="4" t="str">
        <f t="shared" si="7"/>
        <v/>
      </c>
    </row>
    <row r="74" spans="1:8">
      <c r="A74" s="6" t="str">
        <f t="shared" si="8"/>
        <v/>
      </c>
      <c r="B74" s="6" t="str">
        <f t="shared" si="0"/>
        <v/>
      </c>
      <c r="C74" s="9" t="str" cm="1">
        <f t="array" ref="C74">IF(ISNUMBER(A74),INDEX(BackgroundCalcs!$AV$2:$AV$500,'Grading Formulas'!$A74),"")</f>
        <v/>
      </c>
      <c r="D74" s="9" t="str" cm="1">
        <f t="array" ref="D74">IF(ISNUMBER($A74),INDEX(BackgroundCalcs!$AW$2:$AW$500,'Grading Formulas'!$A74),"")</f>
        <v/>
      </c>
      <c r="E74" s="4" t="str" cm="1">
        <f t="array" ref="E74">IF(ISNUMBER($A74),IF(A74=A73,"Reference2(False,True,"&amp;INDEX(BackgroundCalcs!$AX$2:$AX$500,'Grading Formulas'!$A74)&amp;")","Reference() AND MOEValue(.0001)"),"")</f>
        <v/>
      </c>
      <c r="F74" s="4" t="str">
        <f t="shared" si="5"/>
        <v/>
      </c>
      <c r="G74" s="4" t="str">
        <f t="shared" si="6"/>
        <v/>
      </c>
      <c r="H74" s="4" t="str">
        <f t="shared" si="7"/>
        <v/>
      </c>
    </row>
    <row r="75" spans="1:8">
      <c r="A75" s="6" t="str">
        <f t="shared" si="8"/>
        <v/>
      </c>
      <c r="B75" s="6" t="str">
        <f t="shared" si="0"/>
        <v/>
      </c>
      <c r="C75" s="9" t="str" cm="1">
        <f t="array" ref="C75">IF(ISNUMBER(A75),INDEX(BackgroundCalcs!$AV$2:$AV$500,'Grading Formulas'!$A75),"")</f>
        <v/>
      </c>
      <c r="D75" s="9" t="str" cm="1">
        <f t="array" ref="D75">IF(ISNUMBER($A75),INDEX(BackgroundCalcs!$AW$2:$AW$500,'Grading Formulas'!$A75),"")</f>
        <v/>
      </c>
      <c r="E75" s="4" t="str" cm="1">
        <f t="array" ref="E75">IF(ISNUMBER($A75),IF(A75=A74,"Reference2(False,True,"&amp;INDEX(BackgroundCalcs!$AX$2:$AX$500,'Grading Formulas'!$A75)&amp;")","Reference() AND MOEValue(.0001)"),"")</f>
        <v/>
      </c>
      <c r="F75" s="4" t="str">
        <f t="shared" si="5"/>
        <v/>
      </c>
      <c r="G75" s="4" t="str">
        <f t="shared" si="6"/>
        <v/>
      </c>
      <c r="H75" s="4" t="str">
        <f t="shared" si="7"/>
        <v/>
      </c>
    </row>
    <row r="76" spans="1:8">
      <c r="A76" s="6" t="str">
        <f t="shared" si="8"/>
        <v/>
      </c>
      <c r="B76" s="6" t="str">
        <f t="shared" si="0"/>
        <v/>
      </c>
      <c r="C76" s="9" t="str" cm="1">
        <f t="array" ref="C76">IF(ISNUMBER(A76),INDEX(BackgroundCalcs!$AV$2:$AV$500,'Grading Formulas'!$A76),"")</f>
        <v/>
      </c>
      <c r="D76" s="9" t="str" cm="1">
        <f t="array" ref="D76">IF(ISNUMBER($A76),INDEX(BackgroundCalcs!$AW$2:$AW$500,'Grading Formulas'!$A76),"")</f>
        <v/>
      </c>
      <c r="E76" s="4" t="str" cm="1">
        <f t="array" ref="E76">IF(ISNUMBER($A76),IF(A76=A75,"Reference2(False,True,"&amp;INDEX(BackgroundCalcs!$AX$2:$AX$500,'Grading Formulas'!$A76)&amp;")","Reference() AND MOEValue(.0001)"),"")</f>
        <v/>
      </c>
      <c r="F76" s="4" t="str">
        <f t="shared" si="5"/>
        <v/>
      </c>
      <c r="G76" s="4" t="str">
        <f t="shared" si="6"/>
        <v/>
      </c>
      <c r="H76" s="4" t="str">
        <f t="shared" si="7"/>
        <v/>
      </c>
    </row>
    <row r="77" spans="1:8">
      <c r="A77" s="6" t="str">
        <f t="shared" si="8"/>
        <v/>
      </c>
      <c r="B77" s="6" t="str">
        <f t="shared" si="0"/>
        <v/>
      </c>
      <c r="C77" s="9" t="str" cm="1">
        <f t="array" ref="C77">IF(ISNUMBER(A77),INDEX(BackgroundCalcs!$AV$2:$AV$500,'Grading Formulas'!$A77),"")</f>
        <v/>
      </c>
      <c r="D77" s="9" t="str" cm="1">
        <f t="array" ref="D77">IF(ISNUMBER($A77),INDEX(BackgroundCalcs!$AW$2:$AW$500,'Grading Formulas'!$A77),"")</f>
        <v/>
      </c>
      <c r="E77" s="4" t="str" cm="1">
        <f t="array" ref="E77">IF(ISNUMBER($A77),IF(A77=A76,"Reference2(False,True,"&amp;INDEX(BackgroundCalcs!$AX$2:$AX$500,'Grading Formulas'!$A77)&amp;")","Reference() AND MOEValue(.0001)"),"")</f>
        <v/>
      </c>
      <c r="F77" s="4" t="str">
        <f t="shared" si="5"/>
        <v/>
      </c>
      <c r="G77" s="4" t="str">
        <f t="shared" si="6"/>
        <v/>
      </c>
      <c r="H77" s="4" t="str">
        <f t="shared" si="7"/>
        <v/>
      </c>
    </row>
    <row r="78" spans="1:8">
      <c r="A78" s="6" t="str">
        <f t="shared" si="8"/>
        <v/>
      </c>
      <c r="B78" s="6" t="str">
        <f t="shared" si="0"/>
        <v/>
      </c>
      <c r="C78" s="9" t="str" cm="1">
        <f t="array" ref="C78">IF(ISNUMBER(A78),INDEX(BackgroundCalcs!$AV$2:$AV$500,'Grading Formulas'!$A78),"")</f>
        <v/>
      </c>
      <c r="D78" s="9" t="str" cm="1">
        <f t="array" ref="D78">IF(ISNUMBER($A78),INDEX(BackgroundCalcs!$AW$2:$AW$500,'Grading Formulas'!$A78),"")</f>
        <v/>
      </c>
      <c r="E78" s="4" t="str" cm="1">
        <f t="array" ref="E78">IF(ISNUMBER($A78),IF(A78=A77,"Reference2(False,True,"&amp;INDEX(BackgroundCalcs!$AX$2:$AX$500,'Grading Formulas'!$A78)&amp;")","Reference() AND MOEValue(.0001)"),"")</f>
        <v/>
      </c>
      <c r="F78" s="4" t="str">
        <f t="shared" si="5"/>
        <v/>
      </c>
      <c r="G78" s="4" t="str">
        <f t="shared" si="6"/>
        <v/>
      </c>
      <c r="H78" s="4" t="str">
        <f t="shared" si="7"/>
        <v/>
      </c>
    </row>
    <row r="79" spans="1:8">
      <c r="A79" s="6" t="str">
        <f t="shared" si="8"/>
        <v/>
      </c>
      <c r="B79" s="6" t="str">
        <f t="shared" si="0"/>
        <v/>
      </c>
      <c r="C79" s="9" t="str" cm="1">
        <f t="array" ref="C79">IF(ISNUMBER(A79),INDEX(BackgroundCalcs!$AV$2:$AV$500,'Grading Formulas'!$A79),"")</f>
        <v/>
      </c>
      <c r="D79" s="9" t="str" cm="1">
        <f t="array" ref="D79">IF(ISNUMBER($A79),INDEX(BackgroundCalcs!$AW$2:$AW$500,'Grading Formulas'!$A79),"")</f>
        <v/>
      </c>
      <c r="E79" s="4" t="str" cm="1">
        <f t="array" ref="E79">IF(ISNUMBER($A79),IF(A79=A78,"Reference2(False,True,"&amp;INDEX(BackgroundCalcs!$AX$2:$AX$500,'Grading Formulas'!$A79)&amp;")","Reference() AND MOEValue(.0001)"),"")</f>
        <v/>
      </c>
      <c r="F79" s="4" t="str">
        <f t="shared" si="5"/>
        <v/>
      </c>
      <c r="G79" s="4" t="str">
        <f t="shared" si="6"/>
        <v/>
      </c>
      <c r="H79" s="4" t="str">
        <f t="shared" si="7"/>
        <v/>
      </c>
    </row>
    <row r="80" spans="1:8">
      <c r="A80" s="6" t="str">
        <f t="shared" si="8"/>
        <v/>
      </c>
      <c r="B80" s="6" t="str">
        <f t="shared" si="0"/>
        <v/>
      </c>
      <c r="C80" s="9" t="str" cm="1">
        <f t="array" ref="C80">IF(ISNUMBER(A80),INDEX(BackgroundCalcs!$AV$2:$AV$500,'Grading Formulas'!$A80),"")</f>
        <v/>
      </c>
      <c r="D80" s="9" t="str" cm="1">
        <f t="array" ref="D80">IF(ISNUMBER($A80),INDEX(BackgroundCalcs!$AW$2:$AW$500,'Grading Formulas'!$A80),"")</f>
        <v/>
      </c>
      <c r="E80" s="4" t="str" cm="1">
        <f t="array" ref="E80">IF(ISNUMBER($A80),IF(A80=A79,"Reference2(False,True,"&amp;INDEX(BackgroundCalcs!$AX$2:$AX$500,'Grading Formulas'!$A80)&amp;")","Reference() AND MOEValue(.0001)"),"")</f>
        <v/>
      </c>
      <c r="F80" s="4" t="str">
        <f t="shared" si="5"/>
        <v/>
      </c>
      <c r="G80" s="4" t="str">
        <f t="shared" si="6"/>
        <v/>
      </c>
      <c r="H80" s="4" t="str">
        <f t="shared" si="7"/>
        <v/>
      </c>
    </row>
    <row r="81" spans="1:8">
      <c r="A81" s="6" t="str">
        <f t="shared" si="8"/>
        <v/>
      </c>
      <c r="B81" s="6" t="str">
        <f t="shared" si="0"/>
        <v/>
      </c>
      <c r="C81" s="9" t="str" cm="1">
        <f t="array" ref="C81">IF(ISNUMBER(A81),INDEX(BackgroundCalcs!$AV$2:$AV$500,'Grading Formulas'!$A81),"")</f>
        <v/>
      </c>
      <c r="D81" s="9" t="str" cm="1">
        <f t="array" ref="D81">IF(ISNUMBER($A81),INDEX(BackgroundCalcs!$AW$2:$AW$500,'Grading Formulas'!$A81),"")</f>
        <v/>
      </c>
      <c r="E81" s="4" t="str" cm="1">
        <f t="array" ref="E81">IF(ISNUMBER($A81),IF(A81=A80,"Reference2(False,True,"&amp;INDEX(BackgroundCalcs!$AX$2:$AX$500,'Grading Formulas'!$A81)&amp;")","Reference() AND MOEValue(.0001)"),"")</f>
        <v/>
      </c>
      <c r="F81" s="4" t="str">
        <f t="shared" si="5"/>
        <v/>
      </c>
      <c r="G81" s="4" t="str">
        <f t="shared" si="6"/>
        <v/>
      </c>
      <c r="H81" s="4" t="str">
        <f t="shared" si="7"/>
        <v/>
      </c>
    </row>
    <row r="82" spans="1:8">
      <c r="A82" s="6" t="str">
        <f t="shared" si="8"/>
        <v/>
      </c>
      <c r="B82" s="6" t="str">
        <f t="shared" si="0"/>
        <v/>
      </c>
      <c r="C82" s="9" t="str" cm="1">
        <f t="array" ref="C82">IF(ISNUMBER(A82),INDEX(BackgroundCalcs!$AV$2:$AV$500,'Grading Formulas'!$A82),"")</f>
        <v/>
      </c>
      <c r="D82" s="9" t="str" cm="1">
        <f t="array" ref="D82">IF(ISNUMBER($A82),INDEX(BackgroundCalcs!$AW$2:$AW$500,'Grading Formulas'!$A82),"")</f>
        <v/>
      </c>
      <c r="E82" s="4" t="str" cm="1">
        <f t="array" ref="E82">IF(ISNUMBER($A82),IF(A82=A81,"Reference2(False,True,"&amp;INDEX(BackgroundCalcs!$AX$2:$AX$500,'Grading Formulas'!$A82)&amp;")","Reference() AND MOEValue(.0001)"),"")</f>
        <v/>
      </c>
      <c r="F82" s="4" t="str">
        <f t="shared" si="5"/>
        <v/>
      </c>
      <c r="G82" s="4" t="str">
        <f t="shared" si="6"/>
        <v/>
      </c>
      <c r="H82" s="4" t="str">
        <f t="shared" si="7"/>
        <v/>
      </c>
    </row>
    <row r="83" spans="1:8">
      <c r="A83" s="6" t="str">
        <f t="shared" si="8"/>
        <v/>
      </c>
      <c r="B83" s="6" t="str">
        <f t="shared" si="0"/>
        <v/>
      </c>
      <c r="C83" s="9" t="str" cm="1">
        <f t="array" ref="C83">IF(ISNUMBER(A83),INDEX(BackgroundCalcs!$AV$2:$AV$500,'Grading Formulas'!$A83),"")</f>
        <v/>
      </c>
      <c r="D83" s="9" t="str" cm="1">
        <f t="array" ref="D83">IF(ISNUMBER($A83),INDEX(BackgroundCalcs!$AW$2:$AW$500,'Grading Formulas'!$A83),"")</f>
        <v/>
      </c>
      <c r="E83" s="4" t="str" cm="1">
        <f t="array" ref="E83">IF(ISNUMBER($A83),IF(A83=A82,"Reference2(False,True,"&amp;INDEX(BackgroundCalcs!$AX$2:$AX$500,'Grading Formulas'!$A83)&amp;")","Reference() AND MOEValue(.0001)"),"")</f>
        <v/>
      </c>
      <c r="F83" s="4" t="str">
        <f t="shared" si="5"/>
        <v/>
      </c>
      <c r="G83" s="4" t="str">
        <f t="shared" si="6"/>
        <v/>
      </c>
      <c r="H83" s="4" t="str">
        <f t="shared" si="7"/>
        <v/>
      </c>
    </row>
    <row r="84" spans="1:8">
      <c r="A84" s="6" t="str">
        <f t="shared" si="8"/>
        <v/>
      </c>
      <c r="B84" s="6" t="str">
        <f t="shared" si="0"/>
        <v/>
      </c>
      <c r="C84" s="9" t="str" cm="1">
        <f t="array" ref="C84">IF(ISNUMBER(A84),INDEX(BackgroundCalcs!$AV$2:$AV$500,'Grading Formulas'!$A84),"")</f>
        <v/>
      </c>
      <c r="D84" s="9" t="str" cm="1">
        <f t="array" ref="D84">IF(ISNUMBER($A84),INDEX(BackgroundCalcs!$AW$2:$AW$500,'Grading Formulas'!$A84),"")</f>
        <v/>
      </c>
      <c r="E84" s="4" t="str" cm="1">
        <f t="array" ref="E84">IF(ISNUMBER($A84),IF(A84=A83,"Reference2(False,True,"&amp;INDEX(BackgroundCalcs!$AX$2:$AX$500,'Grading Formulas'!$A84)&amp;")","Reference() AND MOEValue(.0001)"),"")</f>
        <v/>
      </c>
      <c r="F84" s="4" t="str">
        <f t="shared" si="5"/>
        <v/>
      </c>
      <c r="G84" s="4" t="str">
        <f t="shared" si="6"/>
        <v/>
      </c>
      <c r="H84" s="4" t="str">
        <f t="shared" si="7"/>
        <v/>
      </c>
    </row>
    <row r="85" spans="1:8">
      <c r="A85" s="6" t="str">
        <f t="shared" si="8"/>
        <v/>
      </c>
      <c r="B85" s="6" t="str">
        <f t="shared" si="0"/>
        <v/>
      </c>
      <c r="C85" s="9" t="str" cm="1">
        <f t="array" ref="C85">IF(ISNUMBER(A85),INDEX(BackgroundCalcs!$AV$2:$AV$500,'Grading Formulas'!$A85),"")</f>
        <v/>
      </c>
      <c r="D85" s="9" t="str" cm="1">
        <f t="array" ref="D85">IF(ISNUMBER($A85),INDEX(BackgroundCalcs!$AW$2:$AW$500,'Grading Formulas'!$A85),"")</f>
        <v/>
      </c>
      <c r="E85" s="4" t="str" cm="1">
        <f t="array" ref="E85">IF(ISNUMBER($A85),IF(A85=A84,"Reference2(False,True,"&amp;INDEX(BackgroundCalcs!$AX$2:$AX$500,'Grading Formulas'!$A85)&amp;")","Reference() AND MOEValue(.0001)"),"")</f>
        <v/>
      </c>
      <c r="F85" s="4" t="str">
        <f t="shared" si="5"/>
        <v/>
      </c>
      <c r="G85" s="4" t="str">
        <f t="shared" si="6"/>
        <v/>
      </c>
      <c r="H85" s="4" t="str">
        <f t="shared" si="7"/>
        <v/>
      </c>
    </row>
    <row r="86" spans="1:8">
      <c r="A86" s="6" t="str">
        <f t="shared" si="8"/>
        <v/>
      </c>
      <c r="B86" s="6" t="str">
        <f t="shared" si="0"/>
        <v/>
      </c>
      <c r="C86" s="9" t="str" cm="1">
        <f t="array" ref="C86">IF(ISNUMBER(A86),INDEX(BackgroundCalcs!$AV$2:$AV$500,'Grading Formulas'!$A86),"")</f>
        <v/>
      </c>
      <c r="D86" s="9" t="str" cm="1">
        <f t="array" ref="D86">IF(ISNUMBER($A86),INDEX(BackgroundCalcs!$AW$2:$AW$500,'Grading Formulas'!$A86),"")</f>
        <v/>
      </c>
      <c r="E86" s="4" t="str" cm="1">
        <f t="array" ref="E86">IF(ISNUMBER($A86),IF(A86=A85,"Reference2(False,True,"&amp;INDEX(BackgroundCalcs!$AX$2:$AX$500,'Grading Formulas'!$A86)&amp;")","Reference() AND MOEValue(.0001)"),"")</f>
        <v/>
      </c>
      <c r="F86" s="4" t="str">
        <f t="shared" si="5"/>
        <v/>
      </c>
      <c r="G86" s="4" t="str">
        <f t="shared" si="6"/>
        <v/>
      </c>
      <c r="H86" s="4" t="str">
        <f t="shared" si="7"/>
        <v/>
      </c>
    </row>
    <row r="87" spans="1:8">
      <c r="A87" s="6" t="str">
        <f t="shared" si="8"/>
        <v/>
      </c>
      <c r="B87" s="6" t="str">
        <f t="shared" si="0"/>
        <v/>
      </c>
      <c r="C87" s="9" t="str" cm="1">
        <f t="array" ref="C87">IF(ISNUMBER(A87),INDEX(BackgroundCalcs!$AV$2:$AV$500,'Grading Formulas'!$A87),"")</f>
        <v/>
      </c>
      <c r="D87" s="9" t="str" cm="1">
        <f t="array" ref="D87">IF(ISNUMBER($A87),INDEX(BackgroundCalcs!$AW$2:$AW$500,'Grading Formulas'!$A87),"")</f>
        <v/>
      </c>
      <c r="E87" s="4" t="str" cm="1">
        <f t="array" ref="E87">IF(ISNUMBER($A87),IF(A87=A86,"Reference2(False,True,"&amp;INDEX(BackgroundCalcs!$AX$2:$AX$500,'Grading Formulas'!$A87)&amp;")","Reference() AND MOEValue(.0001)"),"")</f>
        <v/>
      </c>
      <c r="F87" s="4" t="str">
        <f t="shared" si="5"/>
        <v/>
      </c>
      <c r="G87" s="4" t="str">
        <f t="shared" si="6"/>
        <v/>
      </c>
      <c r="H87" s="4" t="str">
        <f t="shared" si="7"/>
        <v/>
      </c>
    </row>
    <row r="88" spans="1:8">
      <c r="A88" s="6" t="str">
        <f t="shared" si="8"/>
        <v/>
      </c>
      <c r="B88" s="6" t="str">
        <f t="shared" si="0"/>
        <v/>
      </c>
      <c r="C88" s="9" t="str" cm="1">
        <f t="array" ref="C88">IF(ISNUMBER(A88),INDEX(BackgroundCalcs!$AV$2:$AV$500,'Grading Formulas'!$A88),"")</f>
        <v/>
      </c>
      <c r="D88" s="9" t="str" cm="1">
        <f t="array" ref="D88">IF(ISNUMBER($A88),INDEX(BackgroundCalcs!$AW$2:$AW$500,'Grading Formulas'!$A88),"")</f>
        <v/>
      </c>
      <c r="E88" s="4" t="str" cm="1">
        <f t="array" ref="E88">IF(ISNUMBER($A88),IF(A88=A87,"Reference2(False,True,"&amp;INDEX(BackgroundCalcs!$AX$2:$AX$500,'Grading Formulas'!$A88)&amp;")","Reference() AND MOEValue(.0001)"),"")</f>
        <v/>
      </c>
      <c r="F88" s="4" t="str">
        <f t="shared" si="5"/>
        <v/>
      </c>
      <c r="G88" s="4" t="str">
        <f t="shared" si="6"/>
        <v/>
      </c>
      <c r="H88" s="4" t="str">
        <f t="shared" si="7"/>
        <v/>
      </c>
    </row>
    <row r="89" spans="1:8">
      <c r="A89" s="6" t="str">
        <f t="shared" si="8"/>
        <v/>
      </c>
      <c r="B89" s="6" t="str">
        <f t="shared" si="0"/>
        <v/>
      </c>
      <c r="C89" s="9" t="str" cm="1">
        <f t="array" ref="C89">IF(ISNUMBER(A89),INDEX(BackgroundCalcs!$AV$2:$AV$500,'Grading Formulas'!$A89),"")</f>
        <v/>
      </c>
      <c r="D89" s="9" t="str" cm="1">
        <f t="array" ref="D89">IF(ISNUMBER($A89),INDEX(BackgroundCalcs!$AW$2:$AW$500,'Grading Formulas'!$A89),"")</f>
        <v/>
      </c>
      <c r="E89" s="4" t="str" cm="1">
        <f t="array" ref="E89">IF(ISNUMBER($A89),IF(A89=A88,"Reference2(False,True,"&amp;INDEX(BackgroundCalcs!$AX$2:$AX$500,'Grading Formulas'!$A89)&amp;")","Reference() AND MOEValue(.0001)"),"")</f>
        <v/>
      </c>
      <c r="F89" s="4" t="str">
        <f t="shared" si="5"/>
        <v/>
      </c>
      <c r="G89" s="4" t="str">
        <f t="shared" si="6"/>
        <v/>
      </c>
      <c r="H89" s="4" t="str">
        <f t="shared" si="7"/>
        <v/>
      </c>
    </row>
    <row r="90" spans="1:8">
      <c r="A90" s="6" t="str">
        <f t="shared" si="8"/>
        <v/>
      </c>
      <c r="B90" s="6" t="str">
        <f t="shared" si="0"/>
        <v/>
      </c>
      <c r="C90" s="9" t="str" cm="1">
        <f t="array" ref="C90">IF(ISNUMBER(A90),INDEX(BackgroundCalcs!$AV$2:$AV$500,'Grading Formulas'!$A90),"")</f>
        <v/>
      </c>
      <c r="D90" s="9" t="str" cm="1">
        <f t="array" ref="D90">IF(ISNUMBER($A90),INDEX(BackgroundCalcs!$AW$2:$AW$500,'Grading Formulas'!$A90),"")</f>
        <v/>
      </c>
      <c r="E90" s="4" t="str" cm="1">
        <f t="array" ref="E90">IF(ISNUMBER($A90),IF(A90=A89,"Reference2(False,True,"&amp;INDEX(BackgroundCalcs!$AX$2:$AX$500,'Grading Formulas'!$A90)&amp;")","Reference() AND MOEValue(.0001)"),"")</f>
        <v/>
      </c>
      <c r="F90" s="4" t="str">
        <f t="shared" si="5"/>
        <v/>
      </c>
      <c r="G90" s="4" t="str">
        <f t="shared" si="6"/>
        <v/>
      </c>
      <c r="H90" s="4" t="str">
        <f t="shared" si="7"/>
        <v/>
      </c>
    </row>
    <row r="91" spans="1:8">
      <c r="A91" s="6" t="str">
        <f t="shared" si="8"/>
        <v/>
      </c>
      <c r="B91" s="6" t="str">
        <f t="shared" si="0"/>
        <v/>
      </c>
      <c r="C91" s="9" t="str" cm="1">
        <f t="array" ref="C91">IF(ISNUMBER(A91),INDEX(BackgroundCalcs!$AV$2:$AV$500,'Grading Formulas'!$A91),"")</f>
        <v/>
      </c>
      <c r="D91" s="9" t="str" cm="1">
        <f t="array" ref="D91">IF(ISNUMBER($A91),INDEX(BackgroundCalcs!$AW$2:$AW$500,'Grading Formulas'!$A91),"")</f>
        <v/>
      </c>
      <c r="E91" s="4" t="str" cm="1">
        <f t="array" ref="E91">IF(ISNUMBER($A91),IF(A91=A90,"Reference2(False,True,"&amp;INDEX(BackgroundCalcs!$AX$2:$AX$500,'Grading Formulas'!$A91)&amp;")","Reference() AND MOEValue(.0001)"),"")</f>
        <v/>
      </c>
      <c r="F91" s="4" t="str">
        <f t="shared" si="5"/>
        <v/>
      </c>
      <c r="G91" s="4" t="str">
        <f t="shared" si="6"/>
        <v/>
      </c>
      <c r="H91" s="4" t="str">
        <f t="shared" si="7"/>
        <v/>
      </c>
    </row>
    <row r="92" spans="1:8">
      <c r="A92" s="6" t="str">
        <f t="shared" si="8"/>
        <v/>
      </c>
      <c r="B92" s="6" t="str">
        <f t="shared" si="0"/>
        <v/>
      </c>
      <c r="C92" s="9" t="str" cm="1">
        <f t="array" ref="C92">IF(ISNUMBER(A92),INDEX(BackgroundCalcs!$AV$2:$AV$500,'Grading Formulas'!$A92),"")</f>
        <v/>
      </c>
      <c r="D92" s="9" t="str" cm="1">
        <f t="array" ref="D92">IF(ISNUMBER($A92),INDEX(BackgroundCalcs!$AW$2:$AW$500,'Grading Formulas'!$A92),"")</f>
        <v/>
      </c>
      <c r="E92" s="4" t="str" cm="1">
        <f t="array" ref="E92">IF(ISNUMBER($A92),IF(A92=A91,"Reference2(False,True,"&amp;INDEX(BackgroundCalcs!$AX$2:$AX$500,'Grading Formulas'!$A92)&amp;")","Reference() AND MOEValue(.0001)"),"")</f>
        <v/>
      </c>
      <c r="F92" s="4" t="str">
        <f t="shared" si="5"/>
        <v/>
      </c>
      <c r="G92" s="4" t="str">
        <f t="shared" si="6"/>
        <v/>
      </c>
      <c r="H92" s="4" t="str">
        <f t="shared" si="7"/>
        <v/>
      </c>
    </row>
    <row r="93" spans="1:8">
      <c r="A93" s="6" t="str">
        <f t="shared" si="8"/>
        <v/>
      </c>
      <c r="B93" s="6" t="str">
        <f t="shared" si="0"/>
        <v/>
      </c>
      <c r="C93" s="9" t="str" cm="1">
        <f t="array" ref="C93">IF(ISNUMBER(A93),INDEX(BackgroundCalcs!$AV$2:$AV$500,'Grading Formulas'!$A93),"")</f>
        <v/>
      </c>
      <c r="D93" s="9" t="str" cm="1">
        <f t="array" ref="D93">IF(ISNUMBER($A93),INDEX(BackgroundCalcs!$AW$2:$AW$500,'Grading Formulas'!$A93),"")</f>
        <v/>
      </c>
      <c r="E93" s="4" t="str" cm="1">
        <f t="array" ref="E93">IF(ISNUMBER($A93),IF(A93=A92,"Reference2(False,True,"&amp;INDEX(BackgroundCalcs!$AX$2:$AX$500,'Grading Formulas'!$A93)&amp;")","Reference() AND MOEValue(.0001)"),"")</f>
        <v/>
      </c>
      <c r="F93" s="4" t="str">
        <f t="shared" si="5"/>
        <v/>
      </c>
      <c r="G93" s="4" t="str">
        <f t="shared" si="6"/>
        <v/>
      </c>
      <c r="H93" s="4" t="str">
        <f t="shared" si="7"/>
        <v/>
      </c>
    </row>
    <row r="94" spans="1:8">
      <c r="A94" s="6" t="str">
        <f t="shared" si="8"/>
        <v/>
      </c>
      <c r="B94" s="6" t="str">
        <f t="shared" si="0"/>
        <v/>
      </c>
      <c r="C94" s="9" t="str" cm="1">
        <f t="array" ref="C94">IF(ISNUMBER(A94),INDEX(BackgroundCalcs!$AV$2:$AV$500,'Grading Formulas'!$A94),"")</f>
        <v/>
      </c>
      <c r="D94" s="9" t="str" cm="1">
        <f t="array" ref="D94">IF(ISNUMBER($A94),INDEX(BackgroundCalcs!$AW$2:$AW$500,'Grading Formulas'!$A94),"")</f>
        <v/>
      </c>
      <c r="E94" s="4" t="str" cm="1">
        <f t="array" ref="E94">IF(ISNUMBER($A94),IF(A94=A93,"Reference2(False,True,"&amp;INDEX(BackgroundCalcs!$AX$2:$AX$500,'Grading Formulas'!$A94)&amp;")","Reference() AND MOEValue(.0001)"),"")</f>
        <v/>
      </c>
      <c r="F94" s="4" t="str">
        <f t="shared" si="5"/>
        <v/>
      </c>
      <c r="G94" s="4" t="str">
        <f t="shared" si="6"/>
        <v/>
      </c>
      <c r="H94" s="4" t="str">
        <f t="shared" si="7"/>
        <v/>
      </c>
    </row>
    <row r="95" spans="1:8">
      <c r="A95" s="6" t="str">
        <f t="shared" si="8"/>
        <v/>
      </c>
      <c r="B95" s="6" t="str">
        <f t="shared" si="0"/>
        <v/>
      </c>
      <c r="C95" s="9" t="str" cm="1">
        <f t="array" ref="C95">IF(ISNUMBER(A95),INDEX(BackgroundCalcs!$AV$2:$AV$500,'Grading Formulas'!$A95),"")</f>
        <v/>
      </c>
      <c r="D95" s="9" t="str" cm="1">
        <f t="array" ref="D95">IF(ISNUMBER($A95),INDEX(BackgroundCalcs!$AW$2:$AW$500,'Grading Formulas'!$A95),"")</f>
        <v/>
      </c>
      <c r="E95" s="4" t="str" cm="1">
        <f t="array" ref="E95">IF(ISNUMBER($A95),IF(A95=A94,"Reference2(False,True,"&amp;INDEX(BackgroundCalcs!$AX$2:$AX$500,'Grading Formulas'!$A95)&amp;")","Reference() AND MOEValue(.0001)"),"")</f>
        <v/>
      </c>
      <c r="F95" s="4" t="str">
        <f t="shared" si="5"/>
        <v/>
      </c>
      <c r="G95" s="4" t="str">
        <f t="shared" si="6"/>
        <v/>
      </c>
      <c r="H95" s="4" t="str">
        <f t="shared" si="7"/>
        <v/>
      </c>
    </row>
    <row r="96" spans="1:8">
      <c r="A96" s="6" t="str">
        <f t="shared" si="8"/>
        <v/>
      </c>
      <c r="B96" s="6" t="str">
        <f t="shared" si="0"/>
        <v/>
      </c>
      <c r="C96" s="9" t="str" cm="1">
        <f t="array" ref="C96">IF(ISNUMBER(A96),INDEX(BackgroundCalcs!$AV$2:$AV$500,'Grading Formulas'!$A96),"")</f>
        <v/>
      </c>
      <c r="D96" s="9" t="str" cm="1">
        <f t="array" ref="D96">IF(ISNUMBER($A96),INDEX(BackgroundCalcs!$AW$2:$AW$500,'Grading Formulas'!$A96),"")</f>
        <v/>
      </c>
      <c r="E96" s="4" t="str" cm="1">
        <f t="array" ref="E96">IF(ISNUMBER($A96),IF(A96=A95,"Reference2(False,True,"&amp;INDEX(BackgroundCalcs!$AX$2:$AX$500,'Grading Formulas'!$A96)&amp;")","Reference() AND MOEValue(.0001)"),"")</f>
        <v/>
      </c>
      <c r="F96" s="4" t="str">
        <f t="shared" si="5"/>
        <v/>
      </c>
      <c r="G96" s="4" t="str">
        <f t="shared" si="6"/>
        <v/>
      </c>
      <c r="H96" s="4" t="str">
        <f t="shared" si="7"/>
        <v/>
      </c>
    </row>
    <row r="97" spans="1:8">
      <c r="A97" s="6" t="str">
        <f t="shared" si="8"/>
        <v/>
      </c>
      <c r="B97" s="6" t="str">
        <f t="shared" si="0"/>
        <v/>
      </c>
      <c r="C97" s="9" t="str" cm="1">
        <f t="array" ref="C97">IF(ISNUMBER(A97),INDEX(BackgroundCalcs!$AV$2:$AV$500,'Grading Formulas'!$A97),"")</f>
        <v/>
      </c>
      <c r="D97" s="9" t="str" cm="1">
        <f t="array" ref="D97">IF(ISNUMBER($A97),INDEX(BackgroundCalcs!$AW$2:$AW$500,'Grading Formulas'!$A97),"")</f>
        <v/>
      </c>
      <c r="E97" s="4" t="str" cm="1">
        <f t="array" ref="E97">IF(ISNUMBER($A97),IF(A97=A96,"Reference2(False,True,"&amp;INDEX(BackgroundCalcs!$AX$2:$AX$500,'Grading Formulas'!$A97)&amp;")","Reference() AND MOEValue(.0001)"),"")</f>
        <v/>
      </c>
      <c r="F97" s="4" t="str">
        <f t="shared" si="5"/>
        <v/>
      </c>
      <c r="G97" s="4" t="str">
        <f t="shared" si="6"/>
        <v/>
      </c>
      <c r="H97" s="4" t="str">
        <f t="shared" si="7"/>
        <v/>
      </c>
    </row>
    <row r="98" spans="1:8">
      <c r="A98" s="6" t="str">
        <f t="shared" si="8"/>
        <v/>
      </c>
      <c r="B98" s="6" t="str">
        <f t="shared" si="0"/>
        <v/>
      </c>
      <c r="C98" s="9" t="str" cm="1">
        <f t="array" ref="C98">IF(ISNUMBER(A98),INDEX(BackgroundCalcs!$AV$2:$AV$500,'Grading Formulas'!$A98),"")</f>
        <v/>
      </c>
      <c r="D98" s="9" t="str" cm="1">
        <f t="array" ref="D98">IF(ISNUMBER($A98),INDEX(BackgroundCalcs!$AW$2:$AW$500,'Grading Formulas'!$A98),"")</f>
        <v/>
      </c>
      <c r="E98" s="4" t="str" cm="1">
        <f t="array" ref="E98">IF(ISNUMBER($A98),IF(A98=A97,"Reference2(False,True,"&amp;INDEX(BackgroundCalcs!$AX$2:$AX$500,'Grading Formulas'!$A98)&amp;")","Reference() AND MOEValue(.0001)"),"")</f>
        <v/>
      </c>
      <c r="F98" s="4" t="str">
        <f t="shared" si="5"/>
        <v/>
      </c>
      <c r="G98" s="4" t="str">
        <f t="shared" si="6"/>
        <v/>
      </c>
      <c r="H98" s="4" t="str">
        <f t="shared" si="7"/>
        <v/>
      </c>
    </row>
    <row r="99" spans="1:8">
      <c r="A99" s="6" t="str">
        <f t="shared" si="8"/>
        <v/>
      </c>
      <c r="B99" s="6" t="str">
        <f t="shared" si="0"/>
        <v/>
      </c>
      <c r="C99" s="9" t="str" cm="1">
        <f t="array" ref="C99">IF(ISNUMBER(A99),INDEX(BackgroundCalcs!$AV$2:$AV$500,'Grading Formulas'!$A99),"")</f>
        <v/>
      </c>
      <c r="D99" s="9" t="str" cm="1">
        <f t="array" ref="D99">IF(ISNUMBER($A99),INDEX(BackgroundCalcs!$AW$2:$AW$500,'Grading Formulas'!$A99),"")</f>
        <v/>
      </c>
      <c r="E99" s="4" t="str" cm="1">
        <f t="array" ref="E99">IF(ISNUMBER($A99),IF(A99=A98,"Reference2(False,True,"&amp;INDEX(BackgroundCalcs!$AX$2:$AX$500,'Grading Formulas'!$A99)&amp;")","Reference() AND MOEValue(.0001)"),"")</f>
        <v/>
      </c>
      <c r="F99" s="4" t="str">
        <f t="shared" si="5"/>
        <v/>
      </c>
      <c r="G99" s="4" t="str">
        <f t="shared" si="6"/>
        <v/>
      </c>
      <c r="H99" s="4" t="str">
        <f t="shared" si="7"/>
        <v/>
      </c>
    </row>
    <row r="100" spans="1:8">
      <c r="A100" s="6" t="str">
        <f t="shared" si="8"/>
        <v/>
      </c>
      <c r="B100" s="6" t="str">
        <f t="shared" si="0"/>
        <v/>
      </c>
      <c r="C100" s="9" t="str" cm="1">
        <f t="array" ref="C100">IF(ISNUMBER(A100),INDEX(BackgroundCalcs!$AV$2:$AV$500,'Grading Formulas'!$A100),"")</f>
        <v/>
      </c>
      <c r="D100" s="9" t="str" cm="1">
        <f t="array" ref="D100">IF(ISNUMBER($A100),INDEX(BackgroundCalcs!$AW$2:$AW$500,'Grading Formulas'!$A100),"")</f>
        <v/>
      </c>
      <c r="E100" s="4" t="str" cm="1">
        <f t="array" ref="E100">IF(ISNUMBER($A100),IF(A100=A99,"Reference2(False,True,"&amp;INDEX(BackgroundCalcs!$AX$2:$AX$500,'Grading Formulas'!$A100)&amp;")","Reference() AND MOEValue(.0001)"),"")</f>
        <v/>
      </c>
      <c r="F100" s="4" t="str">
        <f t="shared" si="5"/>
        <v/>
      </c>
      <c r="G100" s="4" t="str">
        <f t="shared" si="6"/>
        <v/>
      </c>
      <c r="H100" s="4" t="str">
        <f t="shared" si="7"/>
        <v/>
      </c>
    </row>
    <row r="101" spans="1:8">
      <c r="A101" s="6" t="str">
        <f t="shared" si="8"/>
        <v/>
      </c>
      <c r="B101" s="6" t="str">
        <f t="shared" si="0"/>
        <v/>
      </c>
      <c r="C101" s="9" t="str" cm="1">
        <f t="array" ref="C101">IF(ISNUMBER(A101),INDEX(BackgroundCalcs!$AV$2:$AV$500,'Grading Formulas'!$A101),"")</f>
        <v/>
      </c>
      <c r="D101" s="9" t="str" cm="1">
        <f t="array" ref="D101">IF(ISNUMBER($A101),INDEX(BackgroundCalcs!$AW$2:$AW$500,'Grading Formulas'!$A101),"")</f>
        <v/>
      </c>
      <c r="E101" s="4" t="str" cm="1">
        <f t="array" ref="E101">IF(ISNUMBER($A101),IF(A101=A100,"Reference2(False,True,"&amp;INDEX(BackgroundCalcs!$AX$2:$AX$500,'Grading Formulas'!$A101)&amp;")","Reference() AND MOEValue(.0001)"),"")</f>
        <v/>
      </c>
      <c r="F101" s="4" t="str">
        <f t="shared" si="5"/>
        <v/>
      </c>
      <c r="G101" s="4" t="str">
        <f t="shared" si="6"/>
        <v/>
      </c>
      <c r="H101" s="4" t="str">
        <f t="shared" si="7"/>
        <v/>
      </c>
    </row>
    <row r="102" spans="1:8">
      <c r="A102" s="6" t="str">
        <f t="shared" si="8"/>
        <v/>
      </c>
      <c r="B102" s="6" t="str">
        <f t="shared" si="0"/>
        <v/>
      </c>
      <c r="C102" s="9" t="str" cm="1">
        <f t="array" ref="C102">IF(ISNUMBER(A102),INDEX(BackgroundCalcs!$AV$2:$AV$500,'Grading Formulas'!$A102),"")</f>
        <v/>
      </c>
      <c r="D102" s="9" t="str" cm="1">
        <f t="array" ref="D102">IF(ISNUMBER($A102),INDEX(BackgroundCalcs!$AW$2:$AW$500,'Grading Formulas'!$A102),"")</f>
        <v/>
      </c>
      <c r="E102" s="4" t="str" cm="1">
        <f t="array" ref="E102">IF(ISNUMBER($A102),IF(A102=A101,"Reference2(False,True,"&amp;INDEX(BackgroundCalcs!$AX$2:$AX$500,'Grading Formulas'!$A102)&amp;")","Reference() AND MOEValue(.0001)"),"")</f>
        <v/>
      </c>
      <c r="F102" s="4" t="str">
        <f t="shared" si="5"/>
        <v/>
      </c>
      <c r="G102" s="4" t="str">
        <f t="shared" si="6"/>
        <v/>
      </c>
      <c r="H102" s="4" t="str">
        <f t="shared" si="7"/>
        <v/>
      </c>
    </row>
    <row r="103" spans="1:8">
      <c r="A103" s="6" t="str">
        <f t="shared" si="8"/>
        <v/>
      </c>
      <c r="B103" s="6" t="str">
        <f t="shared" si="0"/>
        <v/>
      </c>
      <c r="C103" s="9" t="str" cm="1">
        <f t="array" ref="C103">IF(ISNUMBER(A103),INDEX(BackgroundCalcs!$AV$2:$AV$500,'Grading Formulas'!$A103),"")</f>
        <v/>
      </c>
      <c r="D103" s="9" t="str" cm="1">
        <f t="array" ref="D103">IF(ISNUMBER($A103),INDEX(BackgroundCalcs!$AW$2:$AW$500,'Grading Formulas'!$A103),"")</f>
        <v/>
      </c>
      <c r="E103" s="4" t="str" cm="1">
        <f t="array" ref="E103">IF(ISNUMBER($A103),IF(A103=A102,"Reference2(False,True,"&amp;INDEX(BackgroundCalcs!$AX$2:$AX$500,'Grading Formulas'!$A103)&amp;")","Reference() AND MOEValue(.0001)"),"")</f>
        <v/>
      </c>
      <c r="F103" s="4" t="str">
        <f t="shared" si="5"/>
        <v/>
      </c>
      <c r="G103" s="4" t="str">
        <f t="shared" si="6"/>
        <v/>
      </c>
      <c r="H103" s="4" t="str">
        <f t="shared" si="7"/>
        <v/>
      </c>
    </row>
    <row r="104" spans="1:8">
      <c r="A104" s="6" t="str">
        <f t="shared" si="8"/>
        <v/>
      </c>
      <c r="B104" s="6" t="str">
        <f t="shared" si="0"/>
        <v/>
      </c>
      <c r="C104" s="9" t="str" cm="1">
        <f t="array" ref="C104">IF(ISNUMBER(A104),INDEX(BackgroundCalcs!$AV$2:$AV$500,'Grading Formulas'!$A104),"")</f>
        <v/>
      </c>
      <c r="D104" s="9" t="str" cm="1">
        <f t="array" ref="D104">IF(ISNUMBER($A104),INDEX(BackgroundCalcs!$AW$2:$AW$500,'Grading Formulas'!$A104),"")</f>
        <v/>
      </c>
      <c r="E104" s="4" t="str" cm="1">
        <f t="array" ref="E104">IF(ISNUMBER($A104),IF(A104=A103,"Reference2(False,True,"&amp;INDEX(BackgroundCalcs!$AX$2:$AX$500,'Grading Formulas'!$A104)&amp;")","Reference() AND MOEValue(.0001)"),"")</f>
        <v/>
      </c>
      <c r="F104" s="4" t="str">
        <f t="shared" si="5"/>
        <v/>
      </c>
      <c r="G104" s="4" t="str">
        <f t="shared" si="6"/>
        <v/>
      </c>
      <c r="H104" s="4" t="str">
        <f t="shared" si="7"/>
        <v/>
      </c>
    </row>
    <row r="105" spans="1:8">
      <c r="A105" s="6" t="str">
        <f t="shared" si="8"/>
        <v/>
      </c>
      <c r="B105" s="6" t="str">
        <f t="shared" si="0"/>
        <v/>
      </c>
      <c r="C105" s="9" t="str" cm="1">
        <f t="array" ref="C105">IF(ISNUMBER(A105),INDEX(BackgroundCalcs!$AV$2:$AV$500,'Grading Formulas'!$A105),"")</f>
        <v/>
      </c>
      <c r="D105" s="9" t="str" cm="1">
        <f t="array" ref="D105">IF(ISNUMBER($A105),INDEX(BackgroundCalcs!$AW$2:$AW$500,'Grading Formulas'!$A105),"")</f>
        <v/>
      </c>
      <c r="E105" s="4" t="str" cm="1">
        <f t="array" ref="E105">IF(ISNUMBER($A105),IF(A105=A104,"Reference2(False,True,"&amp;INDEX(BackgroundCalcs!$AX$2:$AX$500,'Grading Formulas'!$A105)&amp;")","Reference() AND MOEValue(.0001)"),"")</f>
        <v/>
      </c>
      <c r="F105" s="4" t="str">
        <f t="shared" si="5"/>
        <v/>
      </c>
      <c r="G105" s="4" t="str">
        <f t="shared" si="6"/>
        <v/>
      </c>
      <c r="H105" s="4" t="str">
        <f t="shared" si="7"/>
        <v/>
      </c>
    </row>
    <row r="106" spans="1:8">
      <c r="A106" s="6" t="str">
        <f t="shared" si="8"/>
        <v/>
      </c>
      <c r="B106" s="6" t="str">
        <f t="shared" si="0"/>
        <v/>
      </c>
      <c r="C106" s="9" t="str" cm="1">
        <f t="array" ref="C106">IF(ISNUMBER(A106),INDEX(BackgroundCalcs!$AV$2:$AV$500,'Grading Formulas'!$A106),"")</f>
        <v/>
      </c>
      <c r="D106" s="9" t="str" cm="1">
        <f t="array" ref="D106">IF(ISNUMBER($A106),INDEX(BackgroundCalcs!$AW$2:$AW$500,'Grading Formulas'!$A106),"")</f>
        <v/>
      </c>
      <c r="E106" s="4" t="str" cm="1">
        <f t="array" ref="E106">IF(ISNUMBER($A106),IF(A106=A105,"Reference2(False,True,"&amp;INDEX(BackgroundCalcs!$AX$2:$AX$500,'Grading Formulas'!$A106)&amp;")","Reference() AND MOEValue(.0001)"),"")</f>
        <v/>
      </c>
      <c r="F106" s="4" t="str">
        <f t="shared" si="5"/>
        <v/>
      </c>
      <c r="G106" s="4" t="str">
        <f t="shared" si="6"/>
        <v/>
      </c>
      <c r="H106" s="4" t="str">
        <f t="shared" si="7"/>
        <v/>
      </c>
    </row>
    <row r="107" spans="1:8">
      <c r="A107" s="6" t="str">
        <f t="shared" si="8"/>
        <v/>
      </c>
      <c r="B107" s="6" t="str">
        <f t="shared" si="0"/>
        <v/>
      </c>
      <c r="C107" s="9" t="str" cm="1">
        <f t="array" ref="C107">IF(ISNUMBER(A107),INDEX(BackgroundCalcs!$AV$2:$AV$500,'Grading Formulas'!$A107),"")</f>
        <v/>
      </c>
      <c r="D107" s="9" t="str" cm="1">
        <f t="array" ref="D107">IF(ISNUMBER($A107),INDEX(BackgroundCalcs!$AW$2:$AW$500,'Grading Formulas'!$A107),"")</f>
        <v/>
      </c>
      <c r="E107" s="4" t="str" cm="1">
        <f t="array" ref="E107">IF(ISNUMBER($A107),IF(A107=A106,"Reference2(False,True,"&amp;INDEX(BackgroundCalcs!$AX$2:$AX$500,'Grading Formulas'!$A107)&amp;")","Reference() AND MOEValue(.0001)"),"")</f>
        <v/>
      </c>
      <c r="F107" s="4" t="str">
        <f t="shared" si="5"/>
        <v/>
      </c>
      <c r="G107" s="4" t="str">
        <f t="shared" si="6"/>
        <v/>
      </c>
      <c r="H107" s="4" t="str">
        <f t="shared" si="7"/>
        <v/>
      </c>
    </row>
    <row r="108" spans="1:8">
      <c r="A108" s="6" t="str">
        <f t="shared" si="8"/>
        <v/>
      </c>
      <c r="B108" s="6" t="str">
        <f t="shared" si="0"/>
        <v/>
      </c>
      <c r="C108" s="9" t="str" cm="1">
        <f t="array" ref="C108">IF(ISNUMBER(A108),INDEX(BackgroundCalcs!$AV$2:$AV$500,'Grading Formulas'!$A108),"")</f>
        <v/>
      </c>
      <c r="D108" s="9" t="str" cm="1">
        <f t="array" ref="D108">IF(ISNUMBER($A108),INDEX(BackgroundCalcs!$AW$2:$AW$500,'Grading Formulas'!$A108),"")</f>
        <v/>
      </c>
      <c r="E108" s="4" t="str" cm="1">
        <f t="array" ref="E108">IF(ISNUMBER($A108),IF(A108=A107,"Reference2(False,True,"&amp;INDEX(BackgroundCalcs!$AX$2:$AX$500,'Grading Formulas'!$A108)&amp;")","Reference() AND MOEValue(.0001)"),"")</f>
        <v/>
      </c>
      <c r="F108" s="4" t="str">
        <f t="shared" si="5"/>
        <v/>
      </c>
      <c r="G108" s="4" t="str">
        <f t="shared" si="6"/>
        <v/>
      </c>
      <c r="H108" s="4" t="str">
        <f t="shared" si="7"/>
        <v/>
      </c>
    </row>
    <row r="109" spans="1:8">
      <c r="A109" s="6" t="str">
        <f t="shared" si="8"/>
        <v/>
      </c>
      <c r="B109" s="6" t="str">
        <f t="shared" si="0"/>
        <v/>
      </c>
      <c r="C109" s="9" t="str" cm="1">
        <f t="array" ref="C109">IF(ISNUMBER(A109),INDEX(BackgroundCalcs!$AV$2:$AV$500,'Grading Formulas'!$A109),"")</f>
        <v/>
      </c>
      <c r="D109" s="9" t="str" cm="1">
        <f t="array" ref="D109">IF(ISNUMBER($A109),INDEX(BackgroundCalcs!$AW$2:$AW$500,'Grading Formulas'!$A109),"")</f>
        <v/>
      </c>
      <c r="E109" s="4" t="str" cm="1">
        <f t="array" ref="E109">IF(ISNUMBER($A109),IF(A109=A108,"Reference2(False,True,"&amp;INDEX(BackgroundCalcs!$AX$2:$AX$500,'Grading Formulas'!$A109)&amp;")","Reference() AND MOEValue(.0001)"),"")</f>
        <v/>
      </c>
      <c r="F109" s="4" t="str">
        <f t="shared" si="5"/>
        <v/>
      </c>
      <c r="G109" s="4" t="str">
        <f t="shared" si="6"/>
        <v/>
      </c>
      <c r="H109" s="4" t="str">
        <f t="shared" si="7"/>
        <v/>
      </c>
    </row>
    <row r="110" spans="1:8">
      <c r="A110" s="6" t="str">
        <f t="shared" si="8"/>
        <v/>
      </c>
      <c r="B110" s="6" t="str">
        <f t="shared" si="0"/>
        <v/>
      </c>
      <c r="C110" s="9" t="str" cm="1">
        <f t="array" ref="C110">IF(ISNUMBER(A110),INDEX(BackgroundCalcs!$AV$2:$AV$500,'Grading Formulas'!$A110),"")</f>
        <v/>
      </c>
      <c r="D110" s="9" t="str" cm="1">
        <f t="array" ref="D110">IF(ISNUMBER($A110),INDEX(BackgroundCalcs!$AW$2:$AW$500,'Grading Formulas'!$A110),"")</f>
        <v/>
      </c>
      <c r="E110" s="4" t="str" cm="1">
        <f t="array" ref="E110">IF(ISNUMBER($A110),IF(A110=A109,"Reference2(False,True,"&amp;INDEX(BackgroundCalcs!$AX$2:$AX$500,'Grading Formulas'!$A110)&amp;")","Reference() AND MOEValue(.0001)"),"")</f>
        <v/>
      </c>
      <c r="F110" s="4" t="str">
        <f t="shared" si="5"/>
        <v/>
      </c>
      <c r="G110" s="4" t="str">
        <f t="shared" si="6"/>
        <v/>
      </c>
      <c r="H110" s="4" t="str">
        <f t="shared" si="7"/>
        <v/>
      </c>
    </row>
    <row r="111" spans="1:8">
      <c r="A111" s="6" t="str">
        <f t="shared" si="8"/>
        <v/>
      </c>
      <c r="B111" s="6" t="str">
        <f t="shared" si="0"/>
        <v/>
      </c>
      <c r="C111" s="9" t="str" cm="1">
        <f t="array" ref="C111">IF(ISNUMBER(A111),INDEX(BackgroundCalcs!$AV$2:$AV$500,'Grading Formulas'!$A111),"")</f>
        <v/>
      </c>
      <c r="D111" s="9" t="str" cm="1">
        <f t="array" ref="D111">IF(ISNUMBER($A111),INDEX(BackgroundCalcs!$AW$2:$AW$500,'Grading Formulas'!$A111),"")</f>
        <v/>
      </c>
      <c r="E111" s="4" t="str" cm="1">
        <f t="array" ref="E111">IF(ISNUMBER($A111),IF(A111=A110,"Reference2(False,True,"&amp;INDEX(BackgroundCalcs!$AX$2:$AX$500,'Grading Formulas'!$A111)&amp;")","Reference() AND MOEValue(.0001)"),"")</f>
        <v/>
      </c>
      <c r="F111" s="4" t="str">
        <f t="shared" si="5"/>
        <v/>
      </c>
      <c r="G111" s="4" t="str">
        <f t="shared" si="6"/>
        <v/>
      </c>
      <c r="H111" s="4" t="str">
        <f t="shared" si="7"/>
        <v/>
      </c>
    </row>
    <row r="112" spans="1:8">
      <c r="A112" s="6" t="str">
        <f t="shared" si="8"/>
        <v/>
      </c>
      <c r="B112" s="6" t="str">
        <f t="shared" si="0"/>
        <v/>
      </c>
      <c r="C112" s="9" t="str" cm="1">
        <f t="array" ref="C112">IF(ISNUMBER(A112),INDEX(BackgroundCalcs!$AV$2:$AV$500,'Grading Formulas'!$A112),"")</f>
        <v/>
      </c>
      <c r="D112" s="9" t="str" cm="1">
        <f t="array" ref="D112">IF(ISNUMBER($A112),INDEX(BackgroundCalcs!$AW$2:$AW$500,'Grading Formulas'!$A112),"")</f>
        <v/>
      </c>
      <c r="E112" s="4" t="str" cm="1">
        <f t="array" ref="E112">IF(ISNUMBER($A112),IF(A112=A111,"Reference2(False,True,"&amp;INDEX(BackgroundCalcs!$AX$2:$AX$500,'Grading Formulas'!$A112)&amp;")","Reference() AND MOEValue(.0001)"),"")</f>
        <v/>
      </c>
      <c r="F112" s="4" t="str">
        <f t="shared" si="5"/>
        <v/>
      </c>
      <c r="G112" s="4" t="str">
        <f t="shared" si="6"/>
        <v/>
      </c>
      <c r="H112" s="4" t="str">
        <f t="shared" si="7"/>
        <v/>
      </c>
    </row>
    <row r="113" spans="1:8">
      <c r="A113" s="6" t="str">
        <f t="shared" si="8"/>
        <v/>
      </c>
      <c r="B113" s="6" t="str">
        <f t="shared" si="0"/>
        <v/>
      </c>
      <c r="C113" s="9" t="str" cm="1">
        <f t="array" ref="C113">IF(ISNUMBER(A113),INDEX(BackgroundCalcs!$AV$2:$AV$500,'Grading Formulas'!$A113),"")</f>
        <v/>
      </c>
      <c r="D113" s="9" t="str" cm="1">
        <f t="array" ref="D113">IF(ISNUMBER($A113),INDEX(BackgroundCalcs!$AW$2:$AW$500,'Grading Formulas'!$A113),"")</f>
        <v/>
      </c>
      <c r="E113" s="4" t="str" cm="1">
        <f t="array" ref="E113">IF(ISNUMBER($A113),IF(A113=A112,"Reference2(False,True,"&amp;INDEX(BackgroundCalcs!$AX$2:$AX$500,'Grading Formulas'!$A113)&amp;")","Reference() AND MOEValue(.0001)"),"")</f>
        <v/>
      </c>
      <c r="F113" s="4" t="str">
        <f t="shared" si="5"/>
        <v/>
      </c>
      <c r="G113" s="4" t="str">
        <f t="shared" si="6"/>
        <v/>
      </c>
      <c r="H113" s="4" t="str">
        <f t="shared" si="7"/>
        <v/>
      </c>
    </row>
    <row r="114" spans="1:8">
      <c r="A114" s="6" t="str">
        <f t="shared" si="8"/>
        <v/>
      </c>
      <c r="B114" s="6" t="str">
        <f t="shared" si="0"/>
        <v/>
      </c>
      <c r="C114" s="9" t="str" cm="1">
        <f t="array" ref="C114">IF(ISNUMBER(A114),INDEX(BackgroundCalcs!$AV$2:$AV$500,'Grading Formulas'!$A114),"")</f>
        <v/>
      </c>
      <c r="D114" s="9" t="str" cm="1">
        <f t="array" ref="D114">IF(ISNUMBER($A114),INDEX(BackgroundCalcs!$AW$2:$AW$500,'Grading Formulas'!$A114),"")</f>
        <v/>
      </c>
      <c r="E114" s="4" t="str" cm="1">
        <f t="array" ref="E114">IF(ISNUMBER($A114),IF(A114=A113,"Reference2(False,True,"&amp;INDEX(BackgroundCalcs!$AX$2:$AX$500,'Grading Formulas'!$A114)&amp;")","Reference() AND MOEValue(.0001)"),"")</f>
        <v/>
      </c>
      <c r="F114" s="4" t="str">
        <f t="shared" si="5"/>
        <v/>
      </c>
      <c r="G114" s="4" t="str">
        <f t="shared" si="6"/>
        <v/>
      </c>
      <c r="H114" s="4" t="str">
        <f t="shared" si="7"/>
        <v/>
      </c>
    </row>
    <row r="115" spans="1:8">
      <c r="A115" s="6" t="str">
        <f t="shared" si="8"/>
        <v/>
      </c>
      <c r="B115" s="6" t="str">
        <f t="shared" si="0"/>
        <v/>
      </c>
      <c r="C115" s="9" t="str" cm="1">
        <f t="array" ref="C115">IF(ISNUMBER(A115),INDEX(BackgroundCalcs!$AV$2:$AV$500,'Grading Formulas'!$A115),"")</f>
        <v/>
      </c>
      <c r="D115" s="9" t="str" cm="1">
        <f t="array" ref="D115">IF(ISNUMBER($A115),INDEX(BackgroundCalcs!$AW$2:$AW$500,'Grading Formulas'!$A115),"")</f>
        <v/>
      </c>
      <c r="E115" s="4" t="str" cm="1">
        <f t="array" ref="E115">IF(ISNUMBER($A115),IF(A115=A114,"Reference2(False,True,"&amp;INDEX(BackgroundCalcs!$AX$2:$AX$500,'Grading Formulas'!$A115)&amp;")","Reference() AND MOEValue(.0001)"),"")</f>
        <v/>
      </c>
      <c r="F115" s="4" t="str">
        <f t="shared" si="5"/>
        <v/>
      </c>
      <c r="G115" s="4" t="str">
        <f t="shared" si="6"/>
        <v/>
      </c>
      <c r="H115" s="4" t="str">
        <f t="shared" si="7"/>
        <v/>
      </c>
    </row>
    <row r="116" spans="1:8">
      <c r="A116" s="6" t="str">
        <f t="shared" si="8"/>
        <v/>
      </c>
      <c r="B116" s="6" t="str">
        <f t="shared" si="0"/>
        <v/>
      </c>
      <c r="C116" s="9" t="str" cm="1">
        <f t="array" ref="C116">IF(ISNUMBER(A116),INDEX(BackgroundCalcs!$AV$2:$AV$500,'Grading Formulas'!$A116),"")</f>
        <v/>
      </c>
      <c r="D116" s="9" t="str" cm="1">
        <f t="array" ref="D116">IF(ISNUMBER($A116),INDEX(BackgroundCalcs!$AW$2:$AW$500,'Grading Formulas'!$A116),"")</f>
        <v/>
      </c>
      <c r="E116" s="4" t="str" cm="1">
        <f t="array" ref="E116">IF(ISNUMBER($A116),IF(A116=A115,"Reference2(False,True,"&amp;INDEX(BackgroundCalcs!$AX$2:$AX$500,'Grading Formulas'!$A116)&amp;")","Reference() AND MOEValue(.0001)"),"")</f>
        <v/>
      </c>
      <c r="F116" s="4" t="str">
        <f t="shared" si="5"/>
        <v/>
      </c>
      <c r="G116" s="4" t="str">
        <f t="shared" si="6"/>
        <v/>
      </c>
      <c r="H116" s="4" t="str">
        <f t="shared" si="7"/>
        <v/>
      </c>
    </row>
    <row r="117" spans="1:8">
      <c r="A117" s="6" t="str">
        <f t="shared" si="8"/>
        <v/>
      </c>
      <c r="B117" s="6" t="str">
        <f t="shared" si="0"/>
        <v/>
      </c>
      <c r="C117" s="9" t="str" cm="1">
        <f t="array" ref="C117">IF(ISNUMBER(A117),INDEX(BackgroundCalcs!$AV$2:$AV$500,'Grading Formulas'!$A117),"")</f>
        <v/>
      </c>
      <c r="D117" s="9" t="str" cm="1">
        <f t="array" ref="D117">IF(ISNUMBER($A117),INDEX(BackgroundCalcs!$AW$2:$AW$500,'Grading Formulas'!$A117),"")</f>
        <v/>
      </c>
      <c r="E117" s="4" t="str" cm="1">
        <f t="array" ref="E117">IF(ISNUMBER($A117),IF(A117=A116,"Reference2(False,True,"&amp;INDEX(BackgroundCalcs!$AX$2:$AX$500,'Grading Formulas'!$A117)&amp;")","Reference() AND MOEValue(.0001)"),"")</f>
        <v/>
      </c>
      <c r="F117" s="4" t="str">
        <f t="shared" si="5"/>
        <v/>
      </c>
      <c r="G117" s="4" t="str">
        <f t="shared" si="6"/>
        <v/>
      </c>
      <c r="H117" s="4" t="str">
        <f t="shared" si="7"/>
        <v/>
      </c>
    </row>
    <row r="118" spans="1:8">
      <c r="A118" s="6" t="str">
        <f t="shared" si="8"/>
        <v/>
      </c>
      <c r="B118" s="6" t="str">
        <f t="shared" si="0"/>
        <v/>
      </c>
      <c r="C118" s="9" t="str" cm="1">
        <f t="array" ref="C118">IF(ISNUMBER(A118),INDEX(BackgroundCalcs!$AV$2:$AV$500,'Grading Formulas'!$A118),"")</f>
        <v/>
      </c>
      <c r="D118" s="9" t="str" cm="1">
        <f t="array" ref="D118">IF(ISNUMBER($A118),INDEX(BackgroundCalcs!$AW$2:$AW$500,'Grading Formulas'!$A118),"")</f>
        <v/>
      </c>
      <c r="E118" s="4" t="str" cm="1">
        <f t="array" ref="E118">IF(ISNUMBER($A118),IF(A118=A117,"Reference2(False,True,"&amp;INDEX(BackgroundCalcs!$AX$2:$AX$500,'Grading Formulas'!$A118)&amp;")","Reference() AND MOEValue(.0001)"),"")</f>
        <v/>
      </c>
      <c r="F118" s="4" t="str">
        <f t="shared" si="5"/>
        <v/>
      </c>
      <c r="G118" s="4" t="str">
        <f t="shared" si="6"/>
        <v/>
      </c>
      <c r="H118" s="4" t="str">
        <f t="shared" si="7"/>
        <v/>
      </c>
    </row>
    <row r="119" spans="1:8">
      <c r="A119" s="6" t="str">
        <f t="shared" si="8"/>
        <v/>
      </c>
      <c r="B119" s="6" t="str">
        <f t="shared" si="0"/>
        <v/>
      </c>
      <c r="C119" s="9" t="str" cm="1">
        <f t="array" ref="C119">IF(ISNUMBER(A119),INDEX(BackgroundCalcs!$AV$2:$AV$500,'Grading Formulas'!$A119),"")</f>
        <v/>
      </c>
      <c r="D119" s="9" t="str" cm="1">
        <f t="array" ref="D119">IF(ISNUMBER($A119),INDEX(BackgroundCalcs!$AW$2:$AW$500,'Grading Formulas'!$A119),"")</f>
        <v/>
      </c>
      <c r="E119" s="4" t="str" cm="1">
        <f t="array" ref="E119">IF(ISNUMBER($A119),IF(A119=A118,"Reference2(False,True,"&amp;INDEX(BackgroundCalcs!$AX$2:$AX$500,'Grading Formulas'!$A119)&amp;")","Reference() AND MOEValue(.0001)"),"")</f>
        <v/>
      </c>
      <c r="F119" s="4" t="str">
        <f t="shared" si="5"/>
        <v/>
      </c>
      <c r="G119" s="4" t="str">
        <f t="shared" si="6"/>
        <v/>
      </c>
      <c r="H119" s="4" t="str">
        <f t="shared" si="7"/>
        <v/>
      </c>
    </row>
    <row r="120" spans="1:8">
      <c r="A120" s="6" t="str">
        <f t="shared" si="8"/>
        <v/>
      </c>
      <c r="B120" s="6" t="str">
        <f t="shared" si="0"/>
        <v/>
      </c>
      <c r="C120" s="9" t="str" cm="1">
        <f t="array" ref="C120">IF(ISNUMBER(A120),INDEX(BackgroundCalcs!$AV$2:$AV$500,'Grading Formulas'!$A120),"")</f>
        <v/>
      </c>
      <c r="D120" s="9" t="str" cm="1">
        <f t="array" ref="D120">IF(ISNUMBER($A120),INDEX(BackgroundCalcs!$AW$2:$AW$500,'Grading Formulas'!$A120),"")</f>
        <v/>
      </c>
      <c r="E120" s="4" t="str" cm="1">
        <f t="array" ref="E120">IF(ISNUMBER($A120),IF(A120=A119,"Reference2(False,True,"&amp;INDEX(BackgroundCalcs!$AX$2:$AX$500,'Grading Formulas'!$A120)&amp;")","Reference() AND MOEValue(.0001)"),"")</f>
        <v/>
      </c>
      <c r="F120" s="4" t="str">
        <f t="shared" si="5"/>
        <v/>
      </c>
      <c r="G120" s="4" t="str">
        <f t="shared" si="6"/>
        <v/>
      </c>
      <c r="H120" s="4" t="str">
        <f t="shared" si="7"/>
        <v/>
      </c>
    </row>
    <row r="121" spans="1:8">
      <c r="A121" s="6" t="str">
        <f t="shared" si="8"/>
        <v/>
      </c>
      <c r="B121" s="6" t="str">
        <f t="shared" si="0"/>
        <v/>
      </c>
      <c r="C121" s="9" t="str" cm="1">
        <f t="array" ref="C121">IF(ISNUMBER(A121),INDEX(BackgroundCalcs!$AV$2:$AV$500,'Grading Formulas'!$A121),"")</f>
        <v/>
      </c>
      <c r="D121" s="9" t="str" cm="1">
        <f t="array" ref="D121">IF(ISNUMBER($A121),INDEX(BackgroundCalcs!$AW$2:$AW$500,'Grading Formulas'!$A121),"")</f>
        <v/>
      </c>
      <c r="E121" s="4" t="str" cm="1">
        <f t="array" ref="E121">IF(ISNUMBER($A121),IF(A121=A120,"Reference2(False,True,"&amp;INDEX(BackgroundCalcs!$AX$2:$AX$500,'Grading Formulas'!$A121)&amp;")","Reference() AND MOEValue(.0001)"),"")</f>
        <v/>
      </c>
      <c r="F121" s="4" t="str">
        <f t="shared" si="5"/>
        <v/>
      </c>
      <c r="G121" s="4" t="str">
        <f t="shared" si="6"/>
        <v/>
      </c>
      <c r="H121" s="4" t="str">
        <f t="shared" si="7"/>
        <v/>
      </c>
    </row>
    <row r="122" spans="1:8">
      <c r="A122" s="6" t="str">
        <f t="shared" si="8"/>
        <v/>
      </c>
      <c r="B122" s="6" t="str">
        <f t="shared" si="0"/>
        <v/>
      </c>
      <c r="C122" s="9" t="str" cm="1">
        <f t="array" ref="C122">IF(ISNUMBER(A122),INDEX(BackgroundCalcs!$AV$2:$AV$500,'Grading Formulas'!$A122),"")</f>
        <v/>
      </c>
      <c r="D122" s="9" t="str" cm="1">
        <f t="array" ref="D122">IF(ISNUMBER($A122),INDEX(BackgroundCalcs!$AW$2:$AW$500,'Grading Formulas'!$A122),"")</f>
        <v/>
      </c>
      <c r="E122" s="4" t="str" cm="1">
        <f t="array" ref="E122">IF(ISNUMBER($A122),IF(A122=A121,"Reference2(False,True,"&amp;INDEX(BackgroundCalcs!$AX$2:$AX$500,'Grading Formulas'!$A122)&amp;")","Reference() AND MOEValue(.0001)"),"")</f>
        <v/>
      </c>
      <c r="F122" s="4" t="str">
        <f t="shared" si="5"/>
        <v/>
      </c>
      <c r="G122" s="4" t="str">
        <f t="shared" si="6"/>
        <v/>
      </c>
      <c r="H122" s="4" t="str">
        <f t="shared" si="7"/>
        <v/>
      </c>
    </row>
    <row r="123" spans="1:8">
      <c r="A123" s="6" t="str">
        <f t="shared" si="8"/>
        <v/>
      </c>
      <c r="B123" s="6" t="str">
        <f t="shared" si="0"/>
        <v/>
      </c>
      <c r="C123" s="9" t="str" cm="1">
        <f t="array" ref="C123">IF(ISNUMBER(A123),INDEX(BackgroundCalcs!$AV$2:$AV$500,'Grading Formulas'!$A123),"")</f>
        <v/>
      </c>
      <c r="D123" s="9" t="str" cm="1">
        <f t="array" ref="D123">IF(ISNUMBER($A123),INDEX(BackgroundCalcs!$AW$2:$AW$500,'Grading Formulas'!$A123),"")</f>
        <v/>
      </c>
      <c r="E123" s="4" t="str" cm="1">
        <f t="array" ref="E123">IF(ISNUMBER($A123),IF(A123=A122,"Reference2(False,True,"&amp;INDEX(BackgroundCalcs!$AX$2:$AX$500,'Grading Formulas'!$A123)&amp;")","Reference() AND MOEValue(.0001)"),"")</f>
        <v/>
      </c>
      <c r="F123" s="4" t="str">
        <f t="shared" si="5"/>
        <v/>
      </c>
      <c r="G123" s="4" t="str">
        <f t="shared" si="6"/>
        <v/>
      </c>
      <c r="H123" s="4" t="str">
        <f t="shared" si="7"/>
        <v/>
      </c>
    </row>
    <row r="124" spans="1:8">
      <c r="A124" s="6" t="str">
        <f t="shared" si="8"/>
        <v/>
      </c>
      <c r="B124" s="6" t="str">
        <f t="shared" si="0"/>
        <v/>
      </c>
      <c r="C124" s="9" t="str" cm="1">
        <f t="array" ref="C124">IF(ISNUMBER(A124),INDEX(BackgroundCalcs!$AV$2:$AV$500,'Grading Formulas'!$A124),"")</f>
        <v/>
      </c>
      <c r="D124" s="9" t="str" cm="1">
        <f t="array" ref="D124">IF(ISNUMBER($A124),INDEX(BackgroundCalcs!$AW$2:$AW$500,'Grading Formulas'!$A124),"")</f>
        <v/>
      </c>
      <c r="E124" s="4" t="str" cm="1">
        <f t="array" ref="E124">IF(ISNUMBER($A124),IF(A124=A123,"Reference2(False,True,"&amp;INDEX(BackgroundCalcs!$AX$2:$AX$500,'Grading Formulas'!$A124)&amp;")","Reference() AND MOEValue(.0001)"),"")</f>
        <v/>
      </c>
      <c r="F124" s="4" t="str">
        <f t="shared" si="5"/>
        <v/>
      </c>
      <c r="G124" s="4" t="str">
        <f t="shared" si="6"/>
        <v/>
      </c>
      <c r="H124" s="4" t="str">
        <f t="shared" si="7"/>
        <v/>
      </c>
    </row>
    <row r="125" spans="1:8">
      <c r="A125" s="6" t="str">
        <f t="shared" si="8"/>
        <v/>
      </c>
      <c r="B125" s="6" t="str">
        <f t="shared" si="0"/>
        <v/>
      </c>
      <c r="C125" s="9" t="str" cm="1">
        <f t="array" ref="C125">IF(ISNUMBER(A125),INDEX(BackgroundCalcs!$AV$2:$AV$500,'Grading Formulas'!$A125),"")</f>
        <v/>
      </c>
      <c r="D125" s="9" t="str" cm="1">
        <f t="array" ref="D125">IF(ISNUMBER($A125),INDEX(BackgroundCalcs!$AW$2:$AW$500,'Grading Formulas'!$A125),"")</f>
        <v/>
      </c>
      <c r="E125" s="4" t="str" cm="1">
        <f t="array" ref="E125">IF(ISNUMBER($A125),IF(A125=A124,"Reference2(False,True,"&amp;INDEX(BackgroundCalcs!$AX$2:$AX$500,'Grading Formulas'!$A125)&amp;")","Reference() AND MOEValue(.0001)"),"")</f>
        <v/>
      </c>
      <c r="F125" s="4" t="str">
        <f t="shared" si="5"/>
        <v/>
      </c>
      <c r="G125" s="4" t="str">
        <f t="shared" si="6"/>
        <v/>
      </c>
      <c r="H125" s="4" t="str">
        <f t="shared" si="7"/>
        <v/>
      </c>
    </row>
    <row r="126" spans="1:8">
      <c r="A126" s="6" t="str">
        <f t="shared" si="8"/>
        <v/>
      </c>
      <c r="B126" s="6" t="str">
        <f t="shared" si="0"/>
        <v/>
      </c>
      <c r="C126" s="9" t="str" cm="1">
        <f t="array" ref="C126">IF(ISNUMBER(A126),INDEX(BackgroundCalcs!$AV$2:$AV$500,'Grading Formulas'!$A126),"")</f>
        <v/>
      </c>
      <c r="D126" s="9" t="str" cm="1">
        <f t="array" ref="D126">IF(ISNUMBER($A126),INDEX(BackgroundCalcs!$AW$2:$AW$500,'Grading Formulas'!$A126),"")</f>
        <v/>
      </c>
      <c r="E126" s="4" t="str" cm="1">
        <f t="array" ref="E126">IF(ISNUMBER($A126),IF(A126=A125,"Reference2(False,True,"&amp;INDEX(BackgroundCalcs!$AX$2:$AX$500,'Grading Formulas'!$A126)&amp;")","Reference() AND MOEValue(.0001)"),"")</f>
        <v/>
      </c>
      <c r="F126" s="4" t="str">
        <f t="shared" si="5"/>
        <v/>
      </c>
      <c r="G126" s="4" t="str">
        <f t="shared" si="6"/>
        <v/>
      </c>
      <c r="H126" s="4" t="str">
        <f t="shared" si="7"/>
        <v/>
      </c>
    </row>
    <row r="127" spans="1:8">
      <c r="A127" s="6" t="str">
        <f t="shared" si="8"/>
        <v/>
      </c>
      <c r="B127" s="6" t="str">
        <f t="shared" si="0"/>
        <v/>
      </c>
      <c r="C127" s="9" t="str" cm="1">
        <f t="array" ref="C127">IF(ISNUMBER(A127),INDEX(BackgroundCalcs!$AV$2:$AV$500,'Grading Formulas'!$A127),"")</f>
        <v/>
      </c>
      <c r="D127" s="9" t="str" cm="1">
        <f t="array" ref="D127">IF(ISNUMBER($A127),INDEX(BackgroundCalcs!$AW$2:$AW$500,'Grading Formulas'!$A127),"")</f>
        <v/>
      </c>
      <c r="E127" s="4" t="str" cm="1">
        <f t="array" ref="E127">IF(ISNUMBER($A127),IF(A127=A126,"Reference2(False,True,"&amp;INDEX(BackgroundCalcs!$AX$2:$AX$500,'Grading Formulas'!$A127)&amp;")","Reference() AND MOEValue(.0001)"),"")</f>
        <v/>
      </c>
      <c r="F127" s="4" t="str">
        <f t="shared" si="5"/>
        <v/>
      </c>
      <c r="G127" s="4" t="str">
        <f t="shared" si="6"/>
        <v/>
      </c>
      <c r="H127" s="4" t="str">
        <f t="shared" si="7"/>
        <v/>
      </c>
    </row>
    <row r="128" spans="1:8">
      <c r="A128" s="6" t="str">
        <f t="shared" si="8"/>
        <v/>
      </c>
      <c r="B128" s="6" t="str">
        <f t="shared" si="0"/>
        <v/>
      </c>
      <c r="C128" s="9" t="str" cm="1">
        <f t="array" ref="C128">IF(ISNUMBER(A128),INDEX(BackgroundCalcs!$AV$2:$AV$500,'Grading Formulas'!$A128),"")</f>
        <v/>
      </c>
      <c r="D128" s="9" t="str" cm="1">
        <f t="array" ref="D128">IF(ISNUMBER($A128),INDEX(BackgroundCalcs!$AW$2:$AW$500,'Grading Formulas'!$A128),"")</f>
        <v/>
      </c>
      <c r="E128" s="4" t="str" cm="1">
        <f t="array" ref="E128">IF(ISNUMBER($A128),IF(A128=A127,"Reference2(False,True,"&amp;INDEX(BackgroundCalcs!$AX$2:$AX$500,'Grading Formulas'!$A128)&amp;")","Reference() AND MOEValue(.0001)"),"")</f>
        <v/>
      </c>
      <c r="F128" s="4" t="str">
        <f t="shared" si="5"/>
        <v/>
      </c>
      <c r="G128" s="4" t="str">
        <f t="shared" si="6"/>
        <v/>
      </c>
      <c r="H128" s="4" t="str">
        <f t="shared" si="7"/>
        <v/>
      </c>
    </row>
    <row r="129" spans="1:8">
      <c r="A129" s="6" t="str">
        <f t="shared" si="8"/>
        <v/>
      </c>
      <c r="B129" s="6" t="str">
        <f t="shared" si="0"/>
        <v/>
      </c>
      <c r="C129" s="9" t="str" cm="1">
        <f t="array" ref="C129">IF(ISNUMBER(A129),INDEX(BackgroundCalcs!$AV$2:$AV$500,'Grading Formulas'!$A129),"")</f>
        <v/>
      </c>
      <c r="D129" s="9" t="str" cm="1">
        <f t="array" ref="D129">IF(ISNUMBER($A129),INDEX(BackgroundCalcs!$AW$2:$AW$500,'Grading Formulas'!$A129),"")</f>
        <v/>
      </c>
      <c r="E129" s="4" t="str" cm="1">
        <f t="array" ref="E129">IF(ISNUMBER($A129),IF(A129=A128,"Reference2(False,True,"&amp;INDEX(BackgroundCalcs!$AX$2:$AX$500,'Grading Formulas'!$A129)&amp;")","Reference() AND MOEValue(.0001)"),"")</f>
        <v/>
      </c>
      <c r="F129" s="4" t="str">
        <f t="shared" si="5"/>
        <v/>
      </c>
      <c r="G129" s="4" t="str">
        <f t="shared" si="6"/>
        <v/>
      </c>
      <c r="H129" s="4" t="str">
        <f t="shared" si="7"/>
        <v/>
      </c>
    </row>
    <row r="130" spans="1:8">
      <c r="A130" s="6" t="str">
        <f t="shared" si="8"/>
        <v/>
      </c>
      <c r="B130" s="6" t="str">
        <f t="shared" si="0"/>
        <v/>
      </c>
      <c r="C130" s="9" t="str" cm="1">
        <f t="array" ref="C130">IF(ISNUMBER(A130),INDEX(BackgroundCalcs!$AV$2:$AV$500,'Grading Formulas'!$A130),"")</f>
        <v/>
      </c>
      <c r="D130" s="9" t="str" cm="1">
        <f t="array" ref="D130">IF(ISNUMBER($A130),INDEX(BackgroundCalcs!$AW$2:$AW$500,'Grading Formulas'!$A130),"")</f>
        <v/>
      </c>
      <c r="E130" s="4" t="str" cm="1">
        <f t="array" ref="E130">IF(ISNUMBER($A130),IF(A130=A129,"Reference2(False,True,"&amp;INDEX(BackgroundCalcs!$AX$2:$AX$500,'Grading Formulas'!$A130)&amp;")","Reference() AND MOEValue(.0001)"),"")</f>
        <v/>
      </c>
      <c r="F130" s="4" t="str">
        <f t="shared" si="5"/>
        <v/>
      </c>
      <c r="G130" s="4" t="str">
        <f t="shared" si="6"/>
        <v/>
      </c>
      <c r="H130" s="4" t="str">
        <f t="shared" si="7"/>
        <v/>
      </c>
    </row>
    <row r="131" spans="1:8">
      <c r="A131" s="6" t="str">
        <f t="shared" si="8"/>
        <v/>
      </c>
      <c r="B131" s="6" t="str">
        <f t="shared" si="0"/>
        <v/>
      </c>
      <c r="C131" s="9" t="str" cm="1">
        <f t="array" ref="C131">IF(ISNUMBER(A131),INDEX(BackgroundCalcs!$AV$2:$AV$500,'Grading Formulas'!$A131),"")</f>
        <v/>
      </c>
      <c r="D131" s="9" t="str" cm="1">
        <f t="array" ref="D131">IF(ISNUMBER($A131),INDEX(BackgroundCalcs!$AW$2:$AW$500,'Grading Formulas'!$A131),"")</f>
        <v/>
      </c>
      <c r="E131" s="4" t="str" cm="1">
        <f t="array" ref="E131">IF(ISNUMBER($A131),IF(A131=A130,"Reference2(False,True,"&amp;INDEX(BackgroundCalcs!$AX$2:$AX$500,'Grading Formulas'!$A131)&amp;")","Reference() AND MOEValue(.0001)"),"")</f>
        <v/>
      </c>
      <c r="F131" s="4" t="str">
        <f t="shared" ref="F131:F194" si="9">IF(ISNUMBER($A131),IF(A131=A130,-1000,1),"")</f>
        <v/>
      </c>
      <c r="G131" s="4" t="str">
        <f t="shared" ref="G131:G194" si="10">IF(ISNUMBER($A131),IF(A131=A130,"You should not be referencing the answer cell","Correct"),"")</f>
        <v/>
      </c>
      <c r="H131" s="4" t="str">
        <f t="shared" ref="H131:H194" si="11">IF(ISNUMBER($A131),IF(A131=A130,"N/A","Incorrect"),"")</f>
        <v/>
      </c>
    </row>
    <row r="132" spans="1:8">
      <c r="A132" s="6" t="str">
        <f t="shared" ref="A132:A195" si="12">IF(A130&lt;NumAnswers,A130+1,"")</f>
        <v/>
      </c>
      <c r="B132" s="6" t="str">
        <f t="shared" si="0"/>
        <v/>
      </c>
      <c r="C132" s="9" t="str" cm="1">
        <f t="array" ref="C132">IF(ISNUMBER(A132),INDEX(BackgroundCalcs!$AV$2:$AV$500,'Grading Formulas'!$A132),"")</f>
        <v/>
      </c>
      <c r="D132" s="9" t="str" cm="1">
        <f t="array" ref="D132">IF(ISNUMBER($A132),INDEX(BackgroundCalcs!$AW$2:$AW$500,'Grading Formulas'!$A132),"")</f>
        <v/>
      </c>
      <c r="E132" s="4" t="str" cm="1">
        <f t="array" ref="E132">IF(ISNUMBER($A132),IF(A132=A131,"Reference2(False,True,"&amp;INDEX(BackgroundCalcs!$AX$2:$AX$500,'Grading Formulas'!$A132)&amp;")","Reference() AND MOEValue(.0001)"),"")</f>
        <v/>
      </c>
      <c r="F132" s="4" t="str">
        <f t="shared" si="9"/>
        <v/>
      </c>
      <c r="G132" s="4" t="str">
        <f t="shared" si="10"/>
        <v/>
      </c>
      <c r="H132" s="4" t="str">
        <f t="shared" si="11"/>
        <v/>
      </c>
    </row>
    <row r="133" spans="1:8">
      <c r="A133" s="6" t="str">
        <f t="shared" si="12"/>
        <v/>
      </c>
      <c r="B133" s="6" t="str">
        <f t="shared" si="0"/>
        <v/>
      </c>
      <c r="C133" s="9" t="str" cm="1">
        <f t="array" ref="C133">IF(ISNUMBER(A133),INDEX(BackgroundCalcs!$AV$2:$AV$500,'Grading Formulas'!$A133),"")</f>
        <v/>
      </c>
      <c r="D133" s="9" t="str" cm="1">
        <f t="array" ref="D133">IF(ISNUMBER($A133),INDEX(BackgroundCalcs!$AW$2:$AW$500,'Grading Formulas'!$A133),"")</f>
        <v/>
      </c>
      <c r="E133" s="4" t="str" cm="1">
        <f t="array" ref="E133">IF(ISNUMBER($A133),IF(A133=A132,"Reference2(False,True,"&amp;INDEX(BackgroundCalcs!$AX$2:$AX$500,'Grading Formulas'!$A133)&amp;")","Reference() AND MOEValue(.0001)"),"")</f>
        <v/>
      </c>
      <c r="F133" s="4" t="str">
        <f t="shared" si="9"/>
        <v/>
      </c>
      <c r="G133" s="4" t="str">
        <f t="shared" si="10"/>
        <v/>
      </c>
      <c r="H133" s="4" t="str">
        <f t="shared" si="11"/>
        <v/>
      </c>
    </row>
    <row r="134" spans="1:8">
      <c r="A134" s="6" t="str">
        <f t="shared" si="12"/>
        <v/>
      </c>
      <c r="B134" s="6" t="str">
        <f t="shared" si="0"/>
        <v/>
      </c>
      <c r="C134" s="9" t="str" cm="1">
        <f t="array" ref="C134">IF(ISNUMBER(A134),INDEX(BackgroundCalcs!$AV$2:$AV$500,'Grading Formulas'!$A134),"")</f>
        <v/>
      </c>
      <c r="D134" s="9" t="str" cm="1">
        <f t="array" ref="D134">IF(ISNUMBER($A134),INDEX(BackgroundCalcs!$AW$2:$AW$500,'Grading Formulas'!$A134),"")</f>
        <v/>
      </c>
      <c r="E134" s="4" t="str" cm="1">
        <f t="array" ref="E134">IF(ISNUMBER($A134),IF(A134=A133,"Reference2(False,True,"&amp;INDEX(BackgroundCalcs!$AX$2:$AX$500,'Grading Formulas'!$A134)&amp;")","Reference() AND MOEValue(.0001)"),"")</f>
        <v/>
      </c>
      <c r="F134" s="4" t="str">
        <f t="shared" si="9"/>
        <v/>
      </c>
      <c r="G134" s="4" t="str">
        <f t="shared" si="10"/>
        <v/>
      </c>
      <c r="H134" s="4" t="str">
        <f t="shared" si="11"/>
        <v/>
      </c>
    </row>
    <row r="135" spans="1:8">
      <c r="A135" s="6" t="str">
        <f t="shared" si="12"/>
        <v/>
      </c>
      <c r="B135" s="6" t="str">
        <f t="shared" si="0"/>
        <v/>
      </c>
      <c r="C135" s="9" t="str" cm="1">
        <f t="array" ref="C135">IF(ISNUMBER(A135),INDEX(BackgroundCalcs!$AV$2:$AV$500,'Grading Formulas'!$A135),"")</f>
        <v/>
      </c>
      <c r="D135" s="9" t="str" cm="1">
        <f t="array" ref="D135">IF(ISNUMBER($A135),INDEX(BackgroundCalcs!$AW$2:$AW$500,'Grading Formulas'!$A135),"")</f>
        <v/>
      </c>
      <c r="E135" s="4" t="str" cm="1">
        <f t="array" ref="E135">IF(ISNUMBER($A135),IF(A135=A134,"Reference2(False,True,"&amp;INDEX(BackgroundCalcs!$AX$2:$AX$500,'Grading Formulas'!$A135)&amp;")","Reference() AND MOEValue(.0001)"),"")</f>
        <v/>
      </c>
      <c r="F135" s="4" t="str">
        <f t="shared" si="9"/>
        <v/>
      </c>
      <c r="G135" s="4" t="str">
        <f t="shared" si="10"/>
        <v/>
      </c>
      <c r="H135" s="4" t="str">
        <f t="shared" si="11"/>
        <v/>
      </c>
    </row>
    <row r="136" spans="1:8">
      <c r="A136" s="6" t="str">
        <f t="shared" si="12"/>
        <v/>
      </c>
      <c r="B136" s="6" t="str">
        <f t="shared" si="0"/>
        <v/>
      </c>
      <c r="C136" s="9" t="str" cm="1">
        <f t="array" ref="C136">IF(ISNUMBER(A136),INDEX(BackgroundCalcs!$AV$2:$AV$500,'Grading Formulas'!$A136),"")</f>
        <v/>
      </c>
      <c r="D136" s="9" t="str" cm="1">
        <f t="array" ref="D136">IF(ISNUMBER($A136),INDEX(BackgroundCalcs!$AW$2:$AW$500,'Grading Formulas'!$A136),"")</f>
        <v/>
      </c>
      <c r="E136" s="4" t="str" cm="1">
        <f t="array" ref="E136">IF(ISNUMBER($A136),IF(A136=A135,"Reference2(False,True,"&amp;INDEX(BackgroundCalcs!$AX$2:$AX$500,'Grading Formulas'!$A136)&amp;")","Reference() AND MOEValue(.0001)"),"")</f>
        <v/>
      </c>
      <c r="F136" s="4" t="str">
        <f t="shared" si="9"/>
        <v/>
      </c>
      <c r="G136" s="4" t="str">
        <f t="shared" si="10"/>
        <v/>
      </c>
      <c r="H136" s="4" t="str">
        <f t="shared" si="11"/>
        <v/>
      </c>
    </row>
    <row r="137" spans="1:8">
      <c r="A137" s="6" t="str">
        <f t="shared" si="12"/>
        <v/>
      </c>
      <c r="B137" s="6" t="str">
        <f t="shared" si="0"/>
        <v/>
      </c>
      <c r="C137" s="9" t="str" cm="1">
        <f t="array" ref="C137">IF(ISNUMBER(A137),INDEX(BackgroundCalcs!$AV$2:$AV$500,'Grading Formulas'!$A137),"")</f>
        <v/>
      </c>
      <c r="D137" s="9" t="str" cm="1">
        <f t="array" ref="D137">IF(ISNUMBER($A137),INDEX(BackgroundCalcs!$AW$2:$AW$500,'Grading Formulas'!$A137),"")</f>
        <v/>
      </c>
      <c r="E137" s="4" t="str" cm="1">
        <f t="array" ref="E137">IF(ISNUMBER($A137),IF(A137=A136,"Reference2(False,True,"&amp;INDEX(BackgroundCalcs!$AX$2:$AX$500,'Grading Formulas'!$A137)&amp;")","Reference() AND MOEValue(.0001)"),"")</f>
        <v/>
      </c>
      <c r="F137" s="4" t="str">
        <f t="shared" si="9"/>
        <v/>
      </c>
      <c r="G137" s="4" t="str">
        <f t="shared" si="10"/>
        <v/>
      </c>
      <c r="H137" s="4" t="str">
        <f t="shared" si="11"/>
        <v/>
      </c>
    </row>
    <row r="138" spans="1:8">
      <c r="A138" s="6" t="str">
        <f t="shared" si="12"/>
        <v/>
      </c>
      <c r="B138" s="6" t="str">
        <f t="shared" si="0"/>
        <v/>
      </c>
      <c r="C138" s="9" t="str" cm="1">
        <f t="array" ref="C138">IF(ISNUMBER(A138),INDEX(BackgroundCalcs!$AV$2:$AV$500,'Grading Formulas'!$A138),"")</f>
        <v/>
      </c>
      <c r="D138" s="9" t="str" cm="1">
        <f t="array" ref="D138">IF(ISNUMBER($A138),INDEX(BackgroundCalcs!$AW$2:$AW$500,'Grading Formulas'!$A138),"")</f>
        <v/>
      </c>
      <c r="E138" s="4" t="str" cm="1">
        <f t="array" ref="E138">IF(ISNUMBER($A138),IF(A138=A137,"Reference2(False,True,"&amp;INDEX(BackgroundCalcs!$AX$2:$AX$500,'Grading Formulas'!$A138)&amp;")","Reference() AND MOEValue(.0001)"),"")</f>
        <v/>
      </c>
      <c r="F138" s="4" t="str">
        <f t="shared" si="9"/>
        <v/>
      </c>
      <c r="G138" s="4" t="str">
        <f t="shared" si="10"/>
        <v/>
      </c>
      <c r="H138" s="4" t="str">
        <f t="shared" si="11"/>
        <v/>
      </c>
    </row>
    <row r="139" spans="1:8">
      <c r="A139" s="6" t="str">
        <f t="shared" si="12"/>
        <v/>
      </c>
      <c r="B139" s="6" t="str">
        <f t="shared" si="0"/>
        <v/>
      </c>
      <c r="C139" s="9" t="str" cm="1">
        <f t="array" ref="C139">IF(ISNUMBER(A139),INDEX(BackgroundCalcs!$AV$2:$AV$500,'Grading Formulas'!$A139),"")</f>
        <v/>
      </c>
      <c r="D139" s="9" t="str" cm="1">
        <f t="array" ref="D139">IF(ISNUMBER($A139),INDEX(BackgroundCalcs!$AW$2:$AW$500,'Grading Formulas'!$A139),"")</f>
        <v/>
      </c>
      <c r="E139" s="4" t="str" cm="1">
        <f t="array" ref="E139">IF(ISNUMBER($A139),IF(A139=A138,"Reference2(False,True,"&amp;INDEX(BackgroundCalcs!$AX$2:$AX$500,'Grading Formulas'!$A139)&amp;")","Reference() AND MOEValue(.0001)"),"")</f>
        <v/>
      </c>
      <c r="F139" s="4" t="str">
        <f t="shared" si="9"/>
        <v/>
      </c>
      <c r="G139" s="4" t="str">
        <f t="shared" si="10"/>
        <v/>
      </c>
      <c r="H139" s="4" t="str">
        <f t="shared" si="11"/>
        <v/>
      </c>
    </row>
    <row r="140" spans="1:8">
      <c r="A140" s="6" t="str">
        <f t="shared" si="12"/>
        <v/>
      </c>
      <c r="B140" s="6" t="str">
        <f t="shared" si="0"/>
        <v/>
      </c>
      <c r="C140" s="9" t="str" cm="1">
        <f t="array" ref="C140">IF(ISNUMBER(A140),INDEX(BackgroundCalcs!$AV$2:$AV$500,'Grading Formulas'!$A140),"")</f>
        <v/>
      </c>
      <c r="D140" s="9" t="str" cm="1">
        <f t="array" ref="D140">IF(ISNUMBER($A140),INDEX(BackgroundCalcs!$AW$2:$AW$500,'Grading Formulas'!$A140),"")</f>
        <v/>
      </c>
      <c r="E140" s="4" t="str" cm="1">
        <f t="array" ref="E140">IF(ISNUMBER($A140),IF(A140=A139,"Reference2(False,True,"&amp;INDEX(BackgroundCalcs!$AX$2:$AX$500,'Grading Formulas'!$A140)&amp;")","Reference() AND MOEValue(.0001)"),"")</f>
        <v/>
      </c>
      <c r="F140" s="4" t="str">
        <f t="shared" si="9"/>
        <v/>
      </c>
      <c r="G140" s="4" t="str">
        <f t="shared" si="10"/>
        <v/>
      </c>
      <c r="H140" s="4" t="str">
        <f t="shared" si="11"/>
        <v/>
      </c>
    </row>
    <row r="141" spans="1:8">
      <c r="A141" s="6" t="str">
        <f t="shared" si="12"/>
        <v/>
      </c>
      <c r="B141" s="6" t="str">
        <f t="shared" si="0"/>
        <v/>
      </c>
      <c r="C141" s="9" t="str" cm="1">
        <f t="array" ref="C141">IF(ISNUMBER(A141),INDEX(BackgroundCalcs!$AV$2:$AV$500,'Grading Formulas'!$A141),"")</f>
        <v/>
      </c>
      <c r="D141" s="9" t="str" cm="1">
        <f t="array" ref="D141">IF(ISNUMBER($A141),INDEX(BackgroundCalcs!$AW$2:$AW$500,'Grading Formulas'!$A141),"")</f>
        <v/>
      </c>
      <c r="E141" s="4" t="str" cm="1">
        <f t="array" ref="E141">IF(ISNUMBER($A141),IF(A141=A140,"Reference2(False,True,"&amp;INDEX(BackgroundCalcs!$AX$2:$AX$500,'Grading Formulas'!$A141)&amp;")","Reference() AND MOEValue(.0001)"),"")</f>
        <v/>
      </c>
      <c r="F141" s="4" t="str">
        <f t="shared" si="9"/>
        <v/>
      </c>
      <c r="G141" s="4" t="str">
        <f t="shared" si="10"/>
        <v/>
      </c>
      <c r="H141" s="4" t="str">
        <f t="shared" si="11"/>
        <v/>
      </c>
    </row>
    <row r="142" spans="1:8">
      <c r="A142" s="6" t="str">
        <f t="shared" si="12"/>
        <v/>
      </c>
      <c r="B142" s="6" t="str">
        <f t="shared" si="0"/>
        <v/>
      </c>
      <c r="C142" s="9" t="str" cm="1">
        <f t="array" ref="C142">IF(ISNUMBER(A142),INDEX(BackgroundCalcs!$AV$2:$AV$500,'Grading Formulas'!$A142),"")</f>
        <v/>
      </c>
      <c r="D142" s="9" t="str" cm="1">
        <f t="array" ref="D142">IF(ISNUMBER($A142),INDEX(BackgroundCalcs!$AW$2:$AW$500,'Grading Formulas'!$A142),"")</f>
        <v/>
      </c>
      <c r="E142" s="4" t="str" cm="1">
        <f t="array" ref="E142">IF(ISNUMBER($A142),IF(A142=A141,"Reference2(False,True,"&amp;INDEX(BackgroundCalcs!$AX$2:$AX$500,'Grading Formulas'!$A142)&amp;")","Reference() AND MOEValue(.0001)"),"")</f>
        <v/>
      </c>
      <c r="F142" s="4" t="str">
        <f t="shared" si="9"/>
        <v/>
      </c>
      <c r="G142" s="4" t="str">
        <f t="shared" si="10"/>
        <v/>
      </c>
      <c r="H142" s="4" t="str">
        <f t="shared" si="11"/>
        <v/>
      </c>
    </row>
    <row r="143" spans="1:8">
      <c r="A143" s="6" t="str">
        <f t="shared" si="12"/>
        <v/>
      </c>
      <c r="B143" s="6" t="str">
        <f t="shared" si="0"/>
        <v/>
      </c>
      <c r="C143" s="9" t="str" cm="1">
        <f t="array" ref="C143">IF(ISNUMBER(A143),INDEX(BackgroundCalcs!$AV$2:$AV$500,'Grading Formulas'!$A143),"")</f>
        <v/>
      </c>
      <c r="D143" s="9" t="str" cm="1">
        <f t="array" ref="D143">IF(ISNUMBER($A143),INDEX(BackgroundCalcs!$AW$2:$AW$500,'Grading Formulas'!$A143),"")</f>
        <v/>
      </c>
      <c r="E143" s="4" t="str" cm="1">
        <f t="array" ref="E143">IF(ISNUMBER($A143),IF(A143=A142,"Reference2(False,True,"&amp;INDEX(BackgroundCalcs!$AX$2:$AX$500,'Grading Formulas'!$A143)&amp;")","Reference() AND MOEValue(.0001)"),"")</f>
        <v/>
      </c>
      <c r="F143" s="4" t="str">
        <f t="shared" si="9"/>
        <v/>
      </c>
      <c r="G143" s="4" t="str">
        <f t="shared" si="10"/>
        <v/>
      </c>
      <c r="H143" s="4" t="str">
        <f t="shared" si="11"/>
        <v/>
      </c>
    </row>
    <row r="144" spans="1:8">
      <c r="A144" s="6" t="str">
        <f t="shared" si="12"/>
        <v/>
      </c>
      <c r="B144" s="6" t="str">
        <f t="shared" si="0"/>
        <v/>
      </c>
      <c r="C144" s="9" t="str" cm="1">
        <f t="array" ref="C144">IF(ISNUMBER(A144),INDEX(BackgroundCalcs!$AV$2:$AV$500,'Grading Formulas'!$A144),"")</f>
        <v/>
      </c>
      <c r="D144" s="9" t="str" cm="1">
        <f t="array" ref="D144">IF(ISNUMBER($A144),INDEX(BackgroundCalcs!$AW$2:$AW$500,'Grading Formulas'!$A144),"")</f>
        <v/>
      </c>
      <c r="E144" s="4" t="str" cm="1">
        <f t="array" ref="E144">IF(ISNUMBER($A144),IF(A144=A143,"Reference2(False,True,"&amp;INDEX(BackgroundCalcs!$AX$2:$AX$500,'Grading Formulas'!$A144)&amp;")","Reference() AND MOEValue(.0001)"),"")</f>
        <v/>
      </c>
      <c r="F144" s="4" t="str">
        <f t="shared" si="9"/>
        <v/>
      </c>
      <c r="G144" s="4" t="str">
        <f t="shared" si="10"/>
        <v/>
      </c>
      <c r="H144" s="4" t="str">
        <f t="shared" si="11"/>
        <v/>
      </c>
    </row>
    <row r="145" spans="1:8">
      <c r="A145" s="6" t="str">
        <f t="shared" si="12"/>
        <v/>
      </c>
      <c r="B145" s="6" t="str">
        <f t="shared" si="0"/>
        <v/>
      </c>
      <c r="C145" s="9" t="str" cm="1">
        <f t="array" ref="C145">IF(ISNUMBER(A145),INDEX(BackgroundCalcs!$AV$2:$AV$500,'Grading Formulas'!$A145),"")</f>
        <v/>
      </c>
      <c r="D145" s="9" t="str" cm="1">
        <f t="array" ref="D145">IF(ISNUMBER($A145),INDEX(BackgroundCalcs!$AW$2:$AW$500,'Grading Formulas'!$A145),"")</f>
        <v/>
      </c>
      <c r="E145" s="4" t="str" cm="1">
        <f t="array" ref="E145">IF(ISNUMBER($A145),IF(A145=A144,"Reference2(False,True,"&amp;INDEX(BackgroundCalcs!$AX$2:$AX$500,'Grading Formulas'!$A145)&amp;")","Reference() AND MOEValue(.0001)"),"")</f>
        <v/>
      </c>
      <c r="F145" s="4" t="str">
        <f t="shared" si="9"/>
        <v/>
      </c>
      <c r="G145" s="4" t="str">
        <f t="shared" si="10"/>
        <v/>
      </c>
      <c r="H145" s="4" t="str">
        <f t="shared" si="11"/>
        <v/>
      </c>
    </row>
    <row r="146" spans="1:8">
      <c r="A146" s="6" t="str">
        <f t="shared" si="12"/>
        <v/>
      </c>
      <c r="B146" s="6" t="str">
        <f t="shared" si="0"/>
        <v/>
      </c>
      <c r="C146" s="9" t="str" cm="1">
        <f t="array" ref="C146">IF(ISNUMBER(A146),INDEX(BackgroundCalcs!$AV$2:$AV$500,'Grading Formulas'!$A146),"")</f>
        <v/>
      </c>
      <c r="D146" s="9" t="str" cm="1">
        <f t="array" ref="D146">IF(ISNUMBER($A146),INDEX(BackgroundCalcs!$AW$2:$AW$500,'Grading Formulas'!$A146),"")</f>
        <v/>
      </c>
      <c r="E146" s="4" t="str" cm="1">
        <f t="array" ref="E146">IF(ISNUMBER($A146),IF(A146=A145,"Reference2(False,True,"&amp;INDEX(BackgroundCalcs!$AX$2:$AX$500,'Grading Formulas'!$A146)&amp;")","Reference() AND MOEValue(.0001)"),"")</f>
        <v/>
      </c>
      <c r="F146" s="4" t="str">
        <f t="shared" si="9"/>
        <v/>
      </c>
      <c r="G146" s="4" t="str">
        <f t="shared" si="10"/>
        <v/>
      </c>
      <c r="H146" s="4" t="str">
        <f t="shared" si="11"/>
        <v/>
      </c>
    </row>
    <row r="147" spans="1:8">
      <c r="A147" s="6" t="str">
        <f t="shared" si="12"/>
        <v/>
      </c>
      <c r="B147" s="6" t="str">
        <f t="shared" si="0"/>
        <v/>
      </c>
      <c r="C147" s="9" t="str" cm="1">
        <f t="array" ref="C147">IF(ISNUMBER(A147),INDEX(BackgroundCalcs!$AV$2:$AV$500,'Grading Formulas'!$A147),"")</f>
        <v/>
      </c>
      <c r="D147" s="9" t="str" cm="1">
        <f t="array" ref="D147">IF(ISNUMBER($A147),INDEX(BackgroundCalcs!$AW$2:$AW$500,'Grading Formulas'!$A147),"")</f>
        <v/>
      </c>
      <c r="E147" s="4" t="str" cm="1">
        <f t="array" ref="E147">IF(ISNUMBER($A147),IF(A147=A146,"Reference2(False,True,"&amp;INDEX(BackgroundCalcs!$AX$2:$AX$500,'Grading Formulas'!$A147)&amp;")","Reference() AND MOEValue(.0001)"),"")</f>
        <v/>
      </c>
      <c r="F147" s="4" t="str">
        <f t="shared" si="9"/>
        <v/>
      </c>
      <c r="G147" s="4" t="str">
        <f t="shared" si="10"/>
        <v/>
      </c>
      <c r="H147" s="4" t="str">
        <f t="shared" si="11"/>
        <v/>
      </c>
    </row>
    <row r="148" spans="1:8">
      <c r="A148" s="6" t="str">
        <f t="shared" si="12"/>
        <v/>
      </c>
      <c r="B148" s="6" t="str">
        <f t="shared" si="0"/>
        <v/>
      </c>
      <c r="C148" s="9" t="str" cm="1">
        <f t="array" ref="C148">IF(ISNUMBER(A148),INDEX(BackgroundCalcs!$AV$2:$AV$500,'Grading Formulas'!$A148),"")</f>
        <v/>
      </c>
      <c r="D148" s="9" t="str" cm="1">
        <f t="array" ref="D148">IF(ISNUMBER($A148),INDEX(BackgroundCalcs!$AW$2:$AW$500,'Grading Formulas'!$A148),"")</f>
        <v/>
      </c>
      <c r="E148" s="4" t="str" cm="1">
        <f t="array" ref="E148">IF(ISNUMBER($A148),IF(A148=A147,"Reference2(False,True,"&amp;INDEX(BackgroundCalcs!$AX$2:$AX$500,'Grading Formulas'!$A148)&amp;")","Reference() AND MOEValue(.0001)"),"")</f>
        <v/>
      </c>
      <c r="F148" s="4" t="str">
        <f t="shared" si="9"/>
        <v/>
      </c>
      <c r="G148" s="4" t="str">
        <f t="shared" si="10"/>
        <v/>
      </c>
      <c r="H148" s="4" t="str">
        <f t="shared" si="11"/>
        <v/>
      </c>
    </row>
    <row r="149" spans="1:8">
      <c r="A149" s="6" t="str">
        <f t="shared" si="12"/>
        <v/>
      </c>
      <c r="B149" s="6" t="str">
        <f t="shared" si="0"/>
        <v/>
      </c>
      <c r="C149" s="9" t="str" cm="1">
        <f t="array" ref="C149">IF(ISNUMBER(A149),INDEX(BackgroundCalcs!$AV$2:$AV$500,'Grading Formulas'!$A149),"")</f>
        <v/>
      </c>
      <c r="D149" s="9" t="str" cm="1">
        <f t="array" ref="D149">IF(ISNUMBER($A149),INDEX(BackgroundCalcs!$AW$2:$AW$500,'Grading Formulas'!$A149),"")</f>
        <v/>
      </c>
      <c r="E149" s="4" t="str" cm="1">
        <f t="array" ref="E149">IF(ISNUMBER($A149),IF(A149=A148,"Reference2(False,True,"&amp;INDEX(BackgroundCalcs!$AX$2:$AX$500,'Grading Formulas'!$A149)&amp;")","Reference() AND MOEValue(.0001)"),"")</f>
        <v/>
      </c>
      <c r="F149" s="4" t="str">
        <f t="shared" si="9"/>
        <v/>
      </c>
      <c r="G149" s="4" t="str">
        <f t="shared" si="10"/>
        <v/>
      </c>
      <c r="H149" s="4" t="str">
        <f t="shared" si="11"/>
        <v/>
      </c>
    </row>
    <row r="150" spans="1:8">
      <c r="A150" s="6" t="str">
        <f t="shared" si="12"/>
        <v/>
      </c>
      <c r="B150" s="6" t="str">
        <f t="shared" si="0"/>
        <v/>
      </c>
      <c r="C150" s="9" t="str" cm="1">
        <f t="array" ref="C150">IF(ISNUMBER(A150),INDEX(BackgroundCalcs!$AV$2:$AV$500,'Grading Formulas'!$A150),"")</f>
        <v/>
      </c>
      <c r="D150" s="9" t="str" cm="1">
        <f t="array" ref="D150">IF(ISNUMBER($A150),INDEX(BackgroundCalcs!$AW$2:$AW$500,'Grading Formulas'!$A150),"")</f>
        <v/>
      </c>
      <c r="E150" s="4" t="str" cm="1">
        <f t="array" ref="E150">IF(ISNUMBER($A150),IF(A150=A149,"Reference2(False,True,"&amp;INDEX(BackgroundCalcs!$AX$2:$AX$500,'Grading Formulas'!$A150)&amp;")","Reference() AND MOEValue(.0001)"),"")</f>
        <v/>
      </c>
      <c r="F150" s="4" t="str">
        <f t="shared" si="9"/>
        <v/>
      </c>
      <c r="G150" s="4" t="str">
        <f t="shared" si="10"/>
        <v/>
      </c>
      <c r="H150" s="4" t="str">
        <f t="shared" si="11"/>
        <v/>
      </c>
    </row>
    <row r="151" spans="1:8">
      <c r="A151" s="6" t="str">
        <f t="shared" si="12"/>
        <v/>
      </c>
      <c r="B151" s="6" t="str">
        <f t="shared" si="0"/>
        <v/>
      </c>
      <c r="C151" s="9" t="str" cm="1">
        <f t="array" ref="C151">IF(ISNUMBER(A151),INDEX(BackgroundCalcs!$AV$2:$AV$500,'Grading Formulas'!$A151),"")</f>
        <v/>
      </c>
      <c r="D151" s="9" t="str" cm="1">
        <f t="array" ref="D151">IF(ISNUMBER($A151),INDEX(BackgroundCalcs!$AW$2:$AW$500,'Grading Formulas'!$A151),"")</f>
        <v/>
      </c>
      <c r="E151" s="4" t="str" cm="1">
        <f t="array" ref="E151">IF(ISNUMBER($A151),IF(A151=A150,"Reference2(False,True,"&amp;INDEX(BackgroundCalcs!$AX$2:$AX$500,'Grading Formulas'!$A151)&amp;")","Reference() AND MOEValue(.0001)"),"")</f>
        <v/>
      </c>
      <c r="F151" s="4" t="str">
        <f t="shared" si="9"/>
        <v/>
      </c>
      <c r="G151" s="4" t="str">
        <f t="shared" si="10"/>
        <v/>
      </c>
      <c r="H151" s="4" t="str">
        <f t="shared" si="11"/>
        <v/>
      </c>
    </row>
    <row r="152" spans="1:8">
      <c r="A152" s="6" t="str">
        <f t="shared" si="12"/>
        <v/>
      </c>
      <c r="B152" s="6" t="str">
        <f t="shared" si="0"/>
        <v/>
      </c>
      <c r="C152" s="9" t="str" cm="1">
        <f t="array" ref="C152">IF(ISNUMBER(A152),INDEX(BackgroundCalcs!$AV$2:$AV$500,'Grading Formulas'!$A152),"")</f>
        <v/>
      </c>
      <c r="D152" s="9" t="str" cm="1">
        <f t="array" ref="D152">IF(ISNUMBER($A152),INDEX(BackgroundCalcs!$AW$2:$AW$500,'Grading Formulas'!$A152),"")</f>
        <v/>
      </c>
      <c r="E152" s="4" t="str" cm="1">
        <f t="array" ref="E152">IF(ISNUMBER($A152),IF(A152=A151,"Reference2(False,True,"&amp;INDEX(BackgroundCalcs!$AX$2:$AX$500,'Grading Formulas'!$A152)&amp;")","Reference() AND MOEValue(.0001)"),"")</f>
        <v/>
      </c>
      <c r="F152" s="4" t="str">
        <f t="shared" si="9"/>
        <v/>
      </c>
      <c r="G152" s="4" t="str">
        <f t="shared" si="10"/>
        <v/>
      </c>
      <c r="H152" s="4" t="str">
        <f t="shared" si="11"/>
        <v/>
      </c>
    </row>
    <row r="153" spans="1:8">
      <c r="A153" s="6" t="str">
        <f t="shared" si="12"/>
        <v/>
      </c>
      <c r="B153" s="6" t="str">
        <f t="shared" si="0"/>
        <v/>
      </c>
      <c r="C153" s="9" t="str" cm="1">
        <f t="array" ref="C153">IF(ISNUMBER(A153),INDEX(BackgroundCalcs!$AV$2:$AV$500,'Grading Formulas'!$A153),"")</f>
        <v/>
      </c>
      <c r="D153" s="9" t="str" cm="1">
        <f t="array" ref="D153">IF(ISNUMBER($A153),INDEX(BackgroundCalcs!$AW$2:$AW$500,'Grading Formulas'!$A153),"")</f>
        <v/>
      </c>
      <c r="E153" s="4" t="str" cm="1">
        <f t="array" ref="E153">IF(ISNUMBER($A153),IF(A153=A152,"Reference2(False,True,"&amp;INDEX(BackgroundCalcs!$AX$2:$AX$500,'Grading Formulas'!$A153)&amp;")","Reference() AND MOEValue(.0001)"),"")</f>
        <v/>
      </c>
      <c r="F153" s="4" t="str">
        <f t="shared" si="9"/>
        <v/>
      </c>
      <c r="G153" s="4" t="str">
        <f t="shared" si="10"/>
        <v/>
      </c>
      <c r="H153" s="4" t="str">
        <f t="shared" si="11"/>
        <v/>
      </c>
    </row>
    <row r="154" spans="1:8">
      <c r="A154" s="6" t="str">
        <f t="shared" si="12"/>
        <v/>
      </c>
      <c r="B154" s="6" t="str">
        <f t="shared" si="0"/>
        <v/>
      </c>
      <c r="C154" s="9" t="str" cm="1">
        <f t="array" ref="C154">IF(ISNUMBER(A154),INDEX(BackgroundCalcs!$AV$2:$AV$500,'Grading Formulas'!$A154),"")</f>
        <v/>
      </c>
      <c r="D154" s="9" t="str" cm="1">
        <f t="array" ref="D154">IF(ISNUMBER($A154),INDEX(BackgroundCalcs!$AW$2:$AW$500,'Grading Formulas'!$A154),"")</f>
        <v/>
      </c>
      <c r="E154" s="4" t="str" cm="1">
        <f t="array" ref="E154">IF(ISNUMBER($A154),IF(A154=A153,"Reference2(False,True,"&amp;INDEX(BackgroundCalcs!$AX$2:$AX$500,'Grading Formulas'!$A154)&amp;")","Reference() AND MOEValue(.0001)"),"")</f>
        <v/>
      </c>
      <c r="F154" s="4" t="str">
        <f t="shared" si="9"/>
        <v/>
      </c>
      <c r="G154" s="4" t="str">
        <f t="shared" si="10"/>
        <v/>
      </c>
      <c r="H154" s="4" t="str">
        <f t="shared" si="11"/>
        <v/>
      </c>
    </row>
    <row r="155" spans="1:8">
      <c r="A155" s="6" t="str">
        <f t="shared" si="12"/>
        <v/>
      </c>
      <c r="B155" s="6" t="str">
        <f t="shared" si="0"/>
        <v/>
      </c>
      <c r="C155" s="9" t="str" cm="1">
        <f t="array" ref="C155">IF(ISNUMBER(A155),INDEX(BackgroundCalcs!$AV$2:$AV$500,'Grading Formulas'!$A155),"")</f>
        <v/>
      </c>
      <c r="D155" s="9" t="str" cm="1">
        <f t="array" ref="D155">IF(ISNUMBER($A155),INDEX(BackgroundCalcs!$AW$2:$AW$500,'Grading Formulas'!$A155),"")</f>
        <v/>
      </c>
      <c r="E155" s="4" t="str" cm="1">
        <f t="array" ref="E155">IF(ISNUMBER($A155),IF(A155=A154,"Reference2(False,True,"&amp;INDEX(BackgroundCalcs!$AX$2:$AX$500,'Grading Formulas'!$A155)&amp;")","Reference() AND MOEValue(.0001)"),"")</f>
        <v/>
      </c>
      <c r="F155" s="4" t="str">
        <f t="shared" si="9"/>
        <v/>
      </c>
      <c r="G155" s="4" t="str">
        <f t="shared" si="10"/>
        <v/>
      </c>
      <c r="H155" s="4" t="str">
        <f t="shared" si="11"/>
        <v/>
      </c>
    </row>
    <row r="156" spans="1:8">
      <c r="A156" s="6" t="str">
        <f t="shared" si="12"/>
        <v/>
      </c>
      <c r="B156" s="6" t="str">
        <f t="shared" si="0"/>
        <v/>
      </c>
      <c r="C156" s="9" t="str" cm="1">
        <f t="array" ref="C156">IF(ISNUMBER(A156),INDEX(BackgroundCalcs!$AV$2:$AV$500,'Grading Formulas'!$A156),"")</f>
        <v/>
      </c>
      <c r="D156" s="9" t="str" cm="1">
        <f t="array" ref="D156">IF(ISNUMBER($A156),INDEX(BackgroundCalcs!$AW$2:$AW$500,'Grading Formulas'!$A156),"")</f>
        <v/>
      </c>
      <c r="E156" s="4" t="str" cm="1">
        <f t="array" ref="E156">IF(ISNUMBER($A156),IF(A156=A155,"Reference2(False,True,"&amp;INDEX(BackgroundCalcs!$AX$2:$AX$500,'Grading Formulas'!$A156)&amp;")","Reference() AND MOEValue(.0001)"),"")</f>
        <v/>
      </c>
      <c r="F156" s="4" t="str">
        <f t="shared" si="9"/>
        <v/>
      </c>
      <c r="G156" s="4" t="str">
        <f t="shared" si="10"/>
        <v/>
      </c>
      <c r="H156" s="4" t="str">
        <f t="shared" si="11"/>
        <v/>
      </c>
    </row>
    <row r="157" spans="1:8">
      <c r="A157" s="6" t="str">
        <f t="shared" si="12"/>
        <v/>
      </c>
      <c r="B157" s="6" t="str">
        <f t="shared" si="0"/>
        <v/>
      </c>
      <c r="C157" s="9" t="str" cm="1">
        <f t="array" ref="C157">IF(ISNUMBER(A157),INDEX(BackgroundCalcs!$AV$2:$AV$500,'Grading Formulas'!$A157),"")</f>
        <v/>
      </c>
      <c r="D157" s="9" t="str" cm="1">
        <f t="array" ref="D157">IF(ISNUMBER($A157),INDEX(BackgroundCalcs!$AW$2:$AW$500,'Grading Formulas'!$A157),"")</f>
        <v/>
      </c>
      <c r="E157" s="4" t="str" cm="1">
        <f t="array" ref="E157">IF(ISNUMBER($A157),IF(A157=A156,"Reference2(False,True,"&amp;INDEX(BackgroundCalcs!$AX$2:$AX$500,'Grading Formulas'!$A157)&amp;")","Reference() AND MOEValue(.0001)"),"")</f>
        <v/>
      </c>
      <c r="F157" s="4" t="str">
        <f t="shared" si="9"/>
        <v/>
      </c>
      <c r="G157" s="4" t="str">
        <f t="shared" si="10"/>
        <v/>
      </c>
      <c r="H157" s="4" t="str">
        <f t="shared" si="11"/>
        <v/>
      </c>
    </row>
    <row r="158" spans="1:8">
      <c r="A158" s="6" t="str">
        <f t="shared" si="12"/>
        <v/>
      </c>
      <c r="B158" s="6" t="str">
        <f t="shared" si="0"/>
        <v/>
      </c>
      <c r="C158" s="9" t="str" cm="1">
        <f t="array" ref="C158">IF(ISNUMBER(A158),INDEX(BackgroundCalcs!$AV$2:$AV$500,'Grading Formulas'!$A158),"")</f>
        <v/>
      </c>
      <c r="D158" s="9" t="str" cm="1">
        <f t="array" ref="D158">IF(ISNUMBER($A158),INDEX(BackgroundCalcs!$AW$2:$AW$500,'Grading Formulas'!$A158),"")</f>
        <v/>
      </c>
      <c r="E158" s="4" t="str" cm="1">
        <f t="array" ref="E158">IF(ISNUMBER($A158),IF(A158=A157,"Reference2(False,True,"&amp;INDEX(BackgroundCalcs!$AX$2:$AX$500,'Grading Formulas'!$A158)&amp;")","Reference() AND MOEValue(.0001)"),"")</f>
        <v/>
      </c>
      <c r="F158" s="4" t="str">
        <f t="shared" si="9"/>
        <v/>
      </c>
      <c r="G158" s="4" t="str">
        <f t="shared" si="10"/>
        <v/>
      </c>
      <c r="H158" s="4" t="str">
        <f t="shared" si="11"/>
        <v/>
      </c>
    </row>
    <row r="159" spans="1:8">
      <c r="A159" s="6" t="str">
        <f t="shared" si="12"/>
        <v/>
      </c>
      <c r="B159" s="6" t="str">
        <f t="shared" si="0"/>
        <v/>
      </c>
      <c r="C159" s="9" t="str" cm="1">
        <f t="array" ref="C159">IF(ISNUMBER(A159),INDEX(BackgroundCalcs!$AV$2:$AV$500,'Grading Formulas'!$A159),"")</f>
        <v/>
      </c>
      <c r="D159" s="9" t="str" cm="1">
        <f t="array" ref="D159">IF(ISNUMBER($A159),INDEX(BackgroundCalcs!$AW$2:$AW$500,'Grading Formulas'!$A159),"")</f>
        <v/>
      </c>
      <c r="E159" s="4" t="str" cm="1">
        <f t="array" ref="E159">IF(ISNUMBER($A159),IF(A159=A158,"Reference2(False,True,"&amp;INDEX(BackgroundCalcs!$AX$2:$AX$500,'Grading Formulas'!$A159)&amp;")","Reference() AND MOEValue(.0001)"),"")</f>
        <v/>
      </c>
      <c r="F159" s="4" t="str">
        <f t="shared" si="9"/>
        <v/>
      </c>
      <c r="G159" s="4" t="str">
        <f t="shared" si="10"/>
        <v/>
      </c>
      <c r="H159" s="4" t="str">
        <f t="shared" si="11"/>
        <v/>
      </c>
    </row>
    <row r="160" spans="1:8">
      <c r="A160" s="6" t="str">
        <f t="shared" si="12"/>
        <v/>
      </c>
      <c r="B160" s="6" t="str">
        <f t="shared" si="0"/>
        <v/>
      </c>
      <c r="C160" s="9" t="str" cm="1">
        <f t="array" ref="C160">IF(ISNUMBER(A160),INDEX(BackgroundCalcs!$AV$2:$AV$500,'Grading Formulas'!$A160),"")</f>
        <v/>
      </c>
      <c r="D160" s="9" t="str" cm="1">
        <f t="array" ref="D160">IF(ISNUMBER($A160),INDEX(BackgroundCalcs!$AW$2:$AW$500,'Grading Formulas'!$A160),"")</f>
        <v/>
      </c>
      <c r="E160" s="4" t="str" cm="1">
        <f t="array" ref="E160">IF(ISNUMBER($A160),IF(A160=A159,"Reference2(False,True,"&amp;INDEX(BackgroundCalcs!$AX$2:$AX$500,'Grading Formulas'!$A160)&amp;")","Reference() AND MOEValue(.0001)"),"")</f>
        <v/>
      </c>
      <c r="F160" s="4" t="str">
        <f t="shared" si="9"/>
        <v/>
      </c>
      <c r="G160" s="4" t="str">
        <f t="shared" si="10"/>
        <v/>
      </c>
      <c r="H160" s="4" t="str">
        <f t="shared" si="11"/>
        <v/>
      </c>
    </row>
    <row r="161" spans="1:8">
      <c r="A161" s="6" t="str">
        <f t="shared" si="12"/>
        <v/>
      </c>
      <c r="B161" s="6" t="str">
        <f t="shared" si="0"/>
        <v/>
      </c>
      <c r="C161" s="9" t="str" cm="1">
        <f t="array" ref="C161">IF(ISNUMBER(A161),INDEX(BackgroundCalcs!$AV$2:$AV$500,'Grading Formulas'!$A161),"")</f>
        <v/>
      </c>
      <c r="D161" s="9" t="str" cm="1">
        <f t="array" ref="D161">IF(ISNUMBER($A161),INDEX(BackgroundCalcs!$AW$2:$AW$500,'Grading Formulas'!$A161),"")</f>
        <v/>
      </c>
      <c r="E161" s="4" t="str" cm="1">
        <f t="array" ref="E161">IF(ISNUMBER($A161),IF(A161=A160,"Reference2(False,True,"&amp;INDEX(BackgroundCalcs!$AX$2:$AX$500,'Grading Formulas'!$A161)&amp;")","Reference() AND MOEValue(.0001)"),"")</f>
        <v/>
      </c>
      <c r="F161" s="4" t="str">
        <f t="shared" si="9"/>
        <v/>
      </c>
      <c r="G161" s="4" t="str">
        <f t="shared" si="10"/>
        <v/>
      </c>
      <c r="H161" s="4" t="str">
        <f t="shared" si="11"/>
        <v/>
      </c>
    </row>
    <row r="162" spans="1:8">
      <c r="A162" s="6" t="str">
        <f t="shared" si="12"/>
        <v/>
      </c>
      <c r="B162" s="6" t="str">
        <f t="shared" si="0"/>
        <v/>
      </c>
      <c r="C162" s="9" t="str" cm="1">
        <f t="array" ref="C162">IF(ISNUMBER(A162),INDEX(BackgroundCalcs!$AV$2:$AV$500,'Grading Formulas'!$A162),"")</f>
        <v/>
      </c>
      <c r="D162" s="9" t="str" cm="1">
        <f t="array" ref="D162">IF(ISNUMBER($A162),INDEX(BackgroundCalcs!$AW$2:$AW$500,'Grading Formulas'!$A162),"")</f>
        <v/>
      </c>
      <c r="E162" s="4" t="str" cm="1">
        <f t="array" ref="E162">IF(ISNUMBER($A162),IF(A162=A161,"Reference2(False,True,"&amp;INDEX(BackgroundCalcs!$AX$2:$AX$500,'Grading Formulas'!$A162)&amp;")","Reference() AND MOEValue(.0001)"),"")</f>
        <v/>
      </c>
      <c r="F162" s="4" t="str">
        <f t="shared" si="9"/>
        <v/>
      </c>
      <c r="G162" s="4" t="str">
        <f t="shared" si="10"/>
        <v/>
      </c>
      <c r="H162" s="4" t="str">
        <f t="shared" si="11"/>
        <v/>
      </c>
    </row>
    <row r="163" spans="1:8">
      <c r="A163" s="6" t="str">
        <f t="shared" si="12"/>
        <v/>
      </c>
      <c r="B163" s="6" t="str">
        <f t="shared" si="0"/>
        <v/>
      </c>
      <c r="C163" s="9" t="str" cm="1">
        <f t="array" ref="C163">IF(ISNUMBER(A163),INDEX(BackgroundCalcs!$AV$2:$AV$500,'Grading Formulas'!$A163),"")</f>
        <v/>
      </c>
      <c r="D163" s="9" t="str" cm="1">
        <f t="array" ref="D163">IF(ISNUMBER($A163),INDEX(BackgroundCalcs!$AW$2:$AW$500,'Grading Formulas'!$A163),"")</f>
        <v/>
      </c>
      <c r="E163" s="4" t="str" cm="1">
        <f t="array" ref="E163">IF(ISNUMBER($A163),IF(A163=A162,"Reference2(False,True,"&amp;INDEX(BackgroundCalcs!$AX$2:$AX$500,'Grading Formulas'!$A163)&amp;")","Reference() AND MOEValue(.0001)"),"")</f>
        <v/>
      </c>
      <c r="F163" s="4" t="str">
        <f t="shared" si="9"/>
        <v/>
      </c>
      <c r="G163" s="4" t="str">
        <f t="shared" si="10"/>
        <v/>
      </c>
      <c r="H163" s="4" t="str">
        <f t="shared" si="11"/>
        <v/>
      </c>
    </row>
    <row r="164" spans="1:8">
      <c r="A164" s="6" t="str">
        <f t="shared" si="12"/>
        <v/>
      </c>
      <c r="B164" s="6" t="str">
        <f t="shared" si="0"/>
        <v/>
      </c>
      <c r="C164" s="9" t="str" cm="1">
        <f t="array" ref="C164">IF(ISNUMBER(A164),INDEX(BackgroundCalcs!$AV$2:$AV$500,'Grading Formulas'!$A164),"")</f>
        <v/>
      </c>
      <c r="D164" s="9" t="str" cm="1">
        <f t="array" ref="D164">IF(ISNUMBER($A164),INDEX(BackgroundCalcs!$AW$2:$AW$500,'Grading Formulas'!$A164),"")</f>
        <v/>
      </c>
      <c r="E164" s="4" t="str" cm="1">
        <f t="array" ref="E164">IF(ISNUMBER($A164),IF(A164=A163,"Reference2(False,True,"&amp;INDEX(BackgroundCalcs!$AX$2:$AX$500,'Grading Formulas'!$A164)&amp;")","Reference() AND MOEValue(.0001)"),"")</f>
        <v/>
      </c>
      <c r="F164" s="4" t="str">
        <f t="shared" si="9"/>
        <v/>
      </c>
      <c r="G164" s="4" t="str">
        <f t="shared" si="10"/>
        <v/>
      </c>
      <c r="H164" s="4" t="str">
        <f t="shared" si="11"/>
        <v/>
      </c>
    </row>
    <row r="165" spans="1:8">
      <c r="A165" s="6" t="str">
        <f t="shared" si="12"/>
        <v/>
      </c>
      <c r="B165" s="6" t="str">
        <f t="shared" si="0"/>
        <v/>
      </c>
      <c r="C165" s="9" t="str" cm="1">
        <f t="array" ref="C165">IF(ISNUMBER(A165),INDEX(BackgroundCalcs!$AV$2:$AV$500,'Grading Formulas'!$A165),"")</f>
        <v/>
      </c>
      <c r="D165" s="9" t="str" cm="1">
        <f t="array" ref="D165">IF(ISNUMBER($A165),INDEX(BackgroundCalcs!$AW$2:$AW$500,'Grading Formulas'!$A165),"")</f>
        <v/>
      </c>
      <c r="E165" s="4" t="str" cm="1">
        <f t="array" ref="E165">IF(ISNUMBER($A165),IF(A165=A164,"Reference2(False,True,"&amp;INDEX(BackgroundCalcs!$AX$2:$AX$500,'Grading Formulas'!$A165)&amp;")","Reference() AND MOEValue(.0001)"),"")</f>
        <v/>
      </c>
      <c r="F165" s="4" t="str">
        <f t="shared" si="9"/>
        <v/>
      </c>
      <c r="G165" s="4" t="str">
        <f t="shared" si="10"/>
        <v/>
      </c>
      <c r="H165" s="4" t="str">
        <f t="shared" si="11"/>
        <v/>
      </c>
    </row>
    <row r="166" spans="1:8">
      <c r="A166" s="6" t="str">
        <f t="shared" si="12"/>
        <v/>
      </c>
      <c r="B166" s="6" t="str">
        <f t="shared" si="0"/>
        <v/>
      </c>
      <c r="C166" s="9" t="str" cm="1">
        <f t="array" ref="C166">IF(ISNUMBER(A166),INDEX(BackgroundCalcs!$AV$2:$AV$500,'Grading Formulas'!$A166),"")</f>
        <v/>
      </c>
      <c r="D166" s="9" t="str" cm="1">
        <f t="array" ref="D166">IF(ISNUMBER($A166),INDEX(BackgroundCalcs!$AW$2:$AW$500,'Grading Formulas'!$A166),"")</f>
        <v/>
      </c>
      <c r="E166" s="4" t="str" cm="1">
        <f t="array" ref="E166">IF(ISNUMBER($A166),IF(A166=A165,"Reference2(False,True,"&amp;INDEX(BackgroundCalcs!$AX$2:$AX$500,'Grading Formulas'!$A166)&amp;")","Reference() AND MOEValue(.0001)"),"")</f>
        <v/>
      </c>
      <c r="F166" s="4" t="str">
        <f t="shared" si="9"/>
        <v/>
      </c>
      <c r="G166" s="4" t="str">
        <f t="shared" si="10"/>
        <v/>
      </c>
      <c r="H166" s="4" t="str">
        <f t="shared" si="11"/>
        <v/>
      </c>
    </row>
    <row r="167" spans="1:8">
      <c r="A167" s="6" t="str">
        <f t="shared" si="12"/>
        <v/>
      </c>
      <c r="B167" s="6" t="str">
        <f t="shared" si="0"/>
        <v/>
      </c>
      <c r="C167" s="9" t="str" cm="1">
        <f t="array" ref="C167">IF(ISNUMBER(A167),INDEX(BackgroundCalcs!$AV$2:$AV$500,'Grading Formulas'!$A167),"")</f>
        <v/>
      </c>
      <c r="D167" s="9" t="str" cm="1">
        <f t="array" ref="D167">IF(ISNUMBER($A167),INDEX(BackgroundCalcs!$AW$2:$AW$500,'Grading Formulas'!$A167),"")</f>
        <v/>
      </c>
      <c r="E167" s="4" t="str" cm="1">
        <f t="array" ref="E167">IF(ISNUMBER($A167),IF(A167=A166,"Reference2(False,True,"&amp;INDEX(BackgroundCalcs!$AX$2:$AX$500,'Grading Formulas'!$A167)&amp;")","Reference() AND MOEValue(.0001)"),"")</f>
        <v/>
      </c>
      <c r="F167" s="4" t="str">
        <f t="shared" si="9"/>
        <v/>
      </c>
      <c r="G167" s="4" t="str">
        <f t="shared" si="10"/>
        <v/>
      </c>
      <c r="H167" s="4" t="str">
        <f t="shared" si="11"/>
        <v/>
      </c>
    </row>
    <row r="168" spans="1:8">
      <c r="A168" s="6" t="str">
        <f t="shared" si="12"/>
        <v/>
      </c>
      <c r="B168" s="6" t="str">
        <f t="shared" si="0"/>
        <v/>
      </c>
      <c r="C168" s="9" t="str" cm="1">
        <f t="array" ref="C168">IF(ISNUMBER(A168),INDEX(BackgroundCalcs!$AV$2:$AV$500,'Grading Formulas'!$A168),"")</f>
        <v/>
      </c>
      <c r="D168" s="9" t="str" cm="1">
        <f t="array" ref="D168">IF(ISNUMBER($A168),INDEX(BackgroundCalcs!$AW$2:$AW$500,'Grading Formulas'!$A168),"")</f>
        <v/>
      </c>
      <c r="E168" s="4" t="str" cm="1">
        <f t="array" ref="E168">IF(ISNUMBER($A168),IF(A168=A167,"Reference2(False,True,"&amp;INDEX(BackgroundCalcs!$AX$2:$AX$500,'Grading Formulas'!$A168)&amp;")","Reference() AND MOEValue(.0001)"),"")</f>
        <v/>
      </c>
      <c r="F168" s="4" t="str">
        <f t="shared" si="9"/>
        <v/>
      </c>
      <c r="G168" s="4" t="str">
        <f t="shared" si="10"/>
        <v/>
      </c>
      <c r="H168" s="4" t="str">
        <f t="shared" si="11"/>
        <v/>
      </c>
    </row>
    <row r="169" spans="1:8">
      <c r="A169" s="6" t="str">
        <f t="shared" si="12"/>
        <v/>
      </c>
      <c r="B169" s="6" t="str">
        <f t="shared" si="0"/>
        <v/>
      </c>
      <c r="C169" s="9" t="str" cm="1">
        <f t="array" ref="C169">IF(ISNUMBER(A169),INDEX(BackgroundCalcs!$AV$2:$AV$500,'Grading Formulas'!$A169),"")</f>
        <v/>
      </c>
      <c r="D169" s="9" t="str" cm="1">
        <f t="array" ref="D169">IF(ISNUMBER($A169),INDEX(BackgroundCalcs!$AW$2:$AW$500,'Grading Formulas'!$A169),"")</f>
        <v/>
      </c>
      <c r="E169" s="4" t="str" cm="1">
        <f t="array" ref="E169">IF(ISNUMBER($A169),IF(A169=A168,"Reference2(False,True,"&amp;INDEX(BackgroundCalcs!$AX$2:$AX$500,'Grading Formulas'!$A169)&amp;")","Reference() AND MOEValue(.0001)"),"")</f>
        <v/>
      </c>
      <c r="F169" s="4" t="str">
        <f t="shared" si="9"/>
        <v/>
      </c>
      <c r="G169" s="4" t="str">
        <f t="shared" si="10"/>
        <v/>
      </c>
      <c r="H169" s="4" t="str">
        <f t="shared" si="11"/>
        <v/>
      </c>
    </row>
    <row r="170" spans="1:8">
      <c r="A170" s="6" t="str">
        <f t="shared" si="12"/>
        <v/>
      </c>
      <c r="B170" s="6" t="str">
        <f t="shared" si="0"/>
        <v/>
      </c>
      <c r="C170" s="9" t="str" cm="1">
        <f t="array" ref="C170">IF(ISNUMBER(A170),INDEX(BackgroundCalcs!$AV$2:$AV$500,'Grading Formulas'!$A170),"")</f>
        <v/>
      </c>
      <c r="D170" s="9" t="str" cm="1">
        <f t="array" ref="D170">IF(ISNUMBER($A170),INDEX(BackgroundCalcs!$AW$2:$AW$500,'Grading Formulas'!$A170),"")</f>
        <v/>
      </c>
      <c r="E170" s="4" t="str" cm="1">
        <f t="array" ref="E170">IF(ISNUMBER($A170),IF(A170=A169,"Reference2(False,True,"&amp;INDEX(BackgroundCalcs!$AX$2:$AX$500,'Grading Formulas'!$A170)&amp;")","Reference() AND MOEValue(.0001)"),"")</f>
        <v/>
      </c>
      <c r="F170" s="4" t="str">
        <f t="shared" si="9"/>
        <v/>
      </c>
      <c r="G170" s="4" t="str">
        <f t="shared" si="10"/>
        <v/>
      </c>
      <c r="H170" s="4" t="str">
        <f t="shared" si="11"/>
        <v/>
      </c>
    </row>
    <row r="171" spans="1:8">
      <c r="A171" s="6" t="str">
        <f t="shared" si="12"/>
        <v/>
      </c>
      <c r="B171" s="6" t="str">
        <f t="shared" si="0"/>
        <v/>
      </c>
      <c r="C171" s="9" t="str" cm="1">
        <f t="array" ref="C171">IF(ISNUMBER(A171),INDEX(BackgroundCalcs!$AV$2:$AV$500,'Grading Formulas'!$A171),"")</f>
        <v/>
      </c>
      <c r="D171" s="9" t="str" cm="1">
        <f t="array" ref="D171">IF(ISNUMBER($A171),INDEX(BackgroundCalcs!$AW$2:$AW$500,'Grading Formulas'!$A171),"")</f>
        <v/>
      </c>
      <c r="E171" s="4" t="str" cm="1">
        <f t="array" ref="E171">IF(ISNUMBER($A171),IF(A171=A170,"Reference2(False,True,"&amp;INDEX(BackgroundCalcs!$AX$2:$AX$500,'Grading Formulas'!$A171)&amp;")","Reference() AND MOEValue(.0001)"),"")</f>
        <v/>
      </c>
      <c r="F171" s="4" t="str">
        <f t="shared" si="9"/>
        <v/>
      </c>
      <c r="G171" s="4" t="str">
        <f t="shared" si="10"/>
        <v/>
      </c>
      <c r="H171" s="4" t="str">
        <f t="shared" si="11"/>
        <v/>
      </c>
    </row>
    <row r="172" spans="1:8">
      <c r="A172" s="6" t="str">
        <f t="shared" si="12"/>
        <v/>
      </c>
      <c r="B172" s="6" t="str">
        <f t="shared" si="0"/>
        <v/>
      </c>
      <c r="C172" s="9" t="str" cm="1">
        <f t="array" ref="C172">IF(ISNUMBER(A172),INDEX(BackgroundCalcs!$AV$2:$AV$500,'Grading Formulas'!$A172),"")</f>
        <v/>
      </c>
      <c r="D172" s="9" t="str" cm="1">
        <f t="array" ref="D172">IF(ISNUMBER($A172),INDEX(BackgroundCalcs!$AW$2:$AW$500,'Grading Formulas'!$A172),"")</f>
        <v/>
      </c>
      <c r="E172" s="4" t="str" cm="1">
        <f t="array" ref="E172">IF(ISNUMBER($A172),IF(A172=A171,"Reference2(False,True,"&amp;INDEX(BackgroundCalcs!$AX$2:$AX$500,'Grading Formulas'!$A172)&amp;")","Reference() AND MOEValue(.0001)"),"")</f>
        <v/>
      </c>
      <c r="F172" s="4" t="str">
        <f t="shared" si="9"/>
        <v/>
      </c>
      <c r="G172" s="4" t="str">
        <f t="shared" si="10"/>
        <v/>
      </c>
      <c r="H172" s="4" t="str">
        <f t="shared" si="11"/>
        <v/>
      </c>
    </row>
    <row r="173" spans="1:8">
      <c r="A173" s="6" t="str">
        <f t="shared" si="12"/>
        <v/>
      </c>
      <c r="B173" s="6" t="str">
        <f t="shared" si="0"/>
        <v/>
      </c>
      <c r="C173" s="9" t="str" cm="1">
        <f t="array" ref="C173">IF(ISNUMBER(A173),INDEX(BackgroundCalcs!$AV$2:$AV$500,'Grading Formulas'!$A173),"")</f>
        <v/>
      </c>
      <c r="D173" s="9" t="str" cm="1">
        <f t="array" ref="D173">IF(ISNUMBER($A173),INDEX(BackgroundCalcs!$AW$2:$AW$500,'Grading Formulas'!$A173),"")</f>
        <v/>
      </c>
      <c r="E173" s="4" t="str" cm="1">
        <f t="array" ref="E173">IF(ISNUMBER($A173),IF(A173=A172,"Reference2(False,True,"&amp;INDEX(BackgroundCalcs!$AX$2:$AX$500,'Grading Formulas'!$A173)&amp;")","Reference() AND MOEValue(.0001)"),"")</f>
        <v/>
      </c>
      <c r="F173" s="4" t="str">
        <f t="shared" si="9"/>
        <v/>
      </c>
      <c r="G173" s="4" t="str">
        <f t="shared" si="10"/>
        <v/>
      </c>
      <c r="H173" s="4" t="str">
        <f t="shared" si="11"/>
        <v/>
      </c>
    </row>
    <row r="174" spans="1:8">
      <c r="A174" s="6" t="str">
        <f t="shared" si="12"/>
        <v/>
      </c>
      <c r="B174" s="6" t="str">
        <f t="shared" si="0"/>
        <v/>
      </c>
      <c r="C174" s="9" t="str" cm="1">
        <f t="array" ref="C174">IF(ISNUMBER(A174),INDEX(BackgroundCalcs!$AV$2:$AV$500,'Grading Formulas'!$A174),"")</f>
        <v/>
      </c>
      <c r="D174" s="9" t="str" cm="1">
        <f t="array" ref="D174">IF(ISNUMBER($A174),INDEX(BackgroundCalcs!$AW$2:$AW$500,'Grading Formulas'!$A174),"")</f>
        <v/>
      </c>
      <c r="E174" s="4" t="str" cm="1">
        <f t="array" ref="E174">IF(ISNUMBER($A174),IF(A174=A173,"Reference2(False,True,"&amp;INDEX(BackgroundCalcs!$AX$2:$AX$500,'Grading Formulas'!$A174)&amp;")","Reference() AND MOEValue(.0001)"),"")</f>
        <v/>
      </c>
      <c r="F174" s="4" t="str">
        <f t="shared" si="9"/>
        <v/>
      </c>
      <c r="G174" s="4" t="str">
        <f t="shared" si="10"/>
        <v/>
      </c>
      <c r="H174" s="4" t="str">
        <f t="shared" si="11"/>
        <v/>
      </c>
    </row>
    <row r="175" spans="1:8">
      <c r="A175" s="6" t="str">
        <f t="shared" si="12"/>
        <v/>
      </c>
      <c r="B175" s="6" t="str">
        <f t="shared" si="0"/>
        <v/>
      </c>
      <c r="C175" s="9" t="str" cm="1">
        <f t="array" ref="C175">IF(ISNUMBER(A175),INDEX(BackgroundCalcs!$AV$2:$AV$500,'Grading Formulas'!$A175),"")</f>
        <v/>
      </c>
      <c r="D175" s="9" t="str" cm="1">
        <f t="array" ref="D175">IF(ISNUMBER($A175),INDEX(BackgroundCalcs!$AW$2:$AW$500,'Grading Formulas'!$A175),"")</f>
        <v/>
      </c>
      <c r="E175" s="4" t="str" cm="1">
        <f t="array" ref="E175">IF(ISNUMBER($A175),IF(A175=A174,"Reference2(False,True,"&amp;INDEX(BackgroundCalcs!$AX$2:$AX$500,'Grading Formulas'!$A175)&amp;")","Reference() AND MOEValue(.0001)"),"")</f>
        <v/>
      </c>
      <c r="F175" s="4" t="str">
        <f t="shared" si="9"/>
        <v/>
      </c>
      <c r="G175" s="4" t="str">
        <f t="shared" si="10"/>
        <v/>
      </c>
      <c r="H175" s="4" t="str">
        <f t="shared" si="11"/>
        <v/>
      </c>
    </row>
    <row r="176" spans="1:8">
      <c r="A176" s="6" t="str">
        <f t="shared" si="12"/>
        <v/>
      </c>
      <c r="B176" s="6" t="str">
        <f t="shared" si="0"/>
        <v/>
      </c>
      <c r="C176" s="9" t="str" cm="1">
        <f t="array" ref="C176">IF(ISNUMBER(A176),INDEX(BackgroundCalcs!$AV$2:$AV$500,'Grading Formulas'!$A176),"")</f>
        <v/>
      </c>
      <c r="D176" s="9" t="str" cm="1">
        <f t="array" ref="D176">IF(ISNUMBER($A176),INDEX(BackgroundCalcs!$AW$2:$AW$500,'Grading Formulas'!$A176),"")</f>
        <v/>
      </c>
      <c r="E176" s="4" t="str" cm="1">
        <f t="array" ref="E176">IF(ISNUMBER($A176),IF(A176=A175,"Reference2(False,True,"&amp;INDEX(BackgroundCalcs!$AX$2:$AX$500,'Grading Formulas'!$A176)&amp;")","Reference() AND MOEValue(.0001)"),"")</f>
        <v/>
      </c>
      <c r="F176" s="4" t="str">
        <f t="shared" si="9"/>
        <v/>
      </c>
      <c r="G176" s="4" t="str">
        <f t="shared" si="10"/>
        <v/>
      </c>
      <c r="H176" s="4" t="str">
        <f t="shared" si="11"/>
        <v/>
      </c>
    </row>
    <row r="177" spans="1:8">
      <c r="A177" s="6" t="str">
        <f t="shared" si="12"/>
        <v/>
      </c>
      <c r="B177" s="6" t="str">
        <f t="shared" si="0"/>
        <v/>
      </c>
      <c r="C177" s="9" t="str" cm="1">
        <f t="array" ref="C177">IF(ISNUMBER(A177),INDEX(BackgroundCalcs!$AV$2:$AV$500,'Grading Formulas'!$A177),"")</f>
        <v/>
      </c>
      <c r="D177" s="9" t="str" cm="1">
        <f t="array" ref="D177">IF(ISNUMBER($A177),INDEX(BackgroundCalcs!$AW$2:$AW$500,'Grading Formulas'!$A177),"")</f>
        <v/>
      </c>
      <c r="E177" s="4" t="str" cm="1">
        <f t="array" ref="E177">IF(ISNUMBER($A177),IF(A177=A176,"Reference2(False,True,"&amp;INDEX(BackgroundCalcs!$AX$2:$AX$500,'Grading Formulas'!$A177)&amp;")","Reference() AND MOEValue(.0001)"),"")</f>
        <v/>
      </c>
      <c r="F177" s="4" t="str">
        <f t="shared" si="9"/>
        <v/>
      </c>
      <c r="G177" s="4" t="str">
        <f t="shared" si="10"/>
        <v/>
      </c>
      <c r="H177" s="4" t="str">
        <f t="shared" si="11"/>
        <v/>
      </c>
    </row>
    <row r="178" spans="1:8">
      <c r="A178" s="6" t="str">
        <f t="shared" si="12"/>
        <v/>
      </c>
      <c r="B178" s="6" t="str">
        <f t="shared" si="0"/>
        <v/>
      </c>
      <c r="C178" s="9" t="str" cm="1">
        <f t="array" ref="C178">IF(ISNUMBER(A178),INDEX(BackgroundCalcs!$AV$2:$AV$500,'Grading Formulas'!$A178),"")</f>
        <v/>
      </c>
      <c r="D178" s="9" t="str" cm="1">
        <f t="array" ref="D178">IF(ISNUMBER($A178),INDEX(BackgroundCalcs!$AW$2:$AW$500,'Grading Formulas'!$A178),"")</f>
        <v/>
      </c>
      <c r="E178" s="4" t="str" cm="1">
        <f t="array" ref="E178">IF(ISNUMBER($A178),IF(A178=A177,"Reference2(False,True,"&amp;INDEX(BackgroundCalcs!$AX$2:$AX$500,'Grading Formulas'!$A178)&amp;")","Reference() AND MOEValue(.0001)"),"")</f>
        <v/>
      </c>
      <c r="F178" s="4" t="str">
        <f t="shared" si="9"/>
        <v/>
      </c>
      <c r="G178" s="4" t="str">
        <f t="shared" si="10"/>
        <v/>
      </c>
      <c r="H178" s="4" t="str">
        <f t="shared" si="11"/>
        <v/>
      </c>
    </row>
    <row r="179" spans="1:8">
      <c r="A179" s="6" t="str">
        <f t="shared" si="12"/>
        <v/>
      </c>
      <c r="B179" s="6" t="str">
        <f t="shared" si="0"/>
        <v/>
      </c>
      <c r="C179" s="9" t="str" cm="1">
        <f t="array" ref="C179">IF(ISNUMBER(A179),INDEX(BackgroundCalcs!$AV$2:$AV$500,'Grading Formulas'!$A179),"")</f>
        <v/>
      </c>
      <c r="D179" s="9" t="str" cm="1">
        <f t="array" ref="D179">IF(ISNUMBER($A179),INDEX(BackgroundCalcs!$AW$2:$AW$500,'Grading Formulas'!$A179),"")</f>
        <v/>
      </c>
      <c r="E179" s="4" t="str" cm="1">
        <f t="array" ref="E179">IF(ISNUMBER($A179),IF(A179=A178,"Reference2(False,True,"&amp;INDEX(BackgroundCalcs!$AX$2:$AX$500,'Grading Formulas'!$A179)&amp;")","Reference() AND MOEValue(.0001)"),"")</f>
        <v/>
      </c>
      <c r="F179" s="4" t="str">
        <f t="shared" si="9"/>
        <v/>
      </c>
      <c r="G179" s="4" t="str">
        <f t="shared" si="10"/>
        <v/>
      </c>
      <c r="H179" s="4" t="str">
        <f t="shared" si="11"/>
        <v/>
      </c>
    </row>
    <row r="180" spans="1:8">
      <c r="A180" s="6" t="str">
        <f t="shared" si="12"/>
        <v/>
      </c>
      <c r="B180" s="6" t="str">
        <f t="shared" si="0"/>
        <v/>
      </c>
      <c r="C180" s="9" t="str" cm="1">
        <f t="array" ref="C180">IF(ISNUMBER(A180),INDEX(BackgroundCalcs!$AV$2:$AV$500,'Grading Formulas'!$A180),"")</f>
        <v/>
      </c>
      <c r="D180" s="9" t="str" cm="1">
        <f t="array" ref="D180">IF(ISNUMBER($A180),INDEX(BackgroundCalcs!$AW$2:$AW$500,'Grading Formulas'!$A180),"")</f>
        <v/>
      </c>
      <c r="E180" s="4" t="str" cm="1">
        <f t="array" ref="E180">IF(ISNUMBER($A180),IF(A180=A179,"Reference2(False,True,"&amp;INDEX(BackgroundCalcs!$AX$2:$AX$500,'Grading Formulas'!$A180)&amp;")","Reference() AND MOEValue(.0001)"),"")</f>
        <v/>
      </c>
      <c r="F180" s="4" t="str">
        <f t="shared" si="9"/>
        <v/>
      </c>
      <c r="G180" s="4" t="str">
        <f t="shared" si="10"/>
        <v/>
      </c>
      <c r="H180" s="4" t="str">
        <f t="shared" si="11"/>
        <v/>
      </c>
    </row>
    <row r="181" spans="1:8">
      <c r="A181" s="6" t="str">
        <f t="shared" si="12"/>
        <v/>
      </c>
      <c r="B181" s="6" t="str">
        <f t="shared" si="0"/>
        <v/>
      </c>
      <c r="C181" s="9" t="str" cm="1">
        <f t="array" ref="C181">IF(ISNUMBER(A181),INDEX(BackgroundCalcs!$AV$2:$AV$500,'Grading Formulas'!$A181),"")</f>
        <v/>
      </c>
      <c r="D181" s="9" t="str" cm="1">
        <f t="array" ref="D181">IF(ISNUMBER($A181),INDEX(BackgroundCalcs!$AW$2:$AW$500,'Grading Formulas'!$A181),"")</f>
        <v/>
      </c>
      <c r="E181" s="4" t="str" cm="1">
        <f t="array" ref="E181">IF(ISNUMBER($A181),IF(A181=A180,"Reference2(False,True,"&amp;INDEX(BackgroundCalcs!$AX$2:$AX$500,'Grading Formulas'!$A181)&amp;")","Reference() AND MOEValue(.0001)"),"")</f>
        <v/>
      </c>
      <c r="F181" s="4" t="str">
        <f t="shared" si="9"/>
        <v/>
      </c>
      <c r="G181" s="4" t="str">
        <f t="shared" si="10"/>
        <v/>
      </c>
      <c r="H181" s="4" t="str">
        <f t="shared" si="11"/>
        <v/>
      </c>
    </row>
    <row r="182" spans="1:8">
      <c r="A182" s="6" t="str">
        <f t="shared" si="12"/>
        <v/>
      </c>
      <c r="B182" s="6" t="str">
        <f t="shared" si="0"/>
        <v/>
      </c>
      <c r="C182" s="9" t="str" cm="1">
        <f t="array" ref="C182">IF(ISNUMBER(A182),INDEX(BackgroundCalcs!$AV$2:$AV$500,'Grading Formulas'!$A182),"")</f>
        <v/>
      </c>
      <c r="D182" s="9" t="str" cm="1">
        <f t="array" ref="D182">IF(ISNUMBER($A182),INDEX(BackgroundCalcs!$AW$2:$AW$500,'Grading Formulas'!$A182),"")</f>
        <v/>
      </c>
      <c r="E182" s="4" t="str" cm="1">
        <f t="array" ref="E182">IF(ISNUMBER($A182),IF(A182=A181,"Reference2(False,True,"&amp;INDEX(BackgroundCalcs!$AX$2:$AX$500,'Grading Formulas'!$A182)&amp;")","Reference() AND MOEValue(.0001)"),"")</f>
        <v/>
      </c>
      <c r="F182" s="4" t="str">
        <f t="shared" si="9"/>
        <v/>
      </c>
      <c r="G182" s="4" t="str">
        <f t="shared" si="10"/>
        <v/>
      </c>
      <c r="H182" s="4" t="str">
        <f t="shared" si="11"/>
        <v/>
      </c>
    </row>
    <row r="183" spans="1:8">
      <c r="A183" s="6" t="str">
        <f t="shared" si="12"/>
        <v/>
      </c>
      <c r="B183" s="6" t="str">
        <f t="shared" si="0"/>
        <v/>
      </c>
      <c r="C183" s="9" t="str" cm="1">
        <f t="array" ref="C183">IF(ISNUMBER(A183),INDEX(BackgroundCalcs!$AV$2:$AV$500,'Grading Formulas'!$A183),"")</f>
        <v/>
      </c>
      <c r="D183" s="9" t="str" cm="1">
        <f t="array" ref="D183">IF(ISNUMBER($A183),INDEX(BackgroundCalcs!$AW$2:$AW$500,'Grading Formulas'!$A183),"")</f>
        <v/>
      </c>
      <c r="E183" s="4" t="str" cm="1">
        <f t="array" ref="E183">IF(ISNUMBER($A183),IF(A183=A182,"Reference2(False,True,"&amp;INDEX(BackgroundCalcs!$AX$2:$AX$500,'Grading Formulas'!$A183)&amp;")","Reference() AND MOEValue(.0001)"),"")</f>
        <v/>
      </c>
      <c r="F183" s="4" t="str">
        <f t="shared" si="9"/>
        <v/>
      </c>
      <c r="G183" s="4" t="str">
        <f t="shared" si="10"/>
        <v/>
      </c>
      <c r="H183" s="4" t="str">
        <f t="shared" si="11"/>
        <v/>
      </c>
    </row>
    <row r="184" spans="1:8">
      <c r="A184" s="6" t="str">
        <f t="shared" si="12"/>
        <v/>
      </c>
      <c r="B184" s="6" t="str">
        <f t="shared" si="0"/>
        <v/>
      </c>
      <c r="C184" s="9" t="str" cm="1">
        <f t="array" ref="C184">IF(ISNUMBER(A184),INDEX(BackgroundCalcs!$AV$2:$AV$500,'Grading Formulas'!$A184),"")</f>
        <v/>
      </c>
      <c r="D184" s="9" t="str" cm="1">
        <f t="array" ref="D184">IF(ISNUMBER($A184),INDEX(BackgroundCalcs!$AW$2:$AW$500,'Grading Formulas'!$A184),"")</f>
        <v/>
      </c>
      <c r="E184" s="4" t="str" cm="1">
        <f t="array" ref="E184">IF(ISNUMBER($A184),IF(A184=A183,"Reference2(False,True,"&amp;INDEX(BackgroundCalcs!$AX$2:$AX$500,'Grading Formulas'!$A184)&amp;")","Reference() AND MOEValue(.0001)"),"")</f>
        <v/>
      </c>
      <c r="F184" s="4" t="str">
        <f t="shared" si="9"/>
        <v/>
      </c>
      <c r="G184" s="4" t="str">
        <f t="shared" si="10"/>
        <v/>
      </c>
      <c r="H184" s="4" t="str">
        <f t="shared" si="11"/>
        <v/>
      </c>
    </row>
    <row r="185" spans="1:8">
      <c r="A185" s="6" t="str">
        <f t="shared" si="12"/>
        <v/>
      </c>
      <c r="B185" s="6" t="str">
        <f t="shared" si="0"/>
        <v/>
      </c>
      <c r="C185" s="9" t="str" cm="1">
        <f t="array" ref="C185">IF(ISNUMBER(A185),INDEX(BackgroundCalcs!$AV$2:$AV$500,'Grading Formulas'!$A185),"")</f>
        <v/>
      </c>
      <c r="D185" s="9" t="str" cm="1">
        <f t="array" ref="D185">IF(ISNUMBER($A185),INDEX(BackgroundCalcs!$AW$2:$AW$500,'Grading Formulas'!$A185),"")</f>
        <v/>
      </c>
      <c r="E185" s="4" t="str" cm="1">
        <f t="array" ref="E185">IF(ISNUMBER($A185),IF(A185=A184,"Reference2(False,True,"&amp;INDEX(BackgroundCalcs!$AX$2:$AX$500,'Grading Formulas'!$A185)&amp;")","Reference() AND MOEValue(.0001)"),"")</f>
        <v/>
      </c>
      <c r="F185" s="4" t="str">
        <f t="shared" si="9"/>
        <v/>
      </c>
      <c r="G185" s="4" t="str">
        <f t="shared" si="10"/>
        <v/>
      </c>
      <c r="H185" s="4" t="str">
        <f t="shared" si="11"/>
        <v/>
      </c>
    </row>
    <row r="186" spans="1:8">
      <c r="A186" s="6" t="str">
        <f t="shared" si="12"/>
        <v/>
      </c>
      <c r="B186" s="6" t="str">
        <f t="shared" si="0"/>
        <v/>
      </c>
      <c r="C186" s="9" t="str" cm="1">
        <f t="array" ref="C186">IF(ISNUMBER(A186),INDEX(BackgroundCalcs!$AV$2:$AV$500,'Grading Formulas'!$A186),"")</f>
        <v/>
      </c>
      <c r="D186" s="9" t="str" cm="1">
        <f t="array" ref="D186">IF(ISNUMBER($A186),INDEX(BackgroundCalcs!$AW$2:$AW$500,'Grading Formulas'!$A186),"")</f>
        <v/>
      </c>
      <c r="E186" s="4" t="str" cm="1">
        <f t="array" ref="E186">IF(ISNUMBER($A186),IF(A186=A185,"Reference2(False,True,"&amp;INDEX(BackgroundCalcs!$AX$2:$AX$500,'Grading Formulas'!$A186)&amp;")","Reference() AND MOEValue(.0001)"),"")</f>
        <v/>
      </c>
      <c r="F186" s="4" t="str">
        <f t="shared" si="9"/>
        <v/>
      </c>
      <c r="G186" s="4" t="str">
        <f t="shared" si="10"/>
        <v/>
      </c>
      <c r="H186" s="4" t="str">
        <f t="shared" si="11"/>
        <v/>
      </c>
    </row>
    <row r="187" spans="1:8">
      <c r="A187" s="6" t="str">
        <f t="shared" si="12"/>
        <v/>
      </c>
      <c r="B187" s="6" t="str">
        <f t="shared" si="0"/>
        <v/>
      </c>
      <c r="C187" s="9" t="str" cm="1">
        <f t="array" ref="C187">IF(ISNUMBER(A187),INDEX(BackgroundCalcs!$AV$2:$AV$500,'Grading Formulas'!$A187),"")</f>
        <v/>
      </c>
      <c r="D187" s="9" t="str" cm="1">
        <f t="array" ref="D187">IF(ISNUMBER($A187),INDEX(BackgroundCalcs!$AW$2:$AW$500,'Grading Formulas'!$A187),"")</f>
        <v/>
      </c>
      <c r="E187" s="4" t="str" cm="1">
        <f t="array" ref="E187">IF(ISNUMBER($A187),IF(A187=A186,"Reference2(False,True,"&amp;INDEX(BackgroundCalcs!$AX$2:$AX$500,'Grading Formulas'!$A187)&amp;")","Reference() AND MOEValue(.0001)"),"")</f>
        <v/>
      </c>
      <c r="F187" s="4" t="str">
        <f t="shared" si="9"/>
        <v/>
      </c>
      <c r="G187" s="4" t="str">
        <f t="shared" si="10"/>
        <v/>
      </c>
      <c r="H187" s="4" t="str">
        <f t="shared" si="11"/>
        <v/>
      </c>
    </row>
    <row r="188" spans="1:8">
      <c r="A188" s="6" t="str">
        <f t="shared" si="12"/>
        <v/>
      </c>
      <c r="B188" s="6" t="str">
        <f t="shared" si="0"/>
        <v/>
      </c>
      <c r="C188" s="9" t="str" cm="1">
        <f t="array" ref="C188">IF(ISNUMBER(A188),INDEX(BackgroundCalcs!$AV$2:$AV$500,'Grading Formulas'!$A188),"")</f>
        <v/>
      </c>
      <c r="D188" s="9" t="str" cm="1">
        <f t="array" ref="D188">IF(ISNUMBER($A188),INDEX(BackgroundCalcs!$AW$2:$AW$500,'Grading Formulas'!$A188),"")</f>
        <v/>
      </c>
      <c r="E188" s="4" t="str" cm="1">
        <f t="array" ref="E188">IF(ISNUMBER($A188),IF(A188=A187,"Reference2(False,True,"&amp;INDEX(BackgroundCalcs!$AX$2:$AX$500,'Grading Formulas'!$A188)&amp;")","Reference() AND MOEValue(.0001)"),"")</f>
        <v/>
      </c>
      <c r="F188" s="4" t="str">
        <f t="shared" si="9"/>
        <v/>
      </c>
      <c r="G188" s="4" t="str">
        <f t="shared" si="10"/>
        <v/>
      </c>
      <c r="H188" s="4" t="str">
        <f t="shared" si="11"/>
        <v/>
      </c>
    </row>
    <row r="189" spans="1:8">
      <c r="A189" s="6" t="str">
        <f t="shared" si="12"/>
        <v/>
      </c>
      <c r="B189" s="6" t="str">
        <f t="shared" si="0"/>
        <v/>
      </c>
      <c r="C189" s="9" t="str" cm="1">
        <f t="array" ref="C189">IF(ISNUMBER(A189),INDEX(BackgroundCalcs!$AV$2:$AV$500,'Grading Formulas'!$A189),"")</f>
        <v/>
      </c>
      <c r="D189" s="9" t="str" cm="1">
        <f t="array" ref="D189">IF(ISNUMBER($A189),INDEX(BackgroundCalcs!$AW$2:$AW$500,'Grading Formulas'!$A189),"")</f>
        <v/>
      </c>
      <c r="E189" s="4" t="str" cm="1">
        <f t="array" ref="E189">IF(ISNUMBER($A189),IF(A189=A188,"Reference2(False,True,"&amp;INDEX(BackgroundCalcs!$AX$2:$AX$500,'Grading Formulas'!$A189)&amp;")","Reference() AND MOEValue(.0001)"),"")</f>
        <v/>
      </c>
      <c r="F189" s="4" t="str">
        <f t="shared" si="9"/>
        <v/>
      </c>
      <c r="G189" s="4" t="str">
        <f t="shared" si="10"/>
        <v/>
      </c>
      <c r="H189" s="4" t="str">
        <f t="shared" si="11"/>
        <v/>
      </c>
    </row>
    <row r="190" spans="1:8">
      <c r="A190" s="6" t="str">
        <f t="shared" si="12"/>
        <v/>
      </c>
      <c r="B190" s="6" t="str">
        <f t="shared" si="0"/>
        <v/>
      </c>
      <c r="C190" s="9" t="str" cm="1">
        <f t="array" ref="C190">IF(ISNUMBER(A190),INDEX(BackgroundCalcs!$AV$2:$AV$500,'Grading Formulas'!$A190),"")</f>
        <v/>
      </c>
      <c r="D190" s="9" t="str" cm="1">
        <f t="array" ref="D190">IF(ISNUMBER($A190),INDEX(BackgroundCalcs!$AW$2:$AW$500,'Grading Formulas'!$A190),"")</f>
        <v/>
      </c>
      <c r="E190" s="4" t="str" cm="1">
        <f t="array" ref="E190">IF(ISNUMBER($A190),IF(A190=A189,"Reference2(False,True,"&amp;INDEX(BackgroundCalcs!$AX$2:$AX$500,'Grading Formulas'!$A190)&amp;")","Reference() AND MOEValue(.0001)"),"")</f>
        <v/>
      </c>
      <c r="F190" s="4" t="str">
        <f t="shared" si="9"/>
        <v/>
      </c>
      <c r="G190" s="4" t="str">
        <f t="shared" si="10"/>
        <v/>
      </c>
      <c r="H190" s="4" t="str">
        <f t="shared" si="11"/>
        <v/>
      </c>
    </row>
    <row r="191" spans="1:8">
      <c r="A191" s="6" t="str">
        <f t="shared" si="12"/>
        <v/>
      </c>
      <c r="B191" s="6" t="str">
        <f t="shared" si="0"/>
        <v/>
      </c>
      <c r="C191" s="9" t="str" cm="1">
        <f t="array" ref="C191">IF(ISNUMBER(A191),INDEX(BackgroundCalcs!$AV$2:$AV$500,'Grading Formulas'!$A191),"")</f>
        <v/>
      </c>
      <c r="D191" s="9" t="str" cm="1">
        <f t="array" ref="D191">IF(ISNUMBER($A191),INDEX(BackgroundCalcs!$AW$2:$AW$500,'Grading Formulas'!$A191),"")</f>
        <v/>
      </c>
      <c r="E191" s="4" t="str" cm="1">
        <f t="array" ref="E191">IF(ISNUMBER($A191),IF(A191=A190,"Reference2(False,True,"&amp;INDEX(BackgroundCalcs!$AX$2:$AX$500,'Grading Formulas'!$A191)&amp;")","Reference() AND MOEValue(.0001)"),"")</f>
        <v/>
      </c>
      <c r="F191" s="4" t="str">
        <f t="shared" si="9"/>
        <v/>
      </c>
      <c r="G191" s="4" t="str">
        <f t="shared" si="10"/>
        <v/>
      </c>
      <c r="H191" s="4" t="str">
        <f t="shared" si="11"/>
        <v/>
      </c>
    </row>
    <row r="192" spans="1:8">
      <c r="A192" s="6" t="str">
        <f t="shared" si="12"/>
        <v/>
      </c>
      <c r="B192" s="6" t="str">
        <f t="shared" si="0"/>
        <v/>
      </c>
      <c r="C192" s="9" t="str" cm="1">
        <f t="array" ref="C192">IF(ISNUMBER(A192),INDEX(BackgroundCalcs!$AV$2:$AV$500,'Grading Formulas'!$A192),"")</f>
        <v/>
      </c>
      <c r="D192" s="9" t="str" cm="1">
        <f t="array" ref="D192">IF(ISNUMBER($A192),INDEX(BackgroundCalcs!$AW$2:$AW$500,'Grading Formulas'!$A192),"")</f>
        <v/>
      </c>
      <c r="E192" s="4" t="str" cm="1">
        <f t="array" ref="E192">IF(ISNUMBER($A192),IF(A192=A191,"Reference2(False,True,"&amp;INDEX(BackgroundCalcs!$AX$2:$AX$500,'Grading Formulas'!$A192)&amp;")","Reference() AND MOEValue(.0001)"),"")</f>
        <v/>
      </c>
      <c r="F192" s="4" t="str">
        <f t="shared" si="9"/>
        <v/>
      </c>
      <c r="G192" s="4" t="str">
        <f t="shared" si="10"/>
        <v/>
      </c>
      <c r="H192" s="4" t="str">
        <f t="shared" si="11"/>
        <v/>
      </c>
    </row>
    <row r="193" spans="1:8">
      <c r="A193" s="6" t="str">
        <f t="shared" si="12"/>
        <v/>
      </c>
      <c r="B193" s="6" t="str">
        <f t="shared" si="0"/>
        <v/>
      </c>
      <c r="C193" s="9" t="str" cm="1">
        <f t="array" ref="C193">IF(ISNUMBER(A193),INDEX(BackgroundCalcs!$AV$2:$AV$500,'Grading Formulas'!$A193),"")</f>
        <v/>
      </c>
      <c r="D193" s="9" t="str" cm="1">
        <f t="array" ref="D193">IF(ISNUMBER($A193),INDEX(BackgroundCalcs!$AW$2:$AW$500,'Grading Formulas'!$A193),"")</f>
        <v/>
      </c>
      <c r="E193" s="4" t="str" cm="1">
        <f t="array" ref="E193">IF(ISNUMBER($A193),IF(A193=A192,"Reference2(False,True,"&amp;INDEX(BackgroundCalcs!$AX$2:$AX$500,'Grading Formulas'!$A193)&amp;")","Reference() AND MOEValue(.0001)"),"")</f>
        <v/>
      </c>
      <c r="F193" s="4" t="str">
        <f t="shared" si="9"/>
        <v/>
      </c>
      <c r="G193" s="4" t="str">
        <f t="shared" si="10"/>
        <v/>
      </c>
      <c r="H193" s="4" t="str">
        <f t="shared" si="11"/>
        <v/>
      </c>
    </row>
    <row r="194" spans="1:8">
      <c r="A194" s="6" t="str">
        <f t="shared" si="12"/>
        <v/>
      </c>
      <c r="B194" s="6" t="str">
        <f t="shared" si="0"/>
        <v/>
      </c>
      <c r="C194" s="9" t="str" cm="1">
        <f t="array" ref="C194">IF(ISNUMBER(A194),INDEX(BackgroundCalcs!$AV$2:$AV$500,'Grading Formulas'!$A194),"")</f>
        <v/>
      </c>
      <c r="D194" s="9" t="str" cm="1">
        <f t="array" ref="D194">IF(ISNUMBER($A194),INDEX(BackgroundCalcs!$AW$2:$AW$500,'Grading Formulas'!$A194),"")</f>
        <v/>
      </c>
      <c r="E194" s="4" t="str" cm="1">
        <f t="array" ref="E194">IF(ISNUMBER($A194),IF(A194=A193,"Reference2(False,True,"&amp;INDEX(BackgroundCalcs!$AX$2:$AX$500,'Grading Formulas'!$A194)&amp;")","Reference() AND MOEValue(.0001)"),"")</f>
        <v/>
      </c>
      <c r="F194" s="4" t="str">
        <f t="shared" si="9"/>
        <v/>
      </c>
      <c r="G194" s="4" t="str">
        <f t="shared" si="10"/>
        <v/>
      </c>
      <c r="H194" s="4" t="str">
        <f t="shared" si="11"/>
        <v/>
      </c>
    </row>
    <row r="195" spans="1:8">
      <c r="A195" s="6" t="str">
        <f t="shared" si="12"/>
        <v/>
      </c>
      <c r="B195" s="6" t="str">
        <f t="shared" si="0"/>
        <v/>
      </c>
      <c r="C195" s="9" t="str" cm="1">
        <f t="array" ref="C195">IF(ISNUMBER(A195),INDEX(BackgroundCalcs!$AV$2:$AV$500,'Grading Formulas'!$A195),"")</f>
        <v/>
      </c>
      <c r="D195" s="9" t="str" cm="1">
        <f t="array" ref="D195">IF(ISNUMBER($A195),INDEX(BackgroundCalcs!$AW$2:$AW$500,'Grading Formulas'!$A195),"")</f>
        <v/>
      </c>
      <c r="E195" s="4" t="str" cm="1">
        <f t="array" ref="E195">IF(ISNUMBER($A195),IF(A195=A194,"Reference2(False,True,"&amp;INDEX(BackgroundCalcs!$AX$2:$AX$500,'Grading Formulas'!$A195)&amp;")","Reference() AND MOEValue(.0001)"),"")</f>
        <v/>
      </c>
      <c r="F195" s="4" t="str">
        <f t="shared" ref="F195:F258" si="13">IF(ISNUMBER($A195),IF(A195=A194,-1000,1),"")</f>
        <v/>
      </c>
      <c r="G195" s="4" t="str">
        <f t="shared" ref="G195:G258" si="14">IF(ISNUMBER($A195),IF(A195=A194,"You should not be referencing the answer cell","Correct"),"")</f>
        <v/>
      </c>
      <c r="H195" s="4" t="str">
        <f t="shared" ref="H195:H258" si="15">IF(ISNUMBER($A195),IF(A195=A194,"N/A","Incorrect"),"")</f>
        <v/>
      </c>
    </row>
    <row r="196" spans="1:8">
      <c r="A196" s="6" t="str">
        <f t="shared" ref="A196:A259" si="16">IF(A194&lt;NumAnswers,A194+1,"")</f>
        <v/>
      </c>
      <c r="B196" s="6" t="str">
        <f t="shared" si="0"/>
        <v/>
      </c>
      <c r="C196" s="9" t="str" cm="1">
        <f t="array" ref="C196">IF(ISNUMBER(A196),INDEX(BackgroundCalcs!$AV$2:$AV$500,'Grading Formulas'!$A196),"")</f>
        <v/>
      </c>
      <c r="D196" s="9" t="str" cm="1">
        <f t="array" ref="D196">IF(ISNUMBER($A196),INDEX(BackgroundCalcs!$AW$2:$AW$500,'Grading Formulas'!$A196),"")</f>
        <v/>
      </c>
      <c r="E196" s="4" t="str" cm="1">
        <f t="array" ref="E196">IF(ISNUMBER($A196),IF(A196=A195,"Reference2(False,True,"&amp;INDEX(BackgroundCalcs!$AX$2:$AX$500,'Grading Formulas'!$A196)&amp;")","Reference() AND MOEValue(.0001)"),"")</f>
        <v/>
      </c>
      <c r="F196" s="4" t="str">
        <f t="shared" si="13"/>
        <v/>
      </c>
      <c r="G196" s="4" t="str">
        <f t="shared" si="14"/>
        <v/>
      </c>
      <c r="H196" s="4" t="str">
        <f t="shared" si="15"/>
        <v/>
      </c>
    </row>
    <row r="197" spans="1:8">
      <c r="A197" s="6" t="str">
        <f t="shared" si="16"/>
        <v/>
      </c>
      <c r="B197" s="6" t="str">
        <f t="shared" si="0"/>
        <v/>
      </c>
      <c r="C197" s="9" t="str" cm="1">
        <f t="array" ref="C197">IF(ISNUMBER(A197),INDEX(BackgroundCalcs!$AV$2:$AV$500,'Grading Formulas'!$A197),"")</f>
        <v/>
      </c>
      <c r="D197" s="9" t="str" cm="1">
        <f t="array" ref="D197">IF(ISNUMBER($A197),INDEX(BackgroundCalcs!$AW$2:$AW$500,'Grading Formulas'!$A197),"")</f>
        <v/>
      </c>
      <c r="E197" s="4" t="str" cm="1">
        <f t="array" ref="E197">IF(ISNUMBER($A197),IF(A197=A196,"Reference2(False,True,"&amp;INDEX(BackgroundCalcs!$AX$2:$AX$500,'Grading Formulas'!$A197)&amp;")","Reference() AND MOEValue(.0001)"),"")</f>
        <v/>
      </c>
      <c r="F197" s="4" t="str">
        <f t="shared" si="13"/>
        <v/>
      </c>
      <c r="G197" s="4" t="str">
        <f t="shared" si="14"/>
        <v/>
      </c>
      <c r="H197" s="4" t="str">
        <f t="shared" si="15"/>
        <v/>
      </c>
    </row>
    <row r="198" spans="1:8">
      <c r="A198" s="6" t="str">
        <f t="shared" si="16"/>
        <v/>
      </c>
      <c r="B198" s="6" t="str">
        <f t="shared" si="0"/>
        <v/>
      </c>
      <c r="C198" s="9" t="str" cm="1">
        <f t="array" ref="C198">IF(ISNUMBER(A198),INDEX(BackgroundCalcs!$AV$2:$AV$500,'Grading Formulas'!$A198),"")</f>
        <v/>
      </c>
      <c r="D198" s="9" t="str" cm="1">
        <f t="array" ref="D198">IF(ISNUMBER($A198),INDEX(BackgroundCalcs!$AW$2:$AW$500,'Grading Formulas'!$A198),"")</f>
        <v/>
      </c>
      <c r="E198" s="4" t="str" cm="1">
        <f t="array" ref="E198">IF(ISNUMBER($A198),IF(A198=A197,"Reference2(False,True,"&amp;INDEX(BackgroundCalcs!$AX$2:$AX$500,'Grading Formulas'!$A198)&amp;")","Reference() AND MOEValue(.0001)"),"")</f>
        <v/>
      </c>
      <c r="F198" s="4" t="str">
        <f t="shared" si="13"/>
        <v/>
      </c>
      <c r="G198" s="4" t="str">
        <f t="shared" si="14"/>
        <v/>
      </c>
      <c r="H198" s="4" t="str">
        <f t="shared" si="15"/>
        <v/>
      </c>
    </row>
    <row r="199" spans="1:8">
      <c r="A199" s="6" t="str">
        <f t="shared" si="16"/>
        <v/>
      </c>
      <c r="B199" s="6" t="str">
        <f t="shared" si="0"/>
        <v/>
      </c>
      <c r="C199" s="9" t="str" cm="1">
        <f t="array" ref="C199">IF(ISNUMBER(A199),INDEX(BackgroundCalcs!$AV$2:$AV$500,'Grading Formulas'!$A199),"")</f>
        <v/>
      </c>
      <c r="D199" s="9" t="str" cm="1">
        <f t="array" ref="D199">IF(ISNUMBER($A199),INDEX(BackgroundCalcs!$AW$2:$AW$500,'Grading Formulas'!$A199),"")</f>
        <v/>
      </c>
      <c r="E199" s="4" t="str" cm="1">
        <f t="array" ref="E199">IF(ISNUMBER($A199),IF(A199=A198,"Reference2(False,True,"&amp;INDEX(BackgroundCalcs!$AX$2:$AX$500,'Grading Formulas'!$A199)&amp;")","Reference() AND MOEValue(.0001)"),"")</f>
        <v/>
      </c>
      <c r="F199" s="4" t="str">
        <f t="shared" si="13"/>
        <v/>
      </c>
      <c r="G199" s="4" t="str">
        <f t="shared" si="14"/>
        <v/>
      </c>
      <c r="H199" s="4" t="str">
        <f t="shared" si="15"/>
        <v/>
      </c>
    </row>
    <row r="200" spans="1:8">
      <c r="A200" s="6" t="str">
        <f t="shared" si="16"/>
        <v/>
      </c>
      <c r="B200" s="6" t="str">
        <f t="shared" si="0"/>
        <v/>
      </c>
      <c r="C200" s="9" t="str" cm="1">
        <f t="array" ref="C200">IF(ISNUMBER(A200),INDEX(BackgroundCalcs!$AV$2:$AV$500,'Grading Formulas'!$A200),"")</f>
        <v/>
      </c>
      <c r="D200" s="9" t="str" cm="1">
        <f t="array" ref="D200">IF(ISNUMBER($A200),INDEX(BackgroundCalcs!$AW$2:$AW$500,'Grading Formulas'!$A200),"")</f>
        <v/>
      </c>
      <c r="E200" s="4" t="str" cm="1">
        <f t="array" ref="E200">IF(ISNUMBER($A200),IF(A200=A199,"Reference2(False,True,"&amp;INDEX(BackgroundCalcs!$AX$2:$AX$500,'Grading Formulas'!$A200)&amp;")","Reference() AND MOEValue(.0001)"),"")</f>
        <v/>
      </c>
      <c r="F200" s="4" t="str">
        <f t="shared" si="13"/>
        <v/>
      </c>
      <c r="G200" s="4" t="str">
        <f t="shared" si="14"/>
        <v/>
      </c>
      <c r="H200" s="4" t="str">
        <f t="shared" si="15"/>
        <v/>
      </c>
    </row>
    <row r="201" spans="1:8">
      <c r="A201" s="6" t="str">
        <f t="shared" si="16"/>
        <v/>
      </c>
      <c r="B201" s="6" t="str">
        <f t="shared" si="0"/>
        <v/>
      </c>
      <c r="C201" s="9" t="str" cm="1">
        <f t="array" ref="C201">IF(ISNUMBER(A201),INDEX(BackgroundCalcs!$AV$2:$AV$500,'Grading Formulas'!$A201),"")</f>
        <v/>
      </c>
      <c r="D201" s="9" t="str" cm="1">
        <f t="array" ref="D201">IF(ISNUMBER($A201),INDEX(BackgroundCalcs!$AW$2:$AW$500,'Grading Formulas'!$A201),"")</f>
        <v/>
      </c>
      <c r="E201" s="4" t="str" cm="1">
        <f t="array" ref="E201">IF(ISNUMBER($A201),IF(A201=A200,"Reference2(False,True,"&amp;INDEX(BackgroundCalcs!$AX$2:$AX$500,'Grading Formulas'!$A201)&amp;")","Reference() AND MOEValue(.0001)"),"")</f>
        <v/>
      </c>
      <c r="F201" s="4" t="str">
        <f t="shared" si="13"/>
        <v/>
      </c>
      <c r="G201" s="4" t="str">
        <f t="shared" si="14"/>
        <v/>
      </c>
      <c r="H201" s="4" t="str">
        <f t="shared" si="15"/>
        <v/>
      </c>
    </row>
    <row r="202" spans="1:8">
      <c r="A202" s="6" t="str">
        <f t="shared" si="16"/>
        <v/>
      </c>
      <c r="B202" s="6" t="str">
        <f t="shared" si="0"/>
        <v/>
      </c>
      <c r="C202" s="9" t="str" cm="1">
        <f t="array" ref="C202">IF(ISNUMBER(A202),INDEX(BackgroundCalcs!$AV$2:$AV$500,'Grading Formulas'!$A202),"")</f>
        <v/>
      </c>
      <c r="D202" s="9" t="str" cm="1">
        <f t="array" ref="D202">IF(ISNUMBER($A202),INDEX(BackgroundCalcs!$AW$2:$AW$500,'Grading Formulas'!$A202),"")</f>
        <v/>
      </c>
      <c r="E202" s="4" t="str" cm="1">
        <f t="array" ref="E202">IF(ISNUMBER($A202),IF(A202=A201,"Reference2(False,True,"&amp;INDEX(BackgroundCalcs!$AX$2:$AX$500,'Grading Formulas'!$A202)&amp;")","Reference() AND MOEValue(.0001)"),"")</f>
        <v/>
      </c>
      <c r="F202" s="4" t="str">
        <f t="shared" si="13"/>
        <v/>
      </c>
      <c r="G202" s="4" t="str">
        <f t="shared" si="14"/>
        <v/>
      </c>
      <c r="H202" s="4" t="str">
        <f t="shared" si="15"/>
        <v/>
      </c>
    </row>
    <row r="203" spans="1:8">
      <c r="A203" s="6" t="str">
        <f t="shared" si="16"/>
        <v/>
      </c>
      <c r="B203" s="6" t="str">
        <f t="shared" si="0"/>
        <v/>
      </c>
      <c r="C203" s="9" t="str" cm="1">
        <f t="array" ref="C203">IF(ISNUMBER(A203),INDEX(BackgroundCalcs!$AV$2:$AV$500,'Grading Formulas'!$A203),"")</f>
        <v/>
      </c>
      <c r="D203" s="9" t="str" cm="1">
        <f t="array" ref="D203">IF(ISNUMBER($A203),INDEX(BackgroundCalcs!$AW$2:$AW$500,'Grading Formulas'!$A203),"")</f>
        <v/>
      </c>
      <c r="E203" s="4" t="str" cm="1">
        <f t="array" ref="E203">IF(ISNUMBER($A203),IF(A203=A202,"Reference2(False,True,"&amp;INDEX(BackgroundCalcs!$AX$2:$AX$500,'Grading Formulas'!$A203)&amp;")","Reference() AND MOEValue(.0001)"),"")</f>
        <v/>
      </c>
      <c r="F203" s="4" t="str">
        <f t="shared" si="13"/>
        <v/>
      </c>
      <c r="G203" s="4" t="str">
        <f t="shared" si="14"/>
        <v/>
      </c>
      <c r="H203" s="4" t="str">
        <f t="shared" si="15"/>
        <v/>
      </c>
    </row>
    <row r="204" spans="1:8">
      <c r="A204" s="6" t="str">
        <f t="shared" si="16"/>
        <v/>
      </c>
      <c r="B204" s="6" t="str">
        <f t="shared" si="0"/>
        <v/>
      </c>
      <c r="C204" s="9" t="str" cm="1">
        <f t="array" ref="C204">IF(ISNUMBER(A204),INDEX(BackgroundCalcs!$AV$2:$AV$500,'Grading Formulas'!$A204),"")</f>
        <v/>
      </c>
      <c r="D204" s="9" t="str" cm="1">
        <f t="array" ref="D204">IF(ISNUMBER($A204),INDEX(BackgroundCalcs!$AW$2:$AW$500,'Grading Formulas'!$A204),"")</f>
        <v/>
      </c>
      <c r="E204" s="4" t="str" cm="1">
        <f t="array" ref="E204">IF(ISNUMBER($A204),IF(A204=A203,"Reference2(False,True,"&amp;INDEX(BackgroundCalcs!$AX$2:$AX$500,'Grading Formulas'!$A204)&amp;")","Reference() AND MOEValue(.0001)"),"")</f>
        <v/>
      </c>
      <c r="F204" s="4" t="str">
        <f t="shared" si="13"/>
        <v/>
      </c>
      <c r="G204" s="4" t="str">
        <f t="shared" si="14"/>
        <v/>
      </c>
      <c r="H204" s="4" t="str">
        <f t="shared" si="15"/>
        <v/>
      </c>
    </row>
    <row r="205" spans="1:8">
      <c r="A205" s="6" t="str">
        <f t="shared" si="16"/>
        <v/>
      </c>
      <c r="B205" s="6" t="str">
        <f t="shared" si="0"/>
        <v/>
      </c>
      <c r="C205" s="9" t="str" cm="1">
        <f t="array" ref="C205">IF(ISNUMBER(A205),INDEX(BackgroundCalcs!$AV$2:$AV$500,'Grading Formulas'!$A205),"")</f>
        <v/>
      </c>
      <c r="D205" s="9" t="str" cm="1">
        <f t="array" ref="D205">IF(ISNUMBER($A205),INDEX(BackgroundCalcs!$AW$2:$AW$500,'Grading Formulas'!$A205),"")</f>
        <v/>
      </c>
      <c r="E205" s="4" t="str" cm="1">
        <f t="array" ref="E205">IF(ISNUMBER($A205),IF(A205=A204,"Reference2(False,True,"&amp;INDEX(BackgroundCalcs!$AX$2:$AX$500,'Grading Formulas'!$A205)&amp;")","Reference() AND MOEValue(.0001)"),"")</f>
        <v/>
      </c>
      <c r="F205" s="4" t="str">
        <f t="shared" si="13"/>
        <v/>
      </c>
      <c r="G205" s="4" t="str">
        <f t="shared" si="14"/>
        <v/>
      </c>
      <c r="H205" s="4" t="str">
        <f t="shared" si="15"/>
        <v/>
      </c>
    </row>
    <row r="206" spans="1:8">
      <c r="A206" s="6" t="str">
        <f t="shared" si="16"/>
        <v/>
      </c>
      <c r="B206" s="6" t="str">
        <f t="shared" si="0"/>
        <v/>
      </c>
      <c r="C206" s="9" t="str" cm="1">
        <f t="array" ref="C206">IF(ISNUMBER(A206),INDEX(BackgroundCalcs!$AV$2:$AV$500,'Grading Formulas'!$A206),"")</f>
        <v/>
      </c>
      <c r="D206" s="9" t="str" cm="1">
        <f t="array" ref="D206">IF(ISNUMBER($A206),INDEX(BackgroundCalcs!$AW$2:$AW$500,'Grading Formulas'!$A206),"")</f>
        <v/>
      </c>
      <c r="E206" s="4" t="str" cm="1">
        <f t="array" ref="E206">IF(ISNUMBER($A206),IF(A206=A205,"Reference2(False,True,"&amp;INDEX(BackgroundCalcs!$AX$2:$AX$500,'Grading Formulas'!$A206)&amp;")","Reference() AND MOEValue(.0001)"),"")</f>
        <v/>
      </c>
      <c r="F206" s="4" t="str">
        <f t="shared" si="13"/>
        <v/>
      </c>
      <c r="G206" s="4" t="str">
        <f t="shared" si="14"/>
        <v/>
      </c>
      <c r="H206" s="4" t="str">
        <f t="shared" si="15"/>
        <v/>
      </c>
    </row>
    <row r="207" spans="1:8">
      <c r="A207" s="6" t="str">
        <f t="shared" si="16"/>
        <v/>
      </c>
      <c r="B207" s="6" t="str">
        <f t="shared" si="0"/>
        <v/>
      </c>
      <c r="C207" s="9" t="str" cm="1">
        <f t="array" ref="C207">IF(ISNUMBER(A207),INDEX(BackgroundCalcs!$AV$2:$AV$500,'Grading Formulas'!$A207),"")</f>
        <v/>
      </c>
      <c r="D207" s="9" t="str" cm="1">
        <f t="array" ref="D207">IF(ISNUMBER($A207),INDEX(BackgroundCalcs!$AW$2:$AW$500,'Grading Formulas'!$A207),"")</f>
        <v/>
      </c>
      <c r="E207" s="4" t="str" cm="1">
        <f t="array" ref="E207">IF(ISNUMBER($A207),IF(A207=A206,"Reference2(False,True,"&amp;INDEX(BackgroundCalcs!$AX$2:$AX$500,'Grading Formulas'!$A207)&amp;")","Reference() AND MOEValue(.0001)"),"")</f>
        <v/>
      </c>
      <c r="F207" s="4" t="str">
        <f t="shared" si="13"/>
        <v/>
      </c>
      <c r="G207" s="4" t="str">
        <f t="shared" si="14"/>
        <v/>
      </c>
      <c r="H207" s="4" t="str">
        <f t="shared" si="15"/>
        <v/>
      </c>
    </row>
    <row r="208" spans="1:8">
      <c r="A208" s="6" t="str">
        <f t="shared" si="16"/>
        <v/>
      </c>
      <c r="B208" s="6" t="str">
        <f t="shared" si="0"/>
        <v/>
      </c>
      <c r="C208" s="9" t="str" cm="1">
        <f t="array" ref="C208">IF(ISNUMBER(A208),INDEX(BackgroundCalcs!$AV$2:$AV$500,'Grading Formulas'!$A208),"")</f>
        <v/>
      </c>
      <c r="D208" s="9" t="str" cm="1">
        <f t="array" ref="D208">IF(ISNUMBER($A208),INDEX(BackgroundCalcs!$AW$2:$AW$500,'Grading Formulas'!$A208),"")</f>
        <v/>
      </c>
      <c r="E208" s="4" t="str" cm="1">
        <f t="array" ref="E208">IF(ISNUMBER($A208),IF(A208=A207,"Reference2(False,True,"&amp;INDEX(BackgroundCalcs!$AX$2:$AX$500,'Grading Formulas'!$A208)&amp;")","Reference() AND MOEValue(.0001)"),"")</f>
        <v/>
      </c>
      <c r="F208" s="4" t="str">
        <f t="shared" si="13"/>
        <v/>
      </c>
      <c r="G208" s="4" t="str">
        <f t="shared" si="14"/>
        <v/>
      </c>
      <c r="H208" s="4" t="str">
        <f t="shared" si="15"/>
        <v/>
      </c>
    </row>
    <row r="209" spans="1:8">
      <c r="A209" s="6" t="str">
        <f t="shared" si="16"/>
        <v/>
      </c>
      <c r="B209" s="6" t="str">
        <f t="shared" si="0"/>
        <v/>
      </c>
      <c r="C209" s="9" t="str" cm="1">
        <f t="array" ref="C209">IF(ISNUMBER(A209),INDEX(BackgroundCalcs!$AV$2:$AV$500,'Grading Formulas'!$A209),"")</f>
        <v/>
      </c>
      <c r="D209" s="9" t="str" cm="1">
        <f t="array" ref="D209">IF(ISNUMBER($A209),INDEX(BackgroundCalcs!$AW$2:$AW$500,'Grading Formulas'!$A209),"")</f>
        <v/>
      </c>
      <c r="E209" s="4" t="str" cm="1">
        <f t="array" ref="E209">IF(ISNUMBER($A209),IF(A209=A208,"Reference2(False,True,"&amp;INDEX(BackgroundCalcs!$AX$2:$AX$500,'Grading Formulas'!$A209)&amp;")","Reference() AND MOEValue(.0001)"),"")</f>
        <v/>
      </c>
      <c r="F209" s="4" t="str">
        <f t="shared" si="13"/>
        <v/>
      </c>
      <c r="G209" s="4" t="str">
        <f t="shared" si="14"/>
        <v/>
      </c>
      <c r="H209" s="4" t="str">
        <f t="shared" si="15"/>
        <v/>
      </c>
    </row>
    <row r="210" spans="1:8">
      <c r="A210" s="6" t="str">
        <f t="shared" si="16"/>
        <v/>
      </c>
      <c r="B210" s="6" t="str">
        <f t="shared" si="0"/>
        <v/>
      </c>
      <c r="C210" s="9" t="str" cm="1">
        <f t="array" ref="C210">IF(ISNUMBER(A210),INDEX(BackgroundCalcs!$AV$2:$AV$500,'Grading Formulas'!$A210),"")</f>
        <v/>
      </c>
      <c r="D210" s="9" t="str" cm="1">
        <f t="array" ref="D210">IF(ISNUMBER($A210),INDEX(BackgroundCalcs!$AW$2:$AW$500,'Grading Formulas'!$A210),"")</f>
        <v/>
      </c>
      <c r="E210" s="4" t="str" cm="1">
        <f t="array" ref="E210">IF(ISNUMBER($A210),IF(A210=A209,"Reference2(False,True,"&amp;INDEX(BackgroundCalcs!$AX$2:$AX$500,'Grading Formulas'!$A210)&amp;")","Reference() AND MOEValue(.0001)"),"")</f>
        <v/>
      </c>
      <c r="F210" s="4" t="str">
        <f t="shared" si="13"/>
        <v/>
      </c>
      <c r="G210" s="4" t="str">
        <f t="shared" si="14"/>
        <v/>
      </c>
      <c r="H210" s="4" t="str">
        <f t="shared" si="15"/>
        <v/>
      </c>
    </row>
    <row r="211" spans="1:8">
      <c r="A211" s="6" t="str">
        <f t="shared" si="16"/>
        <v/>
      </c>
      <c r="B211" s="6" t="str">
        <f t="shared" si="0"/>
        <v/>
      </c>
      <c r="C211" s="9" t="str" cm="1">
        <f t="array" ref="C211">IF(ISNUMBER(A211),INDEX(BackgroundCalcs!$AV$2:$AV$500,'Grading Formulas'!$A211),"")</f>
        <v/>
      </c>
      <c r="D211" s="9" t="str" cm="1">
        <f t="array" ref="D211">IF(ISNUMBER($A211),INDEX(BackgroundCalcs!$AW$2:$AW$500,'Grading Formulas'!$A211),"")</f>
        <v/>
      </c>
      <c r="E211" s="4" t="str" cm="1">
        <f t="array" ref="E211">IF(ISNUMBER($A211),IF(A211=A210,"Reference2(False,True,"&amp;INDEX(BackgroundCalcs!$AX$2:$AX$500,'Grading Formulas'!$A211)&amp;")","Reference() AND MOEValue(.0001)"),"")</f>
        <v/>
      </c>
      <c r="F211" s="4" t="str">
        <f t="shared" si="13"/>
        <v/>
      </c>
      <c r="G211" s="4" t="str">
        <f t="shared" si="14"/>
        <v/>
      </c>
      <c r="H211" s="4" t="str">
        <f t="shared" si="15"/>
        <v/>
      </c>
    </row>
    <row r="212" spans="1:8">
      <c r="A212" s="6" t="str">
        <f t="shared" si="16"/>
        <v/>
      </c>
      <c r="B212" s="6" t="str">
        <f t="shared" si="0"/>
        <v/>
      </c>
      <c r="C212" s="9" t="str" cm="1">
        <f t="array" ref="C212">IF(ISNUMBER(A212),INDEX(BackgroundCalcs!$AV$2:$AV$500,'Grading Formulas'!$A212),"")</f>
        <v/>
      </c>
      <c r="D212" s="9" t="str" cm="1">
        <f t="array" ref="D212">IF(ISNUMBER($A212),INDEX(BackgroundCalcs!$AW$2:$AW$500,'Grading Formulas'!$A212),"")</f>
        <v/>
      </c>
      <c r="E212" s="4" t="str" cm="1">
        <f t="array" ref="E212">IF(ISNUMBER($A212),IF(A212=A211,"Reference2(False,True,"&amp;INDEX(BackgroundCalcs!$AX$2:$AX$500,'Grading Formulas'!$A212)&amp;")","Reference() AND MOEValue(.0001)"),"")</f>
        <v/>
      </c>
      <c r="F212" s="4" t="str">
        <f t="shared" si="13"/>
        <v/>
      </c>
      <c r="G212" s="4" t="str">
        <f t="shared" si="14"/>
        <v/>
      </c>
      <c r="H212" s="4" t="str">
        <f t="shared" si="15"/>
        <v/>
      </c>
    </row>
    <row r="213" spans="1:8">
      <c r="A213" s="6" t="str">
        <f t="shared" si="16"/>
        <v/>
      </c>
      <c r="B213" s="6" t="str">
        <f t="shared" si="0"/>
        <v/>
      </c>
      <c r="C213" s="9" t="str" cm="1">
        <f t="array" ref="C213">IF(ISNUMBER(A213),INDEX(BackgroundCalcs!$AV$2:$AV$500,'Grading Formulas'!$A213),"")</f>
        <v/>
      </c>
      <c r="D213" s="9" t="str" cm="1">
        <f t="array" ref="D213">IF(ISNUMBER($A213),INDEX(BackgroundCalcs!$AW$2:$AW$500,'Grading Formulas'!$A213),"")</f>
        <v/>
      </c>
      <c r="E213" s="4" t="str" cm="1">
        <f t="array" ref="E213">IF(ISNUMBER($A213),IF(A213=A212,"Reference2(False,True,"&amp;INDEX(BackgroundCalcs!$AX$2:$AX$500,'Grading Formulas'!$A213)&amp;")","Reference() AND MOEValue(.0001)"),"")</f>
        <v/>
      </c>
      <c r="F213" s="4" t="str">
        <f t="shared" si="13"/>
        <v/>
      </c>
      <c r="G213" s="4" t="str">
        <f t="shared" si="14"/>
        <v/>
      </c>
      <c r="H213" s="4" t="str">
        <f t="shared" si="15"/>
        <v/>
      </c>
    </row>
    <row r="214" spans="1:8">
      <c r="A214" s="6" t="str">
        <f t="shared" si="16"/>
        <v/>
      </c>
      <c r="B214" s="6" t="str">
        <f t="shared" si="0"/>
        <v/>
      </c>
      <c r="C214" s="9" t="str" cm="1">
        <f t="array" ref="C214">IF(ISNUMBER(A214),INDEX(BackgroundCalcs!$AV$2:$AV$500,'Grading Formulas'!$A214),"")</f>
        <v/>
      </c>
      <c r="D214" s="9" t="str" cm="1">
        <f t="array" ref="D214">IF(ISNUMBER($A214),INDEX(BackgroundCalcs!$AW$2:$AW$500,'Grading Formulas'!$A214),"")</f>
        <v/>
      </c>
      <c r="E214" s="4" t="str" cm="1">
        <f t="array" ref="E214">IF(ISNUMBER($A214),IF(A214=A213,"Reference2(False,True,"&amp;INDEX(BackgroundCalcs!$AX$2:$AX$500,'Grading Formulas'!$A214)&amp;")","Reference() AND MOEValue(.0001)"),"")</f>
        <v/>
      </c>
      <c r="F214" s="4" t="str">
        <f t="shared" si="13"/>
        <v/>
      </c>
      <c r="G214" s="4" t="str">
        <f t="shared" si="14"/>
        <v/>
      </c>
      <c r="H214" s="4" t="str">
        <f t="shared" si="15"/>
        <v/>
      </c>
    </row>
    <row r="215" spans="1:8">
      <c r="A215" s="6" t="str">
        <f t="shared" si="16"/>
        <v/>
      </c>
      <c r="B215" s="6" t="str">
        <f t="shared" si="0"/>
        <v/>
      </c>
      <c r="C215" s="9" t="str" cm="1">
        <f t="array" ref="C215">IF(ISNUMBER(A215),INDEX(BackgroundCalcs!$AV$2:$AV$500,'Grading Formulas'!$A215),"")</f>
        <v/>
      </c>
      <c r="D215" s="9" t="str" cm="1">
        <f t="array" ref="D215">IF(ISNUMBER($A215),INDEX(BackgroundCalcs!$AW$2:$AW$500,'Grading Formulas'!$A215),"")</f>
        <v/>
      </c>
      <c r="E215" s="4" t="str" cm="1">
        <f t="array" ref="E215">IF(ISNUMBER($A215),IF(A215=A214,"Reference2(False,True,"&amp;INDEX(BackgroundCalcs!$AX$2:$AX$500,'Grading Formulas'!$A215)&amp;")","Reference() AND MOEValue(.0001)"),"")</f>
        <v/>
      </c>
      <c r="F215" s="4" t="str">
        <f t="shared" si="13"/>
        <v/>
      </c>
      <c r="G215" s="4" t="str">
        <f t="shared" si="14"/>
        <v/>
      </c>
      <c r="H215" s="4" t="str">
        <f t="shared" si="15"/>
        <v/>
      </c>
    </row>
    <row r="216" spans="1:8">
      <c r="A216" s="6" t="str">
        <f t="shared" si="16"/>
        <v/>
      </c>
      <c r="B216" s="6" t="str">
        <f t="shared" si="0"/>
        <v/>
      </c>
      <c r="C216" s="9" t="str" cm="1">
        <f t="array" ref="C216">IF(ISNUMBER(A216),INDEX(BackgroundCalcs!$AV$2:$AV$500,'Grading Formulas'!$A216),"")</f>
        <v/>
      </c>
      <c r="D216" s="9" t="str" cm="1">
        <f t="array" ref="D216">IF(ISNUMBER($A216),INDEX(BackgroundCalcs!$AW$2:$AW$500,'Grading Formulas'!$A216),"")</f>
        <v/>
      </c>
      <c r="E216" s="4" t="str" cm="1">
        <f t="array" ref="E216">IF(ISNUMBER($A216),IF(A216=A215,"Reference2(False,True,"&amp;INDEX(BackgroundCalcs!$AX$2:$AX$500,'Grading Formulas'!$A216)&amp;")","Reference() AND MOEValue(.0001)"),"")</f>
        <v/>
      </c>
      <c r="F216" s="4" t="str">
        <f t="shared" si="13"/>
        <v/>
      </c>
      <c r="G216" s="4" t="str">
        <f t="shared" si="14"/>
        <v/>
      </c>
      <c r="H216" s="4" t="str">
        <f t="shared" si="15"/>
        <v/>
      </c>
    </row>
    <row r="217" spans="1:8">
      <c r="A217" s="6" t="str">
        <f t="shared" si="16"/>
        <v/>
      </c>
      <c r="B217" s="6" t="str">
        <f t="shared" si="0"/>
        <v/>
      </c>
      <c r="C217" s="9" t="str" cm="1">
        <f t="array" ref="C217">IF(ISNUMBER(A217),INDEX(BackgroundCalcs!$AV$2:$AV$500,'Grading Formulas'!$A217),"")</f>
        <v/>
      </c>
      <c r="D217" s="9" t="str" cm="1">
        <f t="array" ref="D217">IF(ISNUMBER($A217),INDEX(BackgroundCalcs!$AW$2:$AW$500,'Grading Formulas'!$A217),"")</f>
        <v/>
      </c>
      <c r="E217" s="4" t="str" cm="1">
        <f t="array" ref="E217">IF(ISNUMBER($A217),IF(A217=A216,"Reference2(False,True,"&amp;INDEX(BackgroundCalcs!$AX$2:$AX$500,'Grading Formulas'!$A217)&amp;")","Reference() AND MOEValue(.0001)"),"")</f>
        <v/>
      </c>
      <c r="F217" s="4" t="str">
        <f t="shared" si="13"/>
        <v/>
      </c>
      <c r="G217" s="4" t="str">
        <f t="shared" si="14"/>
        <v/>
      </c>
      <c r="H217" s="4" t="str">
        <f t="shared" si="15"/>
        <v/>
      </c>
    </row>
    <row r="218" spans="1:8">
      <c r="A218" s="6" t="str">
        <f t="shared" si="16"/>
        <v/>
      </c>
      <c r="B218" s="6" t="str">
        <f t="shared" si="0"/>
        <v/>
      </c>
      <c r="C218" s="9" t="str" cm="1">
        <f t="array" ref="C218">IF(ISNUMBER(A218),INDEX(BackgroundCalcs!$AV$2:$AV$500,'Grading Formulas'!$A218),"")</f>
        <v/>
      </c>
      <c r="D218" s="9" t="str" cm="1">
        <f t="array" ref="D218">IF(ISNUMBER($A218),INDEX(BackgroundCalcs!$AW$2:$AW$500,'Grading Formulas'!$A218),"")</f>
        <v/>
      </c>
      <c r="E218" s="4" t="str" cm="1">
        <f t="array" ref="E218">IF(ISNUMBER($A218),IF(A218=A217,"Reference2(False,True,"&amp;INDEX(BackgroundCalcs!$AX$2:$AX$500,'Grading Formulas'!$A218)&amp;")","Reference() AND MOEValue(.0001)"),"")</f>
        <v/>
      </c>
      <c r="F218" s="4" t="str">
        <f t="shared" si="13"/>
        <v/>
      </c>
      <c r="G218" s="4" t="str">
        <f t="shared" si="14"/>
        <v/>
      </c>
      <c r="H218" s="4" t="str">
        <f t="shared" si="15"/>
        <v/>
      </c>
    </row>
    <row r="219" spans="1:8">
      <c r="A219" s="6" t="str">
        <f t="shared" si="16"/>
        <v/>
      </c>
      <c r="B219" s="6" t="str">
        <f t="shared" si="0"/>
        <v/>
      </c>
      <c r="C219" s="9" t="str" cm="1">
        <f t="array" ref="C219">IF(ISNUMBER(A219),INDEX(BackgroundCalcs!$AV$2:$AV$500,'Grading Formulas'!$A219),"")</f>
        <v/>
      </c>
      <c r="D219" s="9" t="str" cm="1">
        <f t="array" ref="D219">IF(ISNUMBER($A219),INDEX(BackgroundCalcs!$AW$2:$AW$500,'Grading Formulas'!$A219),"")</f>
        <v/>
      </c>
      <c r="E219" s="4" t="str" cm="1">
        <f t="array" ref="E219">IF(ISNUMBER($A219),IF(A219=A218,"Reference2(False,True,"&amp;INDEX(BackgroundCalcs!$AX$2:$AX$500,'Grading Formulas'!$A219)&amp;")","Reference() AND MOEValue(.0001)"),"")</f>
        <v/>
      </c>
      <c r="F219" s="4" t="str">
        <f t="shared" si="13"/>
        <v/>
      </c>
      <c r="G219" s="4" t="str">
        <f t="shared" si="14"/>
        <v/>
      </c>
      <c r="H219" s="4" t="str">
        <f t="shared" si="15"/>
        <v/>
      </c>
    </row>
    <row r="220" spans="1:8">
      <c r="A220" s="6" t="str">
        <f t="shared" si="16"/>
        <v/>
      </c>
      <c r="B220" s="6" t="str">
        <f t="shared" si="0"/>
        <v/>
      </c>
      <c r="C220" s="9" t="str" cm="1">
        <f t="array" ref="C220">IF(ISNUMBER(A220),INDEX(BackgroundCalcs!$AV$2:$AV$500,'Grading Formulas'!$A220),"")</f>
        <v/>
      </c>
      <c r="D220" s="9" t="str" cm="1">
        <f t="array" ref="D220">IF(ISNUMBER($A220),INDEX(BackgroundCalcs!$AW$2:$AW$500,'Grading Formulas'!$A220),"")</f>
        <v/>
      </c>
      <c r="E220" s="4" t="str" cm="1">
        <f t="array" ref="E220">IF(ISNUMBER($A220),IF(A220=A219,"Reference2(False,True,"&amp;INDEX(BackgroundCalcs!$AX$2:$AX$500,'Grading Formulas'!$A220)&amp;")","Reference() AND MOEValue(.0001)"),"")</f>
        <v/>
      </c>
      <c r="F220" s="4" t="str">
        <f t="shared" si="13"/>
        <v/>
      </c>
      <c r="G220" s="4" t="str">
        <f t="shared" si="14"/>
        <v/>
      </c>
      <c r="H220" s="4" t="str">
        <f t="shared" si="15"/>
        <v/>
      </c>
    </row>
    <row r="221" spans="1:8">
      <c r="A221" s="6" t="str">
        <f t="shared" si="16"/>
        <v/>
      </c>
      <c r="B221" s="6" t="str">
        <f t="shared" si="0"/>
        <v/>
      </c>
      <c r="C221" s="9" t="str" cm="1">
        <f t="array" ref="C221">IF(ISNUMBER(A221),INDEX(BackgroundCalcs!$AV$2:$AV$500,'Grading Formulas'!$A221),"")</f>
        <v/>
      </c>
      <c r="D221" s="9" t="str" cm="1">
        <f t="array" ref="D221">IF(ISNUMBER($A221),INDEX(BackgroundCalcs!$AW$2:$AW$500,'Grading Formulas'!$A221),"")</f>
        <v/>
      </c>
      <c r="E221" s="4" t="str" cm="1">
        <f t="array" ref="E221">IF(ISNUMBER($A221),IF(A221=A220,"Reference2(False,True,"&amp;INDEX(BackgroundCalcs!$AX$2:$AX$500,'Grading Formulas'!$A221)&amp;")","Reference() AND MOEValue(.0001)"),"")</f>
        <v/>
      </c>
      <c r="F221" s="4" t="str">
        <f t="shared" si="13"/>
        <v/>
      </c>
      <c r="G221" s="4" t="str">
        <f t="shared" si="14"/>
        <v/>
      </c>
      <c r="H221" s="4" t="str">
        <f t="shared" si="15"/>
        <v/>
      </c>
    </row>
    <row r="222" spans="1:8">
      <c r="A222" s="6" t="str">
        <f t="shared" si="16"/>
        <v/>
      </c>
      <c r="B222" s="6" t="str">
        <f t="shared" si="0"/>
        <v/>
      </c>
      <c r="C222" s="9" t="str" cm="1">
        <f t="array" ref="C222">IF(ISNUMBER(A222),INDEX(BackgroundCalcs!$AV$2:$AV$500,'Grading Formulas'!$A222),"")</f>
        <v/>
      </c>
      <c r="D222" s="9" t="str" cm="1">
        <f t="array" ref="D222">IF(ISNUMBER($A222),INDEX(BackgroundCalcs!$AW$2:$AW$500,'Grading Formulas'!$A222),"")</f>
        <v/>
      </c>
      <c r="E222" s="4" t="str" cm="1">
        <f t="array" ref="E222">IF(ISNUMBER($A222),IF(A222=A221,"Reference2(False,True,"&amp;INDEX(BackgroundCalcs!$AX$2:$AX$500,'Grading Formulas'!$A222)&amp;")","Reference() AND MOEValue(.0001)"),"")</f>
        <v/>
      </c>
      <c r="F222" s="4" t="str">
        <f t="shared" si="13"/>
        <v/>
      </c>
      <c r="G222" s="4" t="str">
        <f t="shared" si="14"/>
        <v/>
      </c>
      <c r="H222" s="4" t="str">
        <f t="shared" si="15"/>
        <v/>
      </c>
    </row>
    <row r="223" spans="1:8">
      <c r="A223" s="6" t="str">
        <f t="shared" si="16"/>
        <v/>
      </c>
      <c r="B223" s="6" t="str">
        <f t="shared" si="0"/>
        <v/>
      </c>
      <c r="C223" s="9" t="str" cm="1">
        <f t="array" ref="C223">IF(ISNUMBER(A223),INDEX(BackgroundCalcs!$AV$2:$AV$500,'Grading Formulas'!$A223),"")</f>
        <v/>
      </c>
      <c r="D223" s="9" t="str" cm="1">
        <f t="array" ref="D223">IF(ISNUMBER($A223),INDEX(BackgroundCalcs!$AW$2:$AW$500,'Grading Formulas'!$A223),"")</f>
        <v/>
      </c>
      <c r="E223" s="4" t="str" cm="1">
        <f t="array" ref="E223">IF(ISNUMBER($A223),IF(A223=A222,"Reference2(False,True,"&amp;INDEX(BackgroundCalcs!$AX$2:$AX$500,'Grading Formulas'!$A223)&amp;")","Reference() AND MOEValue(.0001)"),"")</f>
        <v/>
      </c>
      <c r="F223" s="4" t="str">
        <f t="shared" si="13"/>
        <v/>
      </c>
      <c r="G223" s="4" t="str">
        <f t="shared" si="14"/>
        <v/>
      </c>
      <c r="H223" s="4" t="str">
        <f t="shared" si="15"/>
        <v/>
      </c>
    </row>
    <row r="224" spans="1:8">
      <c r="A224" s="6" t="str">
        <f t="shared" si="16"/>
        <v/>
      </c>
      <c r="B224" s="6" t="str">
        <f t="shared" si="0"/>
        <v/>
      </c>
      <c r="C224" s="9" t="str" cm="1">
        <f t="array" ref="C224">IF(ISNUMBER(A224),INDEX(BackgroundCalcs!$AV$2:$AV$500,'Grading Formulas'!$A224),"")</f>
        <v/>
      </c>
      <c r="D224" s="9" t="str" cm="1">
        <f t="array" ref="D224">IF(ISNUMBER($A224),INDEX(BackgroundCalcs!$AW$2:$AW$500,'Grading Formulas'!$A224),"")</f>
        <v/>
      </c>
      <c r="E224" s="4" t="str" cm="1">
        <f t="array" ref="E224">IF(ISNUMBER($A224),IF(A224=A223,"Reference2(False,True,"&amp;INDEX(BackgroundCalcs!$AX$2:$AX$500,'Grading Formulas'!$A224)&amp;")","Reference() AND MOEValue(.0001)"),"")</f>
        <v/>
      </c>
      <c r="F224" s="4" t="str">
        <f t="shared" si="13"/>
        <v/>
      </c>
      <c r="G224" s="4" t="str">
        <f t="shared" si="14"/>
        <v/>
      </c>
      <c r="H224" s="4" t="str">
        <f t="shared" si="15"/>
        <v/>
      </c>
    </row>
    <row r="225" spans="1:8">
      <c r="A225" s="6" t="str">
        <f t="shared" si="16"/>
        <v/>
      </c>
      <c r="B225" s="6" t="str">
        <f t="shared" si="0"/>
        <v/>
      </c>
      <c r="C225" s="9" t="str" cm="1">
        <f t="array" ref="C225">IF(ISNUMBER(A225),INDEX(BackgroundCalcs!$AV$2:$AV$500,'Grading Formulas'!$A225),"")</f>
        <v/>
      </c>
      <c r="D225" s="9" t="str" cm="1">
        <f t="array" ref="D225">IF(ISNUMBER($A225),INDEX(BackgroundCalcs!$AW$2:$AW$500,'Grading Formulas'!$A225),"")</f>
        <v/>
      </c>
      <c r="E225" s="4" t="str" cm="1">
        <f t="array" ref="E225">IF(ISNUMBER($A225),IF(A225=A224,"Reference2(False,True,"&amp;INDEX(BackgroundCalcs!$AX$2:$AX$500,'Grading Formulas'!$A225)&amp;")","Reference() AND MOEValue(.0001)"),"")</f>
        <v/>
      </c>
      <c r="F225" s="4" t="str">
        <f t="shared" si="13"/>
        <v/>
      </c>
      <c r="G225" s="4" t="str">
        <f t="shared" si="14"/>
        <v/>
      </c>
      <c r="H225" s="4" t="str">
        <f t="shared" si="15"/>
        <v/>
      </c>
    </row>
    <row r="226" spans="1:8">
      <c r="A226" s="6" t="str">
        <f t="shared" si="16"/>
        <v/>
      </c>
      <c r="B226" s="6" t="str">
        <f t="shared" si="0"/>
        <v/>
      </c>
      <c r="C226" s="9" t="str" cm="1">
        <f t="array" ref="C226">IF(ISNUMBER(A226),INDEX(BackgroundCalcs!$AV$2:$AV$500,'Grading Formulas'!$A226),"")</f>
        <v/>
      </c>
      <c r="D226" s="9" t="str" cm="1">
        <f t="array" ref="D226">IF(ISNUMBER($A226),INDEX(BackgroundCalcs!$AW$2:$AW$500,'Grading Formulas'!$A226),"")</f>
        <v/>
      </c>
      <c r="E226" s="4" t="str" cm="1">
        <f t="array" ref="E226">IF(ISNUMBER($A226),IF(A226=A225,"Reference2(False,True,"&amp;INDEX(BackgroundCalcs!$AX$2:$AX$500,'Grading Formulas'!$A226)&amp;")","Reference() AND MOEValue(.0001)"),"")</f>
        <v/>
      </c>
      <c r="F226" s="4" t="str">
        <f t="shared" si="13"/>
        <v/>
      </c>
      <c r="G226" s="4" t="str">
        <f t="shared" si="14"/>
        <v/>
      </c>
      <c r="H226" s="4" t="str">
        <f t="shared" si="15"/>
        <v/>
      </c>
    </row>
    <row r="227" spans="1:8">
      <c r="A227" s="6" t="str">
        <f t="shared" si="16"/>
        <v/>
      </c>
      <c r="B227" s="6" t="str">
        <f t="shared" si="0"/>
        <v/>
      </c>
      <c r="C227" s="9" t="str" cm="1">
        <f t="array" ref="C227">IF(ISNUMBER(A227),INDEX(BackgroundCalcs!$AV$2:$AV$500,'Grading Formulas'!$A227),"")</f>
        <v/>
      </c>
      <c r="D227" s="9" t="str" cm="1">
        <f t="array" ref="D227">IF(ISNUMBER($A227),INDEX(BackgroundCalcs!$AW$2:$AW$500,'Grading Formulas'!$A227),"")</f>
        <v/>
      </c>
      <c r="E227" s="4" t="str" cm="1">
        <f t="array" ref="E227">IF(ISNUMBER($A227),IF(A227=A226,"Reference2(False,True,"&amp;INDEX(BackgroundCalcs!$AX$2:$AX$500,'Grading Formulas'!$A227)&amp;")","Reference() AND MOEValue(.0001)"),"")</f>
        <v/>
      </c>
      <c r="F227" s="4" t="str">
        <f t="shared" si="13"/>
        <v/>
      </c>
      <c r="G227" s="4" t="str">
        <f t="shared" si="14"/>
        <v/>
      </c>
      <c r="H227" s="4" t="str">
        <f t="shared" si="15"/>
        <v/>
      </c>
    </row>
    <row r="228" spans="1:8">
      <c r="A228" s="6" t="str">
        <f t="shared" si="16"/>
        <v/>
      </c>
      <c r="B228" s="6" t="str">
        <f t="shared" si="0"/>
        <v/>
      </c>
      <c r="C228" s="9" t="str" cm="1">
        <f t="array" ref="C228">IF(ISNUMBER(A228),INDEX(BackgroundCalcs!$AV$2:$AV$500,'Grading Formulas'!$A228),"")</f>
        <v/>
      </c>
      <c r="D228" s="9" t="str" cm="1">
        <f t="array" ref="D228">IF(ISNUMBER($A228),INDEX(BackgroundCalcs!$AW$2:$AW$500,'Grading Formulas'!$A228),"")</f>
        <v/>
      </c>
      <c r="E228" s="4" t="str" cm="1">
        <f t="array" ref="E228">IF(ISNUMBER($A228),IF(A228=A227,"Reference2(False,True,"&amp;INDEX(BackgroundCalcs!$AX$2:$AX$500,'Grading Formulas'!$A228)&amp;")","Reference() AND MOEValue(.0001)"),"")</f>
        <v/>
      </c>
      <c r="F228" s="4" t="str">
        <f t="shared" si="13"/>
        <v/>
      </c>
      <c r="G228" s="4" t="str">
        <f t="shared" si="14"/>
        <v/>
      </c>
      <c r="H228" s="4" t="str">
        <f t="shared" si="15"/>
        <v/>
      </c>
    </row>
    <row r="229" spans="1:8">
      <c r="A229" s="6" t="str">
        <f t="shared" si="16"/>
        <v/>
      </c>
      <c r="B229" s="6" t="str">
        <f t="shared" si="0"/>
        <v/>
      </c>
      <c r="C229" s="9" t="str" cm="1">
        <f t="array" ref="C229">IF(ISNUMBER(A229),INDEX(BackgroundCalcs!$AV$2:$AV$500,'Grading Formulas'!$A229),"")</f>
        <v/>
      </c>
      <c r="D229" s="9" t="str" cm="1">
        <f t="array" ref="D229">IF(ISNUMBER($A229),INDEX(BackgroundCalcs!$AW$2:$AW$500,'Grading Formulas'!$A229),"")</f>
        <v/>
      </c>
      <c r="E229" s="4" t="str" cm="1">
        <f t="array" ref="E229">IF(ISNUMBER($A229),IF(A229=A228,"Reference2(False,True,"&amp;INDEX(BackgroundCalcs!$AX$2:$AX$500,'Grading Formulas'!$A229)&amp;")","Reference() AND MOEValue(.0001)"),"")</f>
        <v/>
      </c>
      <c r="F229" s="4" t="str">
        <f t="shared" si="13"/>
        <v/>
      </c>
      <c r="G229" s="4" t="str">
        <f t="shared" si="14"/>
        <v/>
      </c>
      <c r="H229" s="4" t="str">
        <f t="shared" si="15"/>
        <v/>
      </c>
    </row>
    <row r="230" spans="1:8">
      <c r="A230" s="6" t="str">
        <f t="shared" si="16"/>
        <v/>
      </c>
      <c r="B230" s="6" t="str">
        <f t="shared" si="0"/>
        <v/>
      </c>
      <c r="C230" s="9" t="str" cm="1">
        <f t="array" ref="C230">IF(ISNUMBER(A230),INDEX(BackgroundCalcs!$AV$2:$AV$500,'Grading Formulas'!$A230),"")</f>
        <v/>
      </c>
      <c r="D230" s="9" t="str" cm="1">
        <f t="array" ref="D230">IF(ISNUMBER($A230),INDEX(BackgroundCalcs!$AW$2:$AW$500,'Grading Formulas'!$A230),"")</f>
        <v/>
      </c>
      <c r="E230" s="4" t="str" cm="1">
        <f t="array" ref="E230">IF(ISNUMBER($A230),IF(A230=A229,"Reference2(False,True,"&amp;INDEX(BackgroundCalcs!$AX$2:$AX$500,'Grading Formulas'!$A230)&amp;")","Reference() AND MOEValue(.0001)"),"")</f>
        <v/>
      </c>
      <c r="F230" s="4" t="str">
        <f t="shared" si="13"/>
        <v/>
      </c>
      <c r="G230" s="4" t="str">
        <f t="shared" si="14"/>
        <v/>
      </c>
      <c r="H230" s="4" t="str">
        <f t="shared" si="15"/>
        <v/>
      </c>
    </row>
    <row r="231" spans="1:8">
      <c r="A231" s="6" t="str">
        <f t="shared" si="16"/>
        <v/>
      </c>
      <c r="B231" s="6" t="str">
        <f t="shared" si="0"/>
        <v/>
      </c>
      <c r="C231" s="9" t="str" cm="1">
        <f t="array" ref="C231">IF(ISNUMBER(A231),INDEX(BackgroundCalcs!$AV$2:$AV$500,'Grading Formulas'!$A231),"")</f>
        <v/>
      </c>
      <c r="D231" s="9" t="str" cm="1">
        <f t="array" ref="D231">IF(ISNUMBER($A231),INDEX(BackgroundCalcs!$AW$2:$AW$500,'Grading Formulas'!$A231),"")</f>
        <v/>
      </c>
      <c r="E231" s="4" t="str" cm="1">
        <f t="array" ref="E231">IF(ISNUMBER($A231),IF(A231=A230,"Reference2(False,True,"&amp;INDEX(BackgroundCalcs!$AX$2:$AX$500,'Grading Formulas'!$A231)&amp;")","Reference() AND MOEValue(.0001)"),"")</f>
        <v/>
      </c>
      <c r="F231" s="4" t="str">
        <f t="shared" si="13"/>
        <v/>
      </c>
      <c r="G231" s="4" t="str">
        <f t="shared" si="14"/>
        <v/>
      </c>
      <c r="H231" s="4" t="str">
        <f t="shared" si="15"/>
        <v/>
      </c>
    </row>
    <row r="232" spans="1:8">
      <c r="A232" s="6" t="str">
        <f t="shared" si="16"/>
        <v/>
      </c>
      <c r="B232" s="6" t="str">
        <f t="shared" si="0"/>
        <v/>
      </c>
      <c r="C232" s="9" t="str" cm="1">
        <f t="array" ref="C232">IF(ISNUMBER(A232),INDEX(BackgroundCalcs!$AV$2:$AV$500,'Grading Formulas'!$A232),"")</f>
        <v/>
      </c>
      <c r="D232" s="9" t="str" cm="1">
        <f t="array" ref="D232">IF(ISNUMBER($A232),INDEX(BackgroundCalcs!$AW$2:$AW$500,'Grading Formulas'!$A232),"")</f>
        <v/>
      </c>
      <c r="E232" s="4" t="str" cm="1">
        <f t="array" ref="E232">IF(ISNUMBER($A232),IF(A232=A231,"Reference2(False,True,"&amp;INDEX(BackgroundCalcs!$AX$2:$AX$500,'Grading Formulas'!$A232)&amp;")","Reference() AND MOEValue(.0001)"),"")</f>
        <v/>
      </c>
      <c r="F232" s="4" t="str">
        <f t="shared" si="13"/>
        <v/>
      </c>
      <c r="G232" s="4" t="str">
        <f t="shared" si="14"/>
        <v/>
      </c>
      <c r="H232" s="4" t="str">
        <f t="shared" si="15"/>
        <v/>
      </c>
    </row>
    <row r="233" spans="1:8">
      <c r="A233" s="6" t="str">
        <f t="shared" si="16"/>
        <v/>
      </c>
      <c r="B233" s="6" t="str">
        <f t="shared" si="0"/>
        <v/>
      </c>
      <c r="C233" s="9" t="str" cm="1">
        <f t="array" ref="C233">IF(ISNUMBER(A233),INDEX(BackgroundCalcs!$AV$2:$AV$500,'Grading Formulas'!$A233),"")</f>
        <v/>
      </c>
      <c r="D233" s="9" t="str" cm="1">
        <f t="array" ref="D233">IF(ISNUMBER($A233),INDEX(BackgroundCalcs!$AW$2:$AW$500,'Grading Formulas'!$A233),"")</f>
        <v/>
      </c>
      <c r="E233" s="4" t="str" cm="1">
        <f t="array" ref="E233">IF(ISNUMBER($A233),IF(A233=A232,"Reference2(False,True,"&amp;INDEX(BackgroundCalcs!$AX$2:$AX$500,'Grading Formulas'!$A233)&amp;")","Reference() AND MOEValue(.0001)"),"")</f>
        <v/>
      </c>
      <c r="F233" s="4" t="str">
        <f t="shared" si="13"/>
        <v/>
      </c>
      <c r="G233" s="4" t="str">
        <f t="shared" si="14"/>
        <v/>
      </c>
      <c r="H233" s="4" t="str">
        <f t="shared" si="15"/>
        <v/>
      </c>
    </row>
    <row r="234" spans="1:8">
      <c r="A234" s="6" t="str">
        <f t="shared" si="16"/>
        <v/>
      </c>
      <c r="B234" s="6" t="str">
        <f t="shared" si="0"/>
        <v/>
      </c>
      <c r="C234" s="9" t="str" cm="1">
        <f t="array" ref="C234">IF(ISNUMBER(A234),INDEX(BackgroundCalcs!$AV$2:$AV$500,'Grading Formulas'!$A234),"")</f>
        <v/>
      </c>
      <c r="D234" s="9" t="str" cm="1">
        <f t="array" ref="D234">IF(ISNUMBER($A234),INDEX(BackgroundCalcs!$AW$2:$AW$500,'Grading Formulas'!$A234),"")</f>
        <v/>
      </c>
      <c r="E234" s="4" t="str" cm="1">
        <f t="array" ref="E234">IF(ISNUMBER($A234),IF(A234=A233,"Reference2(False,True,"&amp;INDEX(BackgroundCalcs!$AX$2:$AX$500,'Grading Formulas'!$A234)&amp;")","Reference() AND MOEValue(.0001)"),"")</f>
        <v/>
      </c>
      <c r="F234" s="4" t="str">
        <f t="shared" si="13"/>
        <v/>
      </c>
      <c r="G234" s="4" t="str">
        <f t="shared" si="14"/>
        <v/>
      </c>
      <c r="H234" s="4" t="str">
        <f t="shared" si="15"/>
        <v/>
      </c>
    </row>
    <row r="235" spans="1:8">
      <c r="A235" s="6" t="str">
        <f t="shared" si="16"/>
        <v/>
      </c>
      <c r="B235" s="6" t="str">
        <f t="shared" si="0"/>
        <v/>
      </c>
      <c r="C235" s="9" t="str" cm="1">
        <f t="array" ref="C235">IF(ISNUMBER(A235),INDEX(BackgroundCalcs!$AV$2:$AV$500,'Grading Formulas'!$A235),"")</f>
        <v/>
      </c>
      <c r="D235" s="9" t="str" cm="1">
        <f t="array" ref="D235">IF(ISNUMBER($A235),INDEX(BackgroundCalcs!$AW$2:$AW$500,'Grading Formulas'!$A235),"")</f>
        <v/>
      </c>
      <c r="E235" s="4" t="str" cm="1">
        <f t="array" ref="E235">IF(ISNUMBER($A235),IF(A235=A234,"Reference2(False,True,"&amp;INDEX(BackgroundCalcs!$AX$2:$AX$500,'Grading Formulas'!$A235)&amp;")","Reference() AND MOEValue(.0001)"),"")</f>
        <v/>
      </c>
      <c r="F235" s="4" t="str">
        <f t="shared" si="13"/>
        <v/>
      </c>
      <c r="G235" s="4" t="str">
        <f t="shared" si="14"/>
        <v/>
      </c>
      <c r="H235" s="4" t="str">
        <f t="shared" si="15"/>
        <v/>
      </c>
    </row>
    <row r="236" spans="1:8">
      <c r="A236" s="6" t="str">
        <f t="shared" si="16"/>
        <v/>
      </c>
      <c r="B236" s="6" t="str">
        <f t="shared" si="0"/>
        <v/>
      </c>
      <c r="C236" s="9" t="str" cm="1">
        <f t="array" ref="C236">IF(ISNUMBER(A236),INDEX(BackgroundCalcs!$AV$2:$AV$500,'Grading Formulas'!$A236),"")</f>
        <v/>
      </c>
      <c r="D236" s="9" t="str" cm="1">
        <f t="array" ref="D236">IF(ISNUMBER($A236),INDEX(BackgroundCalcs!$AW$2:$AW$500,'Grading Formulas'!$A236),"")</f>
        <v/>
      </c>
      <c r="E236" s="4" t="str" cm="1">
        <f t="array" ref="E236">IF(ISNUMBER($A236),IF(A236=A235,"Reference2(False,True,"&amp;INDEX(BackgroundCalcs!$AX$2:$AX$500,'Grading Formulas'!$A236)&amp;")","Reference() AND MOEValue(.0001)"),"")</f>
        <v/>
      </c>
      <c r="F236" s="4" t="str">
        <f t="shared" si="13"/>
        <v/>
      </c>
      <c r="G236" s="4" t="str">
        <f t="shared" si="14"/>
        <v/>
      </c>
      <c r="H236" s="4" t="str">
        <f t="shared" si="15"/>
        <v/>
      </c>
    </row>
    <row r="237" spans="1:8">
      <c r="A237" s="6" t="str">
        <f t="shared" si="16"/>
        <v/>
      </c>
      <c r="B237" s="6" t="str">
        <f t="shared" si="0"/>
        <v/>
      </c>
      <c r="C237" s="9" t="str" cm="1">
        <f t="array" ref="C237">IF(ISNUMBER(A237),INDEX(BackgroundCalcs!$AV$2:$AV$500,'Grading Formulas'!$A237),"")</f>
        <v/>
      </c>
      <c r="D237" s="9" t="str" cm="1">
        <f t="array" ref="D237">IF(ISNUMBER($A237),INDEX(BackgroundCalcs!$AW$2:$AW$500,'Grading Formulas'!$A237),"")</f>
        <v/>
      </c>
      <c r="E237" s="4" t="str" cm="1">
        <f t="array" ref="E237">IF(ISNUMBER($A237),IF(A237=A236,"Reference2(False,True,"&amp;INDEX(BackgroundCalcs!$AX$2:$AX$500,'Grading Formulas'!$A237)&amp;")","Reference() AND MOEValue(.0001)"),"")</f>
        <v/>
      </c>
      <c r="F237" s="4" t="str">
        <f t="shared" si="13"/>
        <v/>
      </c>
      <c r="G237" s="4" t="str">
        <f t="shared" si="14"/>
        <v/>
      </c>
      <c r="H237" s="4" t="str">
        <f t="shared" si="15"/>
        <v/>
      </c>
    </row>
    <row r="238" spans="1:8">
      <c r="A238" s="6" t="str">
        <f t="shared" si="16"/>
        <v/>
      </c>
      <c r="B238" s="6" t="str">
        <f t="shared" si="0"/>
        <v/>
      </c>
      <c r="C238" s="9" t="str" cm="1">
        <f t="array" ref="C238">IF(ISNUMBER(A238),INDEX(BackgroundCalcs!$AV$2:$AV$500,'Grading Formulas'!$A238),"")</f>
        <v/>
      </c>
      <c r="D238" s="9" t="str" cm="1">
        <f t="array" ref="D238">IF(ISNUMBER($A238),INDEX(BackgroundCalcs!$AW$2:$AW$500,'Grading Formulas'!$A238),"")</f>
        <v/>
      </c>
      <c r="E238" s="4" t="str" cm="1">
        <f t="array" ref="E238">IF(ISNUMBER($A238),IF(A238=A237,"Reference2(False,True,"&amp;INDEX(BackgroundCalcs!$AX$2:$AX$500,'Grading Formulas'!$A238)&amp;")","Reference() AND MOEValue(.0001)"),"")</f>
        <v/>
      </c>
      <c r="F238" s="4" t="str">
        <f t="shared" si="13"/>
        <v/>
      </c>
      <c r="G238" s="4" t="str">
        <f t="shared" si="14"/>
        <v/>
      </c>
      <c r="H238" s="4" t="str">
        <f t="shared" si="15"/>
        <v/>
      </c>
    </row>
    <row r="239" spans="1:8">
      <c r="A239" s="6" t="str">
        <f t="shared" si="16"/>
        <v/>
      </c>
      <c r="B239" s="6" t="str">
        <f t="shared" si="0"/>
        <v/>
      </c>
      <c r="C239" s="9" t="str" cm="1">
        <f t="array" ref="C239">IF(ISNUMBER(A239),INDEX(BackgroundCalcs!$AV$2:$AV$500,'Grading Formulas'!$A239),"")</f>
        <v/>
      </c>
      <c r="D239" s="9" t="str" cm="1">
        <f t="array" ref="D239">IF(ISNUMBER($A239),INDEX(BackgroundCalcs!$AW$2:$AW$500,'Grading Formulas'!$A239),"")</f>
        <v/>
      </c>
      <c r="E239" s="4" t="str" cm="1">
        <f t="array" ref="E239">IF(ISNUMBER($A239),IF(A239=A238,"Reference2(False,True,"&amp;INDEX(BackgroundCalcs!$AX$2:$AX$500,'Grading Formulas'!$A239)&amp;")","Reference() AND MOEValue(.0001)"),"")</f>
        <v/>
      </c>
      <c r="F239" s="4" t="str">
        <f t="shared" si="13"/>
        <v/>
      </c>
      <c r="G239" s="4" t="str">
        <f t="shared" si="14"/>
        <v/>
      </c>
      <c r="H239" s="4" t="str">
        <f t="shared" si="15"/>
        <v/>
      </c>
    </row>
    <row r="240" spans="1:8">
      <c r="A240" s="6" t="str">
        <f t="shared" si="16"/>
        <v/>
      </c>
      <c r="B240" s="6" t="str">
        <f t="shared" si="0"/>
        <v/>
      </c>
      <c r="C240" s="9" t="str" cm="1">
        <f t="array" ref="C240">IF(ISNUMBER(A240),INDEX(BackgroundCalcs!$AV$2:$AV$500,'Grading Formulas'!$A240),"")</f>
        <v/>
      </c>
      <c r="D240" s="9" t="str" cm="1">
        <f t="array" ref="D240">IF(ISNUMBER($A240),INDEX(BackgroundCalcs!$AW$2:$AW$500,'Grading Formulas'!$A240),"")</f>
        <v/>
      </c>
      <c r="E240" s="4" t="str" cm="1">
        <f t="array" ref="E240">IF(ISNUMBER($A240),IF(A240=A239,"Reference2(False,True,"&amp;INDEX(BackgroundCalcs!$AX$2:$AX$500,'Grading Formulas'!$A240)&amp;")","Reference() AND MOEValue(.0001)"),"")</f>
        <v/>
      </c>
      <c r="F240" s="4" t="str">
        <f t="shared" si="13"/>
        <v/>
      </c>
      <c r="G240" s="4" t="str">
        <f t="shared" si="14"/>
        <v/>
      </c>
      <c r="H240" s="4" t="str">
        <f t="shared" si="15"/>
        <v/>
      </c>
    </row>
    <row r="241" spans="1:8">
      <c r="A241" s="6" t="str">
        <f t="shared" si="16"/>
        <v/>
      </c>
      <c r="B241" s="6" t="str">
        <f t="shared" si="0"/>
        <v/>
      </c>
      <c r="C241" s="9" t="str" cm="1">
        <f t="array" ref="C241">IF(ISNUMBER(A241),INDEX(BackgroundCalcs!$AV$2:$AV$500,'Grading Formulas'!$A241),"")</f>
        <v/>
      </c>
      <c r="D241" s="9" t="str" cm="1">
        <f t="array" ref="D241">IF(ISNUMBER($A241),INDEX(BackgroundCalcs!$AW$2:$AW$500,'Grading Formulas'!$A241),"")</f>
        <v/>
      </c>
      <c r="E241" s="4" t="str" cm="1">
        <f t="array" ref="E241">IF(ISNUMBER($A241),IF(A241=A240,"Reference2(False,True,"&amp;INDEX(BackgroundCalcs!$AX$2:$AX$500,'Grading Formulas'!$A241)&amp;")","Reference() AND MOEValue(.0001)"),"")</f>
        <v/>
      </c>
      <c r="F241" s="4" t="str">
        <f t="shared" si="13"/>
        <v/>
      </c>
      <c r="G241" s="4" t="str">
        <f t="shared" si="14"/>
        <v/>
      </c>
      <c r="H241" s="4" t="str">
        <f t="shared" si="15"/>
        <v/>
      </c>
    </row>
    <row r="242" spans="1:8">
      <c r="A242" s="6" t="str">
        <f t="shared" si="16"/>
        <v/>
      </c>
      <c r="B242" s="6" t="str">
        <f t="shared" si="0"/>
        <v/>
      </c>
      <c r="C242" s="9" t="str" cm="1">
        <f t="array" ref="C242">IF(ISNUMBER(A242),INDEX(BackgroundCalcs!$AV$2:$AV$500,'Grading Formulas'!$A242),"")</f>
        <v/>
      </c>
      <c r="D242" s="9" t="str" cm="1">
        <f t="array" ref="D242">IF(ISNUMBER($A242),INDEX(BackgroundCalcs!$AW$2:$AW$500,'Grading Formulas'!$A242),"")</f>
        <v/>
      </c>
      <c r="E242" s="4" t="str" cm="1">
        <f t="array" ref="E242">IF(ISNUMBER($A242),IF(A242=A241,"Reference2(False,True,"&amp;INDEX(BackgroundCalcs!$AX$2:$AX$500,'Grading Formulas'!$A242)&amp;")","Reference() AND MOEValue(.0001)"),"")</f>
        <v/>
      </c>
      <c r="F242" s="4" t="str">
        <f t="shared" si="13"/>
        <v/>
      </c>
      <c r="G242" s="4" t="str">
        <f t="shared" si="14"/>
        <v/>
      </c>
      <c r="H242" s="4" t="str">
        <f t="shared" si="15"/>
        <v/>
      </c>
    </row>
    <row r="243" spans="1:8">
      <c r="A243" s="6" t="str">
        <f t="shared" si="16"/>
        <v/>
      </c>
      <c r="B243" s="6" t="str">
        <f t="shared" si="0"/>
        <v/>
      </c>
      <c r="C243" s="9" t="str" cm="1">
        <f t="array" ref="C243">IF(ISNUMBER(A243),INDEX(BackgroundCalcs!$AV$2:$AV$500,'Grading Formulas'!$A243),"")</f>
        <v/>
      </c>
      <c r="D243" s="9" t="str" cm="1">
        <f t="array" ref="D243">IF(ISNUMBER($A243),INDEX(BackgroundCalcs!$AW$2:$AW$500,'Grading Formulas'!$A243),"")</f>
        <v/>
      </c>
      <c r="E243" s="4" t="str" cm="1">
        <f t="array" ref="E243">IF(ISNUMBER($A243),IF(A243=A242,"Reference2(False,True,"&amp;INDEX(BackgroundCalcs!$AX$2:$AX$500,'Grading Formulas'!$A243)&amp;")","Reference() AND MOEValue(.0001)"),"")</f>
        <v/>
      </c>
      <c r="F243" s="4" t="str">
        <f t="shared" si="13"/>
        <v/>
      </c>
      <c r="G243" s="4" t="str">
        <f t="shared" si="14"/>
        <v/>
      </c>
      <c r="H243" s="4" t="str">
        <f t="shared" si="15"/>
        <v/>
      </c>
    </row>
    <row r="244" spans="1:8">
      <c r="A244" s="6" t="str">
        <f t="shared" si="16"/>
        <v/>
      </c>
      <c r="B244" s="6" t="str">
        <f t="shared" si="0"/>
        <v/>
      </c>
      <c r="C244" s="9" t="str" cm="1">
        <f t="array" ref="C244">IF(ISNUMBER(A244),INDEX(BackgroundCalcs!$AV$2:$AV$500,'Grading Formulas'!$A244),"")</f>
        <v/>
      </c>
      <c r="D244" s="9" t="str" cm="1">
        <f t="array" ref="D244">IF(ISNUMBER($A244),INDEX(BackgroundCalcs!$AW$2:$AW$500,'Grading Formulas'!$A244),"")</f>
        <v/>
      </c>
      <c r="E244" s="4" t="str" cm="1">
        <f t="array" ref="E244">IF(ISNUMBER($A244),IF(A244=A243,"Reference2(False,True,"&amp;INDEX(BackgroundCalcs!$AX$2:$AX$500,'Grading Formulas'!$A244)&amp;")","Reference() AND MOEValue(.0001)"),"")</f>
        <v/>
      </c>
      <c r="F244" s="4" t="str">
        <f t="shared" si="13"/>
        <v/>
      </c>
      <c r="G244" s="4" t="str">
        <f t="shared" si="14"/>
        <v/>
      </c>
      <c r="H244" s="4" t="str">
        <f t="shared" si="15"/>
        <v/>
      </c>
    </row>
    <row r="245" spans="1:8">
      <c r="A245" s="6" t="str">
        <f t="shared" si="16"/>
        <v/>
      </c>
      <c r="B245" s="6" t="str">
        <f t="shared" si="0"/>
        <v/>
      </c>
      <c r="C245" s="9" t="str" cm="1">
        <f t="array" ref="C245">IF(ISNUMBER(A245),INDEX(BackgroundCalcs!$AV$2:$AV$500,'Grading Formulas'!$A245),"")</f>
        <v/>
      </c>
      <c r="D245" s="9" t="str" cm="1">
        <f t="array" ref="D245">IF(ISNUMBER($A245),INDEX(BackgroundCalcs!$AW$2:$AW$500,'Grading Formulas'!$A245),"")</f>
        <v/>
      </c>
      <c r="E245" s="4" t="str" cm="1">
        <f t="array" ref="E245">IF(ISNUMBER($A245),IF(A245=A244,"Reference2(False,True,"&amp;INDEX(BackgroundCalcs!$AX$2:$AX$500,'Grading Formulas'!$A245)&amp;")","Reference() AND MOEValue(.0001)"),"")</f>
        <v/>
      </c>
      <c r="F245" s="4" t="str">
        <f t="shared" si="13"/>
        <v/>
      </c>
      <c r="G245" s="4" t="str">
        <f t="shared" si="14"/>
        <v/>
      </c>
      <c r="H245" s="4" t="str">
        <f t="shared" si="15"/>
        <v/>
      </c>
    </row>
    <row r="246" spans="1:8">
      <c r="A246" s="6" t="str">
        <f t="shared" si="16"/>
        <v/>
      </c>
      <c r="B246" s="6" t="str">
        <f t="shared" si="0"/>
        <v/>
      </c>
      <c r="C246" s="9" t="str" cm="1">
        <f t="array" ref="C246">IF(ISNUMBER(A246),INDEX(BackgroundCalcs!$AV$2:$AV$500,'Grading Formulas'!$A246),"")</f>
        <v/>
      </c>
      <c r="D246" s="9" t="str" cm="1">
        <f t="array" ref="D246">IF(ISNUMBER($A246),INDEX(BackgroundCalcs!$AW$2:$AW$500,'Grading Formulas'!$A246),"")</f>
        <v/>
      </c>
      <c r="E246" s="4" t="str" cm="1">
        <f t="array" ref="E246">IF(ISNUMBER($A246),IF(A246=A245,"Reference2(False,True,"&amp;INDEX(BackgroundCalcs!$AX$2:$AX$500,'Grading Formulas'!$A246)&amp;")","Reference() AND MOEValue(.0001)"),"")</f>
        <v/>
      </c>
      <c r="F246" s="4" t="str">
        <f t="shared" si="13"/>
        <v/>
      </c>
      <c r="G246" s="4" t="str">
        <f t="shared" si="14"/>
        <v/>
      </c>
      <c r="H246" s="4" t="str">
        <f t="shared" si="15"/>
        <v/>
      </c>
    </row>
    <row r="247" spans="1:8">
      <c r="A247" s="6" t="str">
        <f t="shared" si="16"/>
        <v/>
      </c>
      <c r="B247" s="6" t="str">
        <f t="shared" si="0"/>
        <v/>
      </c>
      <c r="C247" s="9" t="str" cm="1">
        <f t="array" ref="C247">IF(ISNUMBER(A247),INDEX(BackgroundCalcs!$AV$2:$AV$500,'Grading Formulas'!$A247),"")</f>
        <v/>
      </c>
      <c r="D247" s="9" t="str" cm="1">
        <f t="array" ref="D247">IF(ISNUMBER($A247),INDEX(BackgroundCalcs!$AW$2:$AW$500,'Grading Formulas'!$A247),"")</f>
        <v/>
      </c>
      <c r="E247" s="4" t="str" cm="1">
        <f t="array" ref="E247">IF(ISNUMBER($A247),IF(A247=A246,"Reference2(False,True,"&amp;INDEX(BackgroundCalcs!$AX$2:$AX$500,'Grading Formulas'!$A247)&amp;")","Reference() AND MOEValue(.0001)"),"")</f>
        <v/>
      </c>
      <c r="F247" s="4" t="str">
        <f t="shared" si="13"/>
        <v/>
      </c>
      <c r="G247" s="4" t="str">
        <f t="shared" si="14"/>
        <v/>
      </c>
      <c r="H247" s="4" t="str">
        <f t="shared" si="15"/>
        <v/>
      </c>
    </row>
    <row r="248" spans="1:8">
      <c r="A248" s="6" t="str">
        <f t="shared" si="16"/>
        <v/>
      </c>
      <c r="B248" s="6" t="str">
        <f t="shared" si="0"/>
        <v/>
      </c>
      <c r="C248" s="9" t="str" cm="1">
        <f t="array" ref="C248">IF(ISNUMBER(A248),INDEX(BackgroundCalcs!$AV$2:$AV$500,'Grading Formulas'!$A248),"")</f>
        <v/>
      </c>
      <c r="D248" s="9" t="str" cm="1">
        <f t="array" ref="D248">IF(ISNUMBER($A248),INDEX(BackgroundCalcs!$AW$2:$AW$500,'Grading Formulas'!$A248),"")</f>
        <v/>
      </c>
      <c r="E248" s="4" t="str" cm="1">
        <f t="array" ref="E248">IF(ISNUMBER($A248),IF(A248=A247,"Reference2(False,True,"&amp;INDEX(BackgroundCalcs!$AX$2:$AX$500,'Grading Formulas'!$A248)&amp;")","Reference() AND MOEValue(.0001)"),"")</f>
        <v/>
      </c>
      <c r="F248" s="4" t="str">
        <f t="shared" si="13"/>
        <v/>
      </c>
      <c r="G248" s="4" t="str">
        <f t="shared" si="14"/>
        <v/>
      </c>
      <c r="H248" s="4" t="str">
        <f t="shared" si="15"/>
        <v/>
      </c>
    </row>
    <row r="249" spans="1:8">
      <c r="A249" s="6" t="str">
        <f t="shared" si="16"/>
        <v/>
      </c>
      <c r="B249" s="6" t="str">
        <f t="shared" si="0"/>
        <v/>
      </c>
      <c r="C249" s="9" t="str" cm="1">
        <f t="array" ref="C249">IF(ISNUMBER(A249),INDEX(BackgroundCalcs!$AV$2:$AV$500,'Grading Formulas'!$A249),"")</f>
        <v/>
      </c>
      <c r="D249" s="9" t="str" cm="1">
        <f t="array" ref="D249">IF(ISNUMBER($A249),INDEX(BackgroundCalcs!$AW$2:$AW$500,'Grading Formulas'!$A249),"")</f>
        <v/>
      </c>
      <c r="E249" s="4" t="str" cm="1">
        <f t="array" ref="E249">IF(ISNUMBER($A249),IF(A249=A248,"Reference2(False,True,"&amp;INDEX(BackgroundCalcs!$AX$2:$AX$500,'Grading Formulas'!$A249)&amp;")","Reference() AND MOEValue(.0001)"),"")</f>
        <v/>
      </c>
      <c r="F249" s="4" t="str">
        <f t="shared" si="13"/>
        <v/>
      </c>
      <c r="G249" s="4" t="str">
        <f t="shared" si="14"/>
        <v/>
      </c>
      <c r="H249" s="4" t="str">
        <f t="shared" si="15"/>
        <v/>
      </c>
    </row>
    <row r="250" spans="1:8">
      <c r="A250" s="6" t="str">
        <f t="shared" si="16"/>
        <v/>
      </c>
      <c r="B250" s="6" t="str">
        <f t="shared" si="0"/>
        <v/>
      </c>
      <c r="C250" s="9" t="str" cm="1">
        <f t="array" ref="C250">IF(ISNUMBER(A250),INDEX(BackgroundCalcs!$AV$2:$AV$500,'Grading Formulas'!$A250),"")</f>
        <v/>
      </c>
      <c r="D250" s="9" t="str" cm="1">
        <f t="array" ref="D250">IF(ISNUMBER($A250),INDEX(BackgroundCalcs!$AW$2:$AW$500,'Grading Formulas'!$A250),"")</f>
        <v/>
      </c>
      <c r="E250" s="4" t="str" cm="1">
        <f t="array" ref="E250">IF(ISNUMBER($A250),IF(A250=A249,"Reference2(False,True,"&amp;INDEX(BackgroundCalcs!$AX$2:$AX$500,'Grading Formulas'!$A250)&amp;")","Reference() AND MOEValue(.0001)"),"")</f>
        <v/>
      </c>
      <c r="F250" s="4" t="str">
        <f t="shared" si="13"/>
        <v/>
      </c>
      <c r="G250" s="4" t="str">
        <f t="shared" si="14"/>
        <v/>
      </c>
      <c r="H250" s="4" t="str">
        <f t="shared" si="15"/>
        <v/>
      </c>
    </row>
    <row r="251" spans="1:8">
      <c r="A251" s="6" t="str">
        <f t="shared" si="16"/>
        <v/>
      </c>
      <c r="B251" s="6" t="str">
        <f t="shared" si="0"/>
        <v/>
      </c>
      <c r="C251" s="9" t="str" cm="1">
        <f t="array" ref="C251">IF(ISNUMBER(A251),INDEX(BackgroundCalcs!$AV$2:$AV$500,'Grading Formulas'!$A251),"")</f>
        <v/>
      </c>
      <c r="D251" s="9" t="str" cm="1">
        <f t="array" ref="D251">IF(ISNUMBER($A251),INDEX(BackgroundCalcs!$AW$2:$AW$500,'Grading Formulas'!$A251),"")</f>
        <v/>
      </c>
      <c r="E251" s="4" t="str" cm="1">
        <f t="array" ref="E251">IF(ISNUMBER($A251),IF(A251=A250,"Reference2(False,True,"&amp;INDEX(BackgroundCalcs!$AX$2:$AX$500,'Grading Formulas'!$A251)&amp;")","Reference() AND MOEValue(.0001)"),"")</f>
        <v/>
      </c>
      <c r="F251" s="4" t="str">
        <f t="shared" si="13"/>
        <v/>
      </c>
      <c r="G251" s="4" t="str">
        <f t="shared" si="14"/>
        <v/>
      </c>
      <c r="H251" s="4" t="str">
        <f t="shared" si="15"/>
        <v/>
      </c>
    </row>
    <row r="252" spans="1:8">
      <c r="A252" s="6" t="str">
        <f t="shared" si="16"/>
        <v/>
      </c>
      <c r="B252" s="6" t="str">
        <f t="shared" si="0"/>
        <v/>
      </c>
      <c r="C252" s="9" t="str" cm="1">
        <f t="array" ref="C252">IF(ISNUMBER(A252),INDEX(BackgroundCalcs!$AV$2:$AV$500,'Grading Formulas'!$A252),"")</f>
        <v/>
      </c>
      <c r="D252" s="9" t="str" cm="1">
        <f t="array" ref="D252">IF(ISNUMBER($A252),INDEX(BackgroundCalcs!$AW$2:$AW$500,'Grading Formulas'!$A252),"")</f>
        <v/>
      </c>
      <c r="E252" s="4" t="str" cm="1">
        <f t="array" ref="E252">IF(ISNUMBER($A252),IF(A252=A251,"Reference2(False,True,"&amp;INDEX(BackgroundCalcs!$AX$2:$AX$500,'Grading Formulas'!$A252)&amp;")","Reference() AND MOEValue(.0001)"),"")</f>
        <v/>
      </c>
      <c r="F252" s="4" t="str">
        <f t="shared" si="13"/>
        <v/>
      </c>
      <c r="G252" s="4" t="str">
        <f t="shared" si="14"/>
        <v/>
      </c>
      <c r="H252" s="4" t="str">
        <f t="shared" si="15"/>
        <v/>
      </c>
    </row>
    <row r="253" spans="1:8">
      <c r="A253" s="6" t="str">
        <f t="shared" si="16"/>
        <v/>
      </c>
      <c r="B253" s="6" t="str">
        <f t="shared" si="0"/>
        <v/>
      </c>
      <c r="C253" s="9" t="str" cm="1">
        <f t="array" ref="C253">IF(ISNUMBER(A253),INDEX(BackgroundCalcs!$AV$2:$AV$500,'Grading Formulas'!$A253),"")</f>
        <v/>
      </c>
      <c r="D253" s="9" t="str" cm="1">
        <f t="array" ref="D253">IF(ISNUMBER($A253),INDEX(BackgroundCalcs!$AW$2:$AW$500,'Grading Formulas'!$A253),"")</f>
        <v/>
      </c>
      <c r="E253" s="4" t="str" cm="1">
        <f t="array" ref="E253">IF(ISNUMBER($A253),IF(A253=A252,"Reference2(False,True,"&amp;INDEX(BackgroundCalcs!$AX$2:$AX$500,'Grading Formulas'!$A253)&amp;")","Reference() AND MOEValue(.0001)"),"")</f>
        <v/>
      </c>
      <c r="F253" s="4" t="str">
        <f t="shared" si="13"/>
        <v/>
      </c>
      <c r="G253" s="4" t="str">
        <f t="shared" si="14"/>
        <v/>
      </c>
      <c r="H253" s="4" t="str">
        <f t="shared" si="15"/>
        <v/>
      </c>
    </row>
    <row r="254" spans="1:8">
      <c r="A254" s="6" t="str">
        <f t="shared" si="16"/>
        <v/>
      </c>
      <c r="B254" s="6" t="str">
        <f t="shared" si="0"/>
        <v/>
      </c>
      <c r="C254" s="9" t="str" cm="1">
        <f t="array" ref="C254">IF(ISNUMBER(A254),INDEX(BackgroundCalcs!$AV$2:$AV$500,'Grading Formulas'!$A254),"")</f>
        <v/>
      </c>
      <c r="D254" s="9" t="str" cm="1">
        <f t="array" ref="D254">IF(ISNUMBER($A254),INDEX(BackgroundCalcs!$AW$2:$AW$500,'Grading Formulas'!$A254),"")</f>
        <v/>
      </c>
      <c r="E254" s="4" t="str" cm="1">
        <f t="array" ref="E254">IF(ISNUMBER($A254),IF(A254=A253,"Reference2(False,True,"&amp;INDEX(BackgroundCalcs!$AX$2:$AX$500,'Grading Formulas'!$A254)&amp;")","Reference() AND MOEValue(.0001)"),"")</f>
        <v/>
      </c>
      <c r="F254" s="4" t="str">
        <f t="shared" si="13"/>
        <v/>
      </c>
      <c r="G254" s="4" t="str">
        <f t="shared" si="14"/>
        <v/>
      </c>
      <c r="H254" s="4" t="str">
        <f t="shared" si="15"/>
        <v/>
      </c>
    </row>
    <row r="255" spans="1:8">
      <c r="A255" s="6" t="str">
        <f t="shared" si="16"/>
        <v/>
      </c>
      <c r="B255" s="6" t="str">
        <f t="shared" si="0"/>
        <v/>
      </c>
      <c r="C255" s="9" t="str" cm="1">
        <f t="array" ref="C255">IF(ISNUMBER(A255),INDEX(BackgroundCalcs!$AV$2:$AV$500,'Grading Formulas'!$A255),"")</f>
        <v/>
      </c>
      <c r="D255" s="9" t="str" cm="1">
        <f t="array" ref="D255">IF(ISNUMBER($A255),INDEX(BackgroundCalcs!$AW$2:$AW$500,'Grading Formulas'!$A255),"")</f>
        <v/>
      </c>
      <c r="E255" s="4" t="str" cm="1">
        <f t="array" ref="E255">IF(ISNUMBER($A255),IF(A255=A254,"Reference2(False,True,"&amp;INDEX(BackgroundCalcs!$AX$2:$AX$500,'Grading Formulas'!$A255)&amp;")","Reference() AND MOEValue(.0001)"),"")</f>
        <v/>
      </c>
      <c r="F255" s="4" t="str">
        <f t="shared" si="13"/>
        <v/>
      </c>
      <c r="G255" s="4" t="str">
        <f t="shared" si="14"/>
        <v/>
      </c>
      <c r="H255" s="4" t="str">
        <f t="shared" si="15"/>
        <v/>
      </c>
    </row>
    <row r="256" spans="1:8">
      <c r="A256" s="6" t="str">
        <f t="shared" si="16"/>
        <v/>
      </c>
      <c r="B256" s="6" t="str">
        <f t="shared" si="0"/>
        <v/>
      </c>
      <c r="C256" s="9" t="str" cm="1">
        <f t="array" ref="C256">IF(ISNUMBER(A256),INDEX(BackgroundCalcs!$AV$2:$AV$500,'Grading Formulas'!$A256),"")</f>
        <v/>
      </c>
      <c r="D256" s="9" t="str" cm="1">
        <f t="array" ref="D256">IF(ISNUMBER($A256),INDEX(BackgroundCalcs!$AW$2:$AW$500,'Grading Formulas'!$A256),"")</f>
        <v/>
      </c>
      <c r="E256" s="4" t="str" cm="1">
        <f t="array" ref="E256">IF(ISNUMBER($A256),IF(A256=A255,"Reference2(False,True,"&amp;INDEX(BackgroundCalcs!$AX$2:$AX$500,'Grading Formulas'!$A256)&amp;")","Reference() AND MOEValue(.0001)"),"")</f>
        <v/>
      </c>
      <c r="F256" s="4" t="str">
        <f t="shared" si="13"/>
        <v/>
      </c>
      <c r="G256" s="4" t="str">
        <f t="shared" si="14"/>
        <v/>
      </c>
      <c r="H256" s="4" t="str">
        <f t="shared" si="15"/>
        <v/>
      </c>
    </row>
    <row r="257" spans="1:8">
      <c r="A257" s="6" t="str">
        <f t="shared" si="16"/>
        <v/>
      </c>
      <c r="B257" s="6" t="str">
        <f t="shared" si="0"/>
        <v/>
      </c>
      <c r="C257" s="9" t="str" cm="1">
        <f t="array" ref="C257">IF(ISNUMBER(A257),INDEX(BackgroundCalcs!$AV$2:$AV$500,'Grading Formulas'!$A257),"")</f>
        <v/>
      </c>
      <c r="D257" s="9" t="str" cm="1">
        <f t="array" ref="D257">IF(ISNUMBER($A257),INDEX(BackgroundCalcs!$AW$2:$AW$500,'Grading Formulas'!$A257),"")</f>
        <v/>
      </c>
      <c r="E257" s="4" t="str" cm="1">
        <f t="array" ref="E257">IF(ISNUMBER($A257),IF(A257=A256,"Reference2(False,True,"&amp;INDEX(BackgroundCalcs!$AX$2:$AX$500,'Grading Formulas'!$A257)&amp;")","Reference() AND MOEValue(.0001)"),"")</f>
        <v/>
      </c>
      <c r="F257" s="4" t="str">
        <f t="shared" si="13"/>
        <v/>
      </c>
      <c r="G257" s="4" t="str">
        <f t="shared" si="14"/>
        <v/>
      </c>
      <c r="H257" s="4" t="str">
        <f t="shared" si="15"/>
        <v/>
      </c>
    </row>
    <row r="258" spans="1:8">
      <c r="A258" s="6" t="str">
        <f t="shared" si="16"/>
        <v/>
      </c>
      <c r="B258" s="6" t="str">
        <f t="shared" ref="B258:B321" si="17">IF(ISNUMBER(A258),"CELL","")</f>
        <v/>
      </c>
      <c r="C258" s="9" t="str" cm="1">
        <f t="array" ref="C258">IF(ISNUMBER(A258),INDEX(BackgroundCalcs!$AV$2:$AV$500,'Grading Formulas'!$A258),"")</f>
        <v/>
      </c>
      <c r="D258" s="9" t="str" cm="1">
        <f t="array" ref="D258">IF(ISNUMBER($A258),INDEX(BackgroundCalcs!$AW$2:$AW$500,'Grading Formulas'!$A258),"")</f>
        <v/>
      </c>
      <c r="E258" s="4" t="str" cm="1">
        <f t="array" ref="E258">IF(ISNUMBER($A258),IF(A258=A257,"Reference2(False,True,"&amp;INDEX(BackgroundCalcs!$AX$2:$AX$500,'Grading Formulas'!$A258)&amp;")","Reference() AND MOEValue(.0001)"),"")</f>
        <v/>
      </c>
      <c r="F258" s="4" t="str">
        <f t="shared" si="13"/>
        <v/>
      </c>
      <c r="G258" s="4" t="str">
        <f t="shared" si="14"/>
        <v/>
      </c>
      <c r="H258" s="4" t="str">
        <f t="shared" si="15"/>
        <v/>
      </c>
    </row>
    <row r="259" spans="1:8">
      <c r="A259" s="6" t="str">
        <f t="shared" si="16"/>
        <v/>
      </c>
      <c r="B259" s="6" t="str">
        <f t="shared" si="17"/>
        <v/>
      </c>
      <c r="C259" s="9" t="str" cm="1">
        <f t="array" ref="C259">IF(ISNUMBER(A259),INDEX(BackgroundCalcs!$AV$2:$AV$500,'Grading Formulas'!$A259),"")</f>
        <v/>
      </c>
      <c r="D259" s="9" t="str" cm="1">
        <f t="array" ref="D259">IF(ISNUMBER($A259),INDEX(BackgroundCalcs!$AW$2:$AW$500,'Grading Formulas'!$A259),"")</f>
        <v/>
      </c>
      <c r="E259" s="4" t="str" cm="1">
        <f t="array" ref="E259">IF(ISNUMBER($A259),IF(A259=A258,"Reference2(False,True,"&amp;INDEX(BackgroundCalcs!$AX$2:$AX$500,'Grading Formulas'!$A259)&amp;")","Reference() AND MOEValue(.0001)"),"")</f>
        <v/>
      </c>
      <c r="F259" s="4" t="str">
        <f t="shared" ref="F259:F322" si="18">IF(ISNUMBER($A259),IF(A259=A258,-1000,1),"")</f>
        <v/>
      </c>
      <c r="G259" s="4" t="str">
        <f t="shared" ref="G259:G322" si="19">IF(ISNUMBER($A259),IF(A259=A258,"You should not be referencing the answer cell","Correct"),"")</f>
        <v/>
      </c>
      <c r="H259" s="4" t="str">
        <f t="shared" ref="H259:H322" si="20">IF(ISNUMBER($A259),IF(A259=A258,"N/A","Incorrect"),"")</f>
        <v/>
      </c>
    </row>
    <row r="260" spans="1:8">
      <c r="A260" s="6" t="str">
        <f t="shared" ref="A260:A323" si="21">IF(A258&lt;NumAnswers,A258+1,"")</f>
        <v/>
      </c>
      <c r="B260" s="6" t="str">
        <f t="shared" si="17"/>
        <v/>
      </c>
      <c r="C260" s="9" t="str" cm="1">
        <f t="array" ref="C260">IF(ISNUMBER(A260),INDEX(BackgroundCalcs!$AV$2:$AV$500,'Grading Formulas'!$A260),"")</f>
        <v/>
      </c>
      <c r="D260" s="9" t="str" cm="1">
        <f t="array" ref="D260">IF(ISNUMBER($A260),INDEX(BackgroundCalcs!$AW$2:$AW$500,'Grading Formulas'!$A260),"")</f>
        <v/>
      </c>
      <c r="E260" s="4" t="str" cm="1">
        <f t="array" ref="E260">IF(ISNUMBER($A260),IF(A260=A259,"Reference2(False,True,"&amp;INDEX(BackgroundCalcs!$AX$2:$AX$500,'Grading Formulas'!$A260)&amp;")","Reference() AND MOEValue(.0001)"),"")</f>
        <v/>
      </c>
      <c r="F260" s="4" t="str">
        <f t="shared" si="18"/>
        <v/>
      </c>
      <c r="G260" s="4" t="str">
        <f t="shared" si="19"/>
        <v/>
      </c>
      <c r="H260" s="4" t="str">
        <f t="shared" si="20"/>
        <v/>
      </c>
    </row>
    <row r="261" spans="1:8">
      <c r="A261" s="6" t="str">
        <f t="shared" si="21"/>
        <v/>
      </c>
      <c r="B261" s="6" t="str">
        <f t="shared" si="17"/>
        <v/>
      </c>
      <c r="C261" s="9" t="str" cm="1">
        <f t="array" ref="C261">IF(ISNUMBER(A261),INDEX(BackgroundCalcs!$AV$2:$AV$500,'Grading Formulas'!$A261),"")</f>
        <v/>
      </c>
      <c r="D261" s="9" t="str" cm="1">
        <f t="array" ref="D261">IF(ISNUMBER($A261),INDEX(BackgroundCalcs!$AW$2:$AW$500,'Grading Formulas'!$A261),"")</f>
        <v/>
      </c>
      <c r="E261" s="4" t="str" cm="1">
        <f t="array" ref="E261">IF(ISNUMBER($A261),IF(A261=A260,"Reference2(False,True,"&amp;INDEX(BackgroundCalcs!$AX$2:$AX$500,'Grading Formulas'!$A261)&amp;")","Reference() AND MOEValue(.0001)"),"")</f>
        <v/>
      </c>
      <c r="F261" s="4" t="str">
        <f t="shared" si="18"/>
        <v/>
      </c>
      <c r="G261" s="4" t="str">
        <f t="shared" si="19"/>
        <v/>
      </c>
      <c r="H261" s="4" t="str">
        <f t="shared" si="20"/>
        <v/>
      </c>
    </row>
    <row r="262" spans="1:8">
      <c r="A262" s="6" t="str">
        <f t="shared" si="21"/>
        <v/>
      </c>
      <c r="B262" s="6" t="str">
        <f t="shared" si="17"/>
        <v/>
      </c>
      <c r="C262" s="9" t="str" cm="1">
        <f t="array" ref="C262">IF(ISNUMBER(A262),INDEX(BackgroundCalcs!$AV$2:$AV$500,'Grading Formulas'!$A262),"")</f>
        <v/>
      </c>
      <c r="D262" s="9" t="str" cm="1">
        <f t="array" ref="D262">IF(ISNUMBER($A262),INDEX(BackgroundCalcs!$AW$2:$AW$500,'Grading Formulas'!$A262),"")</f>
        <v/>
      </c>
      <c r="E262" s="4" t="str" cm="1">
        <f t="array" ref="E262">IF(ISNUMBER($A262),IF(A262=A261,"Reference2(False,True,"&amp;INDEX(BackgroundCalcs!$AX$2:$AX$500,'Grading Formulas'!$A262)&amp;")","Reference() AND MOEValue(.0001)"),"")</f>
        <v/>
      </c>
      <c r="F262" s="4" t="str">
        <f t="shared" si="18"/>
        <v/>
      </c>
      <c r="G262" s="4" t="str">
        <f t="shared" si="19"/>
        <v/>
      </c>
      <c r="H262" s="4" t="str">
        <f t="shared" si="20"/>
        <v/>
      </c>
    </row>
    <row r="263" spans="1:8">
      <c r="A263" s="6" t="str">
        <f t="shared" si="21"/>
        <v/>
      </c>
      <c r="B263" s="6" t="str">
        <f t="shared" si="17"/>
        <v/>
      </c>
      <c r="C263" s="9" t="str" cm="1">
        <f t="array" ref="C263">IF(ISNUMBER(A263),INDEX(BackgroundCalcs!$AV$2:$AV$500,'Grading Formulas'!$A263),"")</f>
        <v/>
      </c>
      <c r="D263" s="9" t="str" cm="1">
        <f t="array" ref="D263">IF(ISNUMBER($A263),INDEX(BackgroundCalcs!$AW$2:$AW$500,'Grading Formulas'!$A263),"")</f>
        <v/>
      </c>
      <c r="E263" s="4" t="str" cm="1">
        <f t="array" ref="E263">IF(ISNUMBER($A263),IF(A263=A262,"Reference2(False,True,"&amp;INDEX(BackgroundCalcs!$AX$2:$AX$500,'Grading Formulas'!$A263)&amp;")","Reference() AND MOEValue(.0001)"),"")</f>
        <v/>
      </c>
      <c r="F263" s="4" t="str">
        <f t="shared" si="18"/>
        <v/>
      </c>
      <c r="G263" s="4" t="str">
        <f t="shared" si="19"/>
        <v/>
      </c>
      <c r="H263" s="4" t="str">
        <f t="shared" si="20"/>
        <v/>
      </c>
    </row>
    <row r="264" spans="1:8">
      <c r="A264" s="6" t="str">
        <f t="shared" si="21"/>
        <v/>
      </c>
      <c r="B264" s="6" t="str">
        <f t="shared" si="17"/>
        <v/>
      </c>
      <c r="C264" s="9" t="str" cm="1">
        <f t="array" ref="C264">IF(ISNUMBER(A264),INDEX(BackgroundCalcs!$AV$2:$AV$500,'Grading Formulas'!$A264),"")</f>
        <v/>
      </c>
      <c r="D264" s="9" t="str" cm="1">
        <f t="array" ref="D264">IF(ISNUMBER($A264),INDEX(BackgroundCalcs!$AW$2:$AW$500,'Grading Formulas'!$A264),"")</f>
        <v/>
      </c>
      <c r="E264" s="4" t="str" cm="1">
        <f t="array" ref="E264">IF(ISNUMBER($A264),IF(A264=A263,"Reference2(False,True,"&amp;INDEX(BackgroundCalcs!$AX$2:$AX$500,'Grading Formulas'!$A264)&amp;")","Reference() AND MOEValue(.0001)"),"")</f>
        <v/>
      </c>
      <c r="F264" s="4" t="str">
        <f t="shared" si="18"/>
        <v/>
      </c>
      <c r="G264" s="4" t="str">
        <f t="shared" si="19"/>
        <v/>
      </c>
      <c r="H264" s="4" t="str">
        <f t="shared" si="20"/>
        <v/>
      </c>
    </row>
    <row r="265" spans="1:8">
      <c r="A265" s="6" t="str">
        <f t="shared" si="21"/>
        <v/>
      </c>
      <c r="B265" s="6" t="str">
        <f t="shared" si="17"/>
        <v/>
      </c>
      <c r="C265" s="9" t="str" cm="1">
        <f t="array" ref="C265">IF(ISNUMBER(A265),INDEX(BackgroundCalcs!$AV$2:$AV$500,'Grading Formulas'!$A265),"")</f>
        <v/>
      </c>
      <c r="D265" s="9" t="str" cm="1">
        <f t="array" ref="D265">IF(ISNUMBER($A265),INDEX(BackgroundCalcs!$AW$2:$AW$500,'Grading Formulas'!$A265),"")</f>
        <v/>
      </c>
      <c r="E265" s="4" t="str" cm="1">
        <f t="array" ref="E265">IF(ISNUMBER($A265),IF(A265=A264,"Reference2(False,True,"&amp;INDEX(BackgroundCalcs!$AX$2:$AX$500,'Grading Formulas'!$A265)&amp;")","Reference() AND MOEValue(.0001)"),"")</f>
        <v/>
      </c>
      <c r="F265" s="4" t="str">
        <f t="shared" si="18"/>
        <v/>
      </c>
      <c r="G265" s="4" t="str">
        <f t="shared" si="19"/>
        <v/>
      </c>
      <c r="H265" s="4" t="str">
        <f t="shared" si="20"/>
        <v/>
      </c>
    </row>
    <row r="266" spans="1:8">
      <c r="A266" s="6" t="str">
        <f t="shared" si="21"/>
        <v/>
      </c>
      <c r="B266" s="6" t="str">
        <f t="shared" si="17"/>
        <v/>
      </c>
      <c r="C266" s="9" t="str" cm="1">
        <f t="array" ref="C266">IF(ISNUMBER(A266),INDEX(BackgroundCalcs!$AV$2:$AV$500,'Grading Formulas'!$A266),"")</f>
        <v/>
      </c>
      <c r="D266" s="9" t="str" cm="1">
        <f t="array" ref="D266">IF(ISNUMBER($A266),INDEX(BackgroundCalcs!$AW$2:$AW$500,'Grading Formulas'!$A266),"")</f>
        <v/>
      </c>
      <c r="E266" s="4" t="str" cm="1">
        <f t="array" ref="E266">IF(ISNUMBER($A266),IF(A266=A265,"Reference2(False,True,"&amp;INDEX(BackgroundCalcs!$AX$2:$AX$500,'Grading Formulas'!$A266)&amp;")","Reference() AND MOEValue(.0001)"),"")</f>
        <v/>
      </c>
      <c r="F266" s="4" t="str">
        <f t="shared" si="18"/>
        <v/>
      </c>
      <c r="G266" s="4" t="str">
        <f t="shared" si="19"/>
        <v/>
      </c>
      <c r="H266" s="4" t="str">
        <f t="shared" si="20"/>
        <v/>
      </c>
    </row>
    <row r="267" spans="1:8">
      <c r="A267" s="6" t="str">
        <f t="shared" si="21"/>
        <v/>
      </c>
      <c r="B267" s="6" t="str">
        <f t="shared" si="17"/>
        <v/>
      </c>
      <c r="C267" s="9" t="str" cm="1">
        <f t="array" ref="C267">IF(ISNUMBER(A267),INDEX(BackgroundCalcs!$AV$2:$AV$500,'Grading Formulas'!$A267),"")</f>
        <v/>
      </c>
      <c r="D267" s="9" t="str" cm="1">
        <f t="array" ref="D267">IF(ISNUMBER($A267),INDEX(BackgroundCalcs!$AW$2:$AW$500,'Grading Formulas'!$A267),"")</f>
        <v/>
      </c>
      <c r="E267" s="4" t="str" cm="1">
        <f t="array" ref="E267">IF(ISNUMBER($A267),IF(A267=A266,"Reference2(False,True,"&amp;INDEX(BackgroundCalcs!$AX$2:$AX$500,'Grading Formulas'!$A267)&amp;")","Reference() AND MOEValue(.0001)"),"")</f>
        <v/>
      </c>
      <c r="F267" s="4" t="str">
        <f t="shared" si="18"/>
        <v/>
      </c>
      <c r="G267" s="4" t="str">
        <f t="shared" si="19"/>
        <v/>
      </c>
      <c r="H267" s="4" t="str">
        <f t="shared" si="20"/>
        <v/>
      </c>
    </row>
    <row r="268" spans="1:8">
      <c r="A268" s="6" t="str">
        <f t="shared" si="21"/>
        <v/>
      </c>
      <c r="B268" s="6" t="str">
        <f t="shared" si="17"/>
        <v/>
      </c>
      <c r="C268" s="9" t="str" cm="1">
        <f t="array" ref="C268">IF(ISNUMBER(A268),INDEX(BackgroundCalcs!$AV$2:$AV$500,'Grading Formulas'!$A268),"")</f>
        <v/>
      </c>
      <c r="D268" s="9" t="str" cm="1">
        <f t="array" ref="D268">IF(ISNUMBER($A268),INDEX(BackgroundCalcs!$AW$2:$AW$500,'Grading Formulas'!$A268),"")</f>
        <v/>
      </c>
      <c r="E268" s="4" t="str" cm="1">
        <f t="array" ref="E268">IF(ISNUMBER($A268),IF(A268=A267,"Reference2(False,True,"&amp;INDEX(BackgroundCalcs!$AX$2:$AX$500,'Grading Formulas'!$A268)&amp;")","Reference() AND MOEValue(.0001)"),"")</f>
        <v/>
      </c>
      <c r="F268" s="4" t="str">
        <f t="shared" si="18"/>
        <v/>
      </c>
      <c r="G268" s="4" t="str">
        <f t="shared" si="19"/>
        <v/>
      </c>
      <c r="H268" s="4" t="str">
        <f t="shared" si="20"/>
        <v/>
      </c>
    </row>
    <row r="269" spans="1:8">
      <c r="A269" s="6" t="str">
        <f t="shared" si="21"/>
        <v/>
      </c>
      <c r="B269" s="6" t="str">
        <f t="shared" si="17"/>
        <v/>
      </c>
      <c r="C269" s="9" t="str" cm="1">
        <f t="array" ref="C269">IF(ISNUMBER(A269),INDEX(BackgroundCalcs!$AV$2:$AV$500,'Grading Formulas'!$A269),"")</f>
        <v/>
      </c>
      <c r="D269" s="9" t="str" cm="1">
        <f t="array" ref="D269">IF(ISNUMBER($A269),INDEX(BackgroundCalcs!$AW$2:$AW$500,'Grading Formulas'!$A269),"")</f>
        <v/>
      </c>
      <c r="E269" s="4" t="str" cm="1">
        <f t="array" ref="E269">IF(ISNUMBER($A269),IF(A269=A268,"Reference2(False,True,"&amp;INDEX(BackgroundCalcs!$AX$2:$AX$500,'Grading Formulas'!$A269)&amp;")","Reference() AND MOEValue(.0001)"),"")</f>
        <v/>
      </c>
      <c r="F269" s="4" t="str">
        <f t="shared" si="18"/>
        <v/>
      </c>
      <c r="G269" s="4" t="str">
        <f t="shared" si="19"/>
        <v/>
      </c>
      <c r="H269" s="4" t="str">
        <f t="shared" si="20"/>
        <v/>
      </c>
    </row>
    <row r="270" spans="1:8">
      <c r="A270" s="6" t="str">
        <f t="shared" si="21"/>
        <v/>
      </c>
      <c r="B270" s="6" t="str">
        <f t="shared" si="17"/>
        <v/>
      </c>
      <c r="C270" s="9" t="str" cm="1">
        <f t="array" ref="C270">IF(ISNUMBER(A270),INDEX(BackgroundCalcs!$AV$2:$AV$500,'Grading Formulas'!$A270),"")</f>
        <v/>
      </c>
      <c r="D270" s="9" t="str" cm="1">
        <f t="array" ref="D270">IF(ISNUMBER($A270),INDEX(BackgroundCalcs!$AW$2:$AW$500,'Grading Formulas'!$A270),"")</f>
        <v/>
      </c>
      <c r="E270" s="4" t="str" cm="1">
        <f t="array" ref="E270">IF(ISNUMBER($A270),IF(A270=A269,"Reference2(False,True,"&amp;INDEX(BackgroundCalcs!$AX$2:$AX$500,'Grading Formulas'!$A270)&amp;")","Reference() AND MOEValue(.0001)"),"")</f>
        <v/>
      </c>
      <c r="F270" s="4" t="str">
        <f t="shared" si="18"/>
        <v/>
      </c>
      <c r="G270" s="4" t="str">
        <f t="shared" si="19"/>
        <v/>
      </c>
      <c r="H270" s="4" t="str">
        <f t="shared" si="20"/>
        <v/>
      </c>
    </row>
    <row r="271" spans="1:8">
      <c r="A271" s="6" t="str">
        <f t="shared" si="21"/>
        <v/>
      </c>
      <c r="B271" s="6" t="str">
        <f t="shared" si="17"/>
        <v/>
      </c>
      <c r="C271" s="9" t="str" cm="1">
        <f t="array" ref="C271">IF(ISNUMBER(A271),INDEX(BackgroundCalcs!$AV$2:$AV$500,'Grading Formulas'!$A271),"")</f>
        <v/>
      </c>
      <c r="D271" s="9" t="str" cm="1">
        <f t="array" ref="D271">IF(ISNUMBER($A271),INDEX(BackgroundCalcs!$AW$2:$AW$500,'Grading Formulas'!$A271),"")</f>
        <v/>
      </c>
      <c r="E271" s="4" t="str" cm="1">
        <f t="array" ref="E271">IF(ISNUMBER($A271),IF(A271=A270,"Reference2(False,True,"&amp;INDEX(BackgroundCalcs!$AX$2:$AX$500,'Grading Formulas'!$A271)&amp;")","Reference() AND MOEValue(.0001)"),"")</f>
        <v/>
      </c>
      <c r="F271" s="4" t="str">
        <f t="shared" si="18"/>
        <v/>
      </c>
      <c r="G271" s="4" t="str">
        <f t="shared" si="19"/>
        <v/>
      </c>
      <c r="H271" s="4" t="str">
        <f t="shared" si="20"/>
        <v/>
      </c>
    </row>
    <row r="272" spans="1:8">
      <c r="A272" s="6" t="str">
        <f t="shared" si="21"/>
        <v/>
      </c>
      <c r="B272" s="6" t="str">
        <f t="shared" si="17"/>
        <v/>
      </c>
      <c r="C272" s="9" t="str" cm="1">
        <f t="array" ref="C272">IF(ISNUMBER(A272),INDEX(BackgroundCalcs!$AV$2:$AV$500,'Grading Formulas'!$A272),"")</f>
        <v/>
      </c>
      <c r="D272" s="9" t="str" cm="1">
        <f t="array" ref="D272">IF(ISNUMBER($A272),INDEX(BackgroundCalcs!$AW$2:$AW$500,'Grading Formulas'!$A272),"")</f>
        <v/>
      </c>
      <c r="E272" s="4" t="str" cm="1">
        <f t="array" ref="E272">IF(ISNUMBER($A272),IF(A272=A271,"Reference2(False,True,"&amp;INDEX(BackgroundCalcs!$AX$2:$AX$500,'Grading Formulas'!$A272)&amp;")","Reference() AND MOEValue(.0001)"),"")</f>
        <v/>
      </c>
      <c r="F272" s="4" t="str">
        <f t="shared" si="18"/>
        <v/>
      </c>
      <c r="G272" s="4" t="str">
        <f t="shared" si="19"/>
        <v/>
      </c>
      <c r="H272" s="4" t="str">
        <f t="shared" si="20"/>
        <v/>
      </c>
    </row>
    <row r="273" spans="1:8">
      <c r="A273" s="6" t="str">
        <f t="shared" si="21"/>
        <v/>
      </c>
      <c r="B273" s="6" t="str">
        <f t="shared" si="17"/>
        <v/>
      </c>
      <c r="C273" s="9" t="str" cm="1">
        <f t="array" ref="C273">IF(ISNUMBER(A273),INDEX(BackgroundCalcs!$AV$2:$AV$500,'Grading Formulas'!$A273),"")</f>
        <v/>
      </c>
      <c r="D273" s="9" t="str" cm="1">
        <f t="array" ref="D273">IF(ISNUMBER($A273),INDEX(BackgroundCalcs!$AW$2:$AW$500,'Grading Formulas'!$A273),"")</f>
        <v/>
      </c>
      <c r="E273" s="4" t="str" cm="1">
        <f t="array" ref="E273">IF(ISNUMBER($A273),IF(A273=A272,"Reference2(False,True,"&amp;INDEX(BackgroundCalcs!$AX$2:$AX$500,'Grading Formulas'!$A273)&amp;")","Reference() AND MOEValue(.0001)"),"")</f>
        <v/>
      </c>
      <c r="F273" s="4" t="str">
        <f t="shared" si="18"/>
        <v/>
      </c>
      <c r="G273" s="4" t="str">
        <f t="shared" si="19"/>
        <v/>
      </c>
      <c r="H273" s="4" t="str">
        <f t="shared" si="20"/>
        <v/>
      </c>
    </row>
    <row r="274" spans="1:8">
      <c r="A274" s="6" t="str">
        <f t="shared" si="21"/>
        <v/>
      </c>
      <c r="B274" s="6" t="str">
        <f t="shared" si="17"/>
        <v/>
      </c>
      <c r="C274" s="9" t="str" cm="1">
        <f t="array" ref="C274">IF(ISNUMBER(A274),INDEX(BackgroundCalcs!$AV$2:$AV$500,'Grading Formulas'!$A274),"")</f>
        <v/>
      </c>
      <c r="D274" s="9" t="str" cm="1">
        <f t="array" ref="D274">IF(ISNUMBER($A274),INDEX(BackgroundCalcs!$AW$2:$AW$500,'Grading Formulas'!$A274),"")</f>
        <v/>
      </c>
      <c r="E274" s="4" t="str" cm="1">
        <f t="array" ref="E274">IF(ISNUMBER($A274),IF(A274=A273,"Reference2(False,True,"&amp;INDEX(BackgroundCalcs!$AX$2:$AX$500,'Grading Formulas'!$A274)&amp;")","Reference() AND MOEValue(.0001)"),"")</f>
        <v/>
      </c>
      <c r="F274" s="4" t="str">
        <f t="shared" si="18"/>
        <v/>
      </c>
      <c r="G274" s="4" t="str">
        <f t="shared" si="19"/>
        <v/>
      </c>
      <c r="H274" s="4" t="str">
        <f t="shared" si="20"/>
        <v/>
      </c>
    </row>
    <row r="275" spans="1:8">
      <c r="A275" s="6" t="str">
        <f t="shared" si="21"/>
        <v/>
      </c>
      <c r="B275" s="6" t="str">
        <f t="shared" si="17"/>
        <v/>
      </c>
      <c r="C275" s="9" t="str" cm="1">
        <f t="array" ref="C275">IF(ISNUMBER(A275),INDEX(BackgroundCalcs!$AV$2:$AV$500,'Grading Formulas'!$A275),"")</f>
        <v/>
      </c>
      <c r="D275" s="9" t="str" cm="1">
        <f t="array" ref="D275">IF(ISNUMBER($A275),INDEX(BackgroundCalcs!$AW$2:$AW$500,'Grading Formulas'!$A275),"")</f>
        <v/>
      </c>
      <c r="E275" s="4" t="str" cm="1">
        <f t="array" ref="E275">IF(ISNUMBER($A275),IF(A275=A274,"Reference2(False,True,"&amp;INDEX(BackgroundCalcs!$AX$2:$AX$500,'Grading Formulas'!$A275)&amp;")","Reference() AND MOEValue(.0001)"),"")</f>
        <v/>
      </c>
      <c r="F275" s="4" t="str">
        <f t="shared" si="18"/>
        <v/>
      </c>
      <c r="G275" s="4" t="str">
        <f t="shared" si="19"/>
        <v/>
      </c>
      <c r="H275" s="4" t="str">
        <f t="shared" si="20"/>
        <v/>
      </c>
    </row>
    <row r="276" spans="1:8">
      <c r="A276" s="6" t="str">
        <f t="shared" si="21"/>
        <v/>
      </c>
      <c r="B276" s="6" t="str">
        <f t="shared" si="17"/>
        <v/>
      </c>
      <c r="C276" s="9" t="str" cm="1">
        <f t="array" ref="C276">IF(ISNUMBER(A276),INDEX(BackgroundCalcs!$AV$2:$AV$500,'Grading Formulas'!$A276),"")</f>
        <v/>
      </c>
      <c r="D276" s="9" t="str" cm="1">
        <f t="array" ref="D276">IF(ISNUMBER($A276),INDEX(BackgroundCalcs!$AW$2:$AW$500,'Grading Formulas'!$A276),"")</f>
        <v/>
      </c>
      <c r="E276" s="4" t="str" cm="1">
        <f t="array" ref="E276">IF(ISNUMBER($A276),IF(A276=A275,"Reference2(False,True,"&amp;INDEX(BackgroundCalcs!$AX$2:$AX$500,'Grading Formulas'!$A276)&amp;")","Reference() AND MOEValue(.0001)"),"")</f>
        <v/>
      </c>
      <c r="F276" s="4" t="str">
        <f t="shared" si="18"/>
        <v/>
      </c>
      <c r="G276" s="4" t="str">
        <f t="shared" si="19"/>
        <v/>
      </c>
      <c r="H276" s="4" t="str">
        <f t="shared" si="20"/>
        <v/>
      </c>
    </row>
    <row r="277" spans="1:8">
      <c r="A277" s="6" t="str">
        <f t="shared" si="21"/>
        <v/>
      </c>
      <c r="B277" s="6" t="str">
        <f t="shared" si="17"/>
        <v/>
      </c>
      <c r="C277" s="9" t="str" cm="1">
        <f t="array" ref="C277">IF(ISNUMBER(A277),INDEX(BackgroundCalcs!$AV$2:$AV$500,'Grading Formulas'!$A277),"")</f>
        <v/>
      </c>
      <c r="D277" s="9" t="str" cm="1">
        <f t="array" ref="D277">IF(ISNUMBER($A277),INDEX(BackgroundCalcs!$AW$2:$AW$500,'Grading Formulas'!$A277),"")</f>
        <v/>
      </c>
      <c r="E277" s="4" t="str" cm="1">
        <f t="array" ref="E277">IF(ISNUMBER($A277),IF(A277=A276,"Reference2(False,True,"&amp;INDEX(BackgroundCalcs!$AX$2:$AX$500,'Grading Formulas'!$A277)&amp;")","Reference() AND MOEValue(.0001)"),"")</f>
        <v/>
      </c>
      <c r="F277" s="4" t="str">
        <f t="shared" si="18"/>
        <v/>
      </c>
      <c r="G277" s="4" t="str">
        <f t="shared" si="19"/>
        <v/>
      </c>
      <c r="H277" s="4" t="str">
        <f t="shared" si="20"/>
        <v/>
      </c>
    </row>
    <row r="278" spans="1:8">
      <c r="A278" s="6" t="str">
        <f t="shared" si="21"/>
        <v/>
      </c>
      <c r="B278" s="6" t="str">
        <f t="shared" si="17"/>
        <v/>
      </c>
      <c r="C278" s="9" t="str" cm="1">
        <f t="array" ref="C278">IF(ISNUMBER(A278),INDEX(BackgroundCalcs!$AV$2:$AV$500,'Grading Formulas'!$A278),"")</f>
        <v/>
      </c>
      <c r="D278" s="9" t="str" cm="1">
        <f t="array" ref="D278">IF(ISNUMBER($A278),INDEX(BackgroundCalcs!$AW$2:$AW$500,'Grading Formulas'!$A278),"")</f>
        <v/>
      </c>
      <c r="E278" s="4" t="str" cm="1">
        <f t="array" ref="E278">IF(ISNUMBER($A278),IF(A278=A277,"Reference2(False,True,"&amp;INDEX(BackgroundCalcs!$AX$2:$AX$500,'Grading Formulas'!$A278)&amp;")","Reference() AND MOEValue(.0001)"),"")</f>
        <v/>
      </c>
      <c r="F278" s="4" t="str">
        <f t="shared" si="18"/>
        <v/>
      </c>
      <c r="G278" s="4" t="str">
        <f t="shared" si="19"/>
        <v/>
      </c>
      <c r="H278" s="4" t="str">
        <f t="shared" si="20"/>
        <v/>
      </c>
    </row>
    <row r="279" spans="1:8">
      <c r="A279" s="6" t="str">
        <f t="shared" si="21"/>
        <v/>
      </c>
      <c r="B279" s="6" t="str">
        <f t="shared" si="17"/>
        <v/>
      </c>
      <c r="C279" s="9" t="str" cm="1">
        <f t="array" ref="C279">IF(ISNUMBER(A279),INDEX(BackgroundCalcs!$AV$2:$AV$500,'Grading Formulas'!$A279),"")</f>
        <v/>
      </c>
      <c r="D279" s="9" t="str" cm="1">
        <f t="array" ref="D279">IF(ISNUMBER($A279),INDEX(BackgroundCalcs!$AW$2:$AW$500,'Grading Formulas'!$A279),"")</f>
        <v/>
      </c>
      <c r="E279" s="4" t="str" cm="1">
        <f t="array" ref="E279">IF(ISNUMBER($A279),IF(A279=A278,"Reference2(False,True,"&amp;INDEX(BackgroundCalcs!$AX$2:$AX$500,'Grading Formulas'!$A279)&amp;")","Reference() AND MOEValue(.0001)"),"")</f>
        <v/>
      </c>
      <c r="F279" s="4" t="str">
        <f t="shared" si="18"/>
        <v/>
      </c>
      <c r="G279" s="4" t="str">
        <f t="shared" si="19"/>
        <v/>
      </c>
      <c r="H279" s="4" t="str">
        <f t="shared" si="20"/>
        <v/>
      </c>
    </row>
    <row r="280" spans="1:8">
      <c r="A280" s="6" t="str">
        <f t="shared" si="21"/>
        <v/>
      </c>
      <c r="B280" s="6" t="str">
        <f t="shared" si="17"/>
        <v/>
      </c>
      <c r="C280" s="9" t="str" cm="1">
        <f t="array" ref="C280">IF(ISNUMBER(A280),INDEX(BackgroundCalcs!$AV$2:$AV$500,'Grading Formulas'!$A280),"")</f>
        <v/>
      </c>
      <c r="D280" s="9" t="str" cm="1">
        <f t="array" ref="D280">IF(ISNUMBER($A280),INDEX(BackgroundCalcs!$AW$2:$AW$500,'Grading Formulas'!$A280),"")</f>
        <v/>
      </c>
      <c r="E280" s="4" t="str" cm="1">
        <f t="array" ref="E280">IF(ISNUMBER($A280),IF(A280=A279,"Reference2(False,True,"&amp;INDEX(BackgroundCalcs!$AX$2:$AX$500,'Grading Formulas'!$A280)&amp;")","Reference() AND MOEValue(.0001)"),"")</f>
        <v/>
      </c>
      <c r="F280" s="4" t="str">
        <f t="shared" si="18"/>
        <v/>
      </c>
      <c r="G280" s="4" t="str">
        <f t="shared" si="19"/>
        <v/>
      </c>
      <c r="H280" s="4" t="str">
        <f t="shared" si="20"/>
        <v/>
      </c>
    </row>
    <row r="281" spans="1:8">
      <c r="A281" s="6" t="str">
        <f t="shared" si="21"/>
        <v/>
      </c>
      <c r="B281" s="6" t="str">
        <f t="shared" si="17"/>
        <v/>
      </c>
      <c r="C281" s="9" t="str" cm="1">
        <f t="array" ref="C281">IF(ISNUMBER(A281),INDEX(BackgroundCalcs!$AV$2:$AV$500,'Grading Formulas'!$A281),"")</f>
        <v/>
      </c>
      <c r="D281" s="9" t="str" cm="1">
        <f t="array" ref="D281">IF(ISNUMBER($A281),INDEX(BackgroundCalcs!$AW$2:$AW$500,'Grading Formulas'!$A281),"")</f>
        <v/>
      </c>
      <c r="E281" s="4" t="str" cm="1">
        <f t="array" ref="E281">IF(ISNUMBER($A281),IF(A281=A280,"Reference2(False,True,"&amp;INDEX(BackgroundCalcs!$AX$2:$AX$500,'Grading Formulas'!$A281)&amp;")","Reference() AND MOEValue(.0001)"),"")</f>
        <v/>
      </c>
      <c r="F281" s="4" t="str">
        <f t="shared" si="18"/>
        <v/>
      </c>
      <c r="G281" s="4" t="str">
        <f t="shared" si="19"/>
        <v/>
      </c>
      <c r="H281" s="4" t="str">
        <f t="shared" si="20"/>
        <v/>
      </c>
    </row>
    <row r="282" spans="1:8">
      <c r="A282" s="6" t="str">
        <f t="shared" si="21"/>
        <v/>
      </c>
      <c r="B282" s="6" t="str">
        <f t="shared" si="17"/>
        <v/>
      </c>
      <c r="C282" s="9" t="str" cm="1">
        <f t="array" ref="C282">IF(ISNUMBER(A282),INDEX(BackgroundCalcs!$AV$2:$AV$500,'Grading Formulas'!$A282),"")</f>
        <v/>
      </c>
      <c r="D282" s="9" t="str" cm="1">
        <f t="array" ref="D282">IF(ISNUMBER($A282),INDEX(BackgroundCalcs!$AW$2:$AW$500,'Grading Formulas'!$A282),"")</f>
        <v/>
      </c>
      <c r="E282" s="4" t="str" cm="1">
        <f t="array" ref="E282">IF(ISNUMBER($A282),IF(A282=A281,"Reference2(False,True,"&amp;INDEX(BackgroundCalcs!$AX$2:$AX$500,'Grading Formulas'!$A282)&amp;")","Reference() AND MOEValue(.0001)"),"")</f>
        <v/>
      </c>
      <c r="F282" s="4" t="str">
        <f t="shared" si="18"/>
        <v/>
      </c>
      <c r="G282" s="4" t="str">
        <f t="shared" si="19"/>
        <v/>
      </c>
      <c r="H282" s="4" t="str">
        <f t="shared" si="20"/>
        <v/>
      </c>
    </row>
    <row r="283" spans="1:8">
      <c r="A283" s="6" t="str">
        <f t="shared" si="21"/>
        <v/>
      </c>
      <c r="B283" s="6" t="str">
        <f t="shared" si="17"/>
        <v/>
      </c>
      <c r="C283" s="9" t="str" cm="1">
        <f t="array" ref="C283">IF(ISNUMBER(A283),INDEX(BackgroundCalcs!$AV$2:$AV$500,'Grading Formulas'!$A283),"")</f>
        <v/>
      </c>
      <c r="D283" s="9" t="str" cm="1">
        <f t="array" ref="D283">IF(ISNUMBER($A283),INDEX(BackgroundCalcs!$AW$2:$AW$500,'Grading Formulas'!$A283),"")</f>
        <v/>
      </c>
      <c r="E283" s="4" t="str" cm="1">
        <f t="array" ref="E283">IF(ISNUMBER($A283),IF(A283=A282,"Reference2(False,True,"&amp;INDEX(BackgroundCalcs!$AX$2:$AX$500,'Grading Formulas'!$A283)&amp;")","Reference() AND MOEValue(.0001)"),"")</f>
        <v/>
      </c>
      <c r="F283" s="4" t="str">
        <f t="shared" si="18"/>
        <v/>
      </c>
      <c r="G283" s="4" t="str">
        <f t="shared" si="19"/>
        <v/>
      </c>
      <c r="H283" s="4" t="str">
        <f t="shared" si="20"/>
        <v/>
      </c>
    </row>
    <row r="284" spans="1:8">
      <c r="A284" s="6" t="str">
        <f t="shared" si="21"/>
        <v/>
      </c>
      <c r="B284" s="6" t="str">
        <f t="shared" si="17"/>
        <v/>
      </c>
      <c r="C284" s="9" t="str" cm="1">
        <f t="array" ref="C284">IF(ISNUMBER(A284),INDEX(BackgroundCalcs!$AV$2:$AV$500,'Grading Formulas'!$A284),"")</f>
        <v/>
      </c>
      <c r="D284" s="9" t="str" cm="1">
        <f t="array" ref="D284">IF(ISNUMBER($A284),INDEX(BackgroundCalcs!$AW$2:$AW$500,'Grading Formulas'!$A284),"")</f>
        <v/>
      </c>
      <c r="E284" s="4" t="str" cm="1">
        <f t="array" ref="E284">IF(ISNUMBER($A284),IF(A284=A283,"Reference2(False,True,"&amp;INDEX(BackgroundCalcs!$AX$2:$AX$500,'Grading Formulas'!$A284)&amp;")","Reference() AND MOEValue(.0001)"),"")</f>
        <v/>
      </c>
      <c r="F284" s="4" t="str">
        <f t="shared" si="18"/>
        <v/>
      </c>
      <c r="G284" s="4" t="str">
        <f t="shared" si="19"/>
        <v/>
      </c>
      <c r="H284" s="4" t="str">
        <f t="shared" si="20"/>
        <v/>
      </c>
    </row>
    <row r="285" spans="1:8">
      <c r="A285" s="6" t="str">
        <f t="shared" si="21"/>
        <v/>
      </c>
      <c r="B285" s="6" t="str">
        <f t="shared" si="17"/>
        <v/>
      </c>
      <c r="C285" s="9" t="str" cm="1">
        <f t="array" ref="C285">IF(ISNUMBER(A285),INDEX(BackgroundCalcs!$AV$2:$AV$500,'Grading Formulas'!$A285),"")</f>
        <v/>
      </c>
      <c r="D285" s="9" t="str" cm="1">
        <f t="array" ref="D285">IF(ISNUMBER($A285),INDEX(BackgroundCalcs!$AW$2:$AW$500,'Grading Formulas'!$A285),"")</f>
        <v/>
      </c>
      <c r="E285" s="4" t="str" cm="1">
        <f t="array" ref="E285">IF(ISNUMBER($A285),IF(A285=A284,"Reference2(False,True,"&amp;INDEX(BackgroundCalcs!$AX$2:$AX$500,'Grading Formulas'!$A285)&amp;")","Reference() AND MOEValue(.0001)"),"")</f>
        <v/>
      </c>
      <c r="F285" s="4" t="str">
        <f t="shared" si="18"/>
        <v/>
      </c>
      <c r="G285" s="4" t="str">
        <f t="shared" si="19"/>
        <v/>
      </c>
      <c r="H285" s="4" t="str">
        <f t="shared" si="20"/>
        <v/>
      </c>
    </row>
    <row r="286" spans="1:8">
      <c r="A286" s="6" t="str">
        <f t="shared" si="21"/>
        <v/>
      </c>
      <c r="B286" s="6" t="str">
        <f t="shared" si="17"/>
        <v/>
      </c>
      <c r="C286" s="9" t="str" cm="1">
        <f t="array" ref="C286">IF(ISNUMBER(A286),INDEX(BackgroundCalcs!$AV$2:$AV$500,'Grading Formulas'!$A286),"")</f>
        <v/>
      </c>
      <c r="D286" s="9" t="str" cm="1">
        <f t="array" ref="D286">IF(ISNUMBER($A286),INDEX(BackgroundCalcs!$AW$2:$AW$500,'Grading Formulas'!$A286),"")</f>
        <v/>
      </c>
      <c r="E286" s="4" t="str" cm="1">
        <f t="array" ref="E286">IF(ISNUMBER($A286),IF(A286=A285,"Reference2(False,True,"&amp;INDEX(BackgroundCalcs!$AX$2:$AX$500,'Grading Formulas'!$A286)&amp;")","Reference() AND MOEValue(.0001)"),"")</f>
        <v/>
      </c>
      <c r="F286" s="4" t="str">
        <f t="shared" si="18"/>
        <v/>
      </c>
      <c r="G286" s="4" t="str">
        <f t="shared" si="19"/>
        <v/>
      </c>
      <c r="H286" s="4" t="str">
        <f t="shared" si="20"/>
        <v/>
      </c>
    </row>
    <row r="287" spans="1:8">
      <c r="A287" s="6" t="str">
        <f t="shared" si="21"/>
        <v/>
      </c>
      <c r="B287" s="6" t="str">
        <f t="shared" si="17"/>
        <v/>
      </c>
      <c r="C287" s="9" t="str" cm="1">
        <f t="array" ref="C287">IF(ISNUMBER(A287),INDEX(BackgroundCalcs!$AV$2:$AV$500,'Grading Formulas'!$A287),"")</f>
        <v/>
      </c>
      <c r="D287" s="9" t="str" cm="1">
        <f t="array" ref="D287">IF(ISNUMBER($A287),INDEX(BackgroundCalcs!$AW$2:$AW$500,'Grading Formulas'!$A287),"")</f>
        <v/>
      </c>
      <c r="E287" s="4" t="str" cm="1">
        <f t="array" ref="E287">IF(ISNUMBER($A287),IF(A287=A286,"Reference2(False,True,"&amp;INDEX(BackgroundCalcs!$AX$2:$AX$500,'Grading Formulas'!$A287)&amp;")","Reference() AND MOEValue(.0001)"),"")</f>
        <v/>
      </c>
      <c r="F287" s="4" t="str">
        <f t="shared" si="18"/>
        <v/>
      </c>
      <c r="G287" s="4" t="str">
        <f t="shared" si="19"/>
        <v/>
      </c>
      <c r="H287" s="4" t="str">
        <f t="shared" si="20"/>
        <v/>
      </c>
    </row>
    <row r="288" spans="1:8">
      <c r="A288" s="6" t="str">
        <f t="shared" si="21"/>
        <v/>
      </c>
      <c r="B288" s="6" t="str">
        <f t="shared" si="17"/>
        <v/>
      </c>
      <c r="C288" s="9" t="str" cm="1">
        <f t="array" ref="C288">IF(ISNUMBER(A288),INDEX(BackgroundCalcs!$AV$2:$AV$500,'Grading Formulas'!$A288),"")</f>
        <v/>
      </c>
      <c r="D288" s="9" t="str" cm="1">
        <f t="array" ref="D288">IF(ISNUMBER($A288),INDEX(BackgroundCalcs!$AW$2:$AW$500,'Grading Formulas'!$A288),"")</f>
        <v/>
      </c>
      <c r="E288" s="4" t="str" cm="1">
        <f t="array" ref="E288">IF(ISNUMBER($A288),IF(A288=A287,"Reference2(False,True,"&amp;INDEX(BackgroundCalcs!$AX$2:$AX$500,'Grading Formulas'!$A288)&amp;")","Reference() AND MOEValue(.0001)"),"")</f>
        <v/>
      </c>
      <c r="F288" s="4" t="str">
        <f t="shared" si="18"/>
        <v/>
      </c>
      <c r="G288" s="4" t="str">
        <f t="shared" si="19"/>
        <v/>
      </c>
      <c r="H288" s="4" t="str">
        <f t="shared" si="20"/>
        <v/>
      </c>
    </row>
    <row r="289" spans="1:8">
      <c r="A289" s="6" t="str">
        <f t="shared" si="21"/>
        <v/>
      </c>
      <c r="B289" s="6" t="str">
        <f t="shared" si="17"/>
        <v/>
      </c>
      <c r="C289" s="9" t="str" cm="1">
        <f t="array" ref="C289">IF(ISNUMBER(A289),INDEX(BackgroundCalcs!$AV$2:$AV$500,'Grading Formulas'!$A289),"")</f>
        <v/>
      </c>
      <c r="D289" s="9" t="str" cm="1">
        <f t="array" ref="D289">IF(ISNUMBER($A289),INDEX(BackgroundCalcs!$AW$2:$AW$500,'Grading Formulas'!$A289),"")</f>
        <v/>
      </c>
      <c r="E289" s="4" t="str" cm="1">
        <f t="array" ref="E289">IF(ISNUMBER($A289),IF(A289=A288,"Reference2(False,True,"&amp;INDEX(BackgroundCalcs!$AX$2:$AX$500,'Grading Formulas'!$A289)&amp;")","Reference() AND MOEValue(.0001)"),"")</f>
        <v/>
      </c>
      <c r="F289" s="4" t="str">
        <f t="shared" si="18"/>
        <v/>
      </c>
      <c r="G289" s="4" t="str">
        <f t="shared" si="19"/>
        <v/>
      </c>
      <c r="H289" s="4" t="str">
        <f t="shared" si="20"/>
        <v/>
      </c>
    </row>
    <row r="290" spans="1:8">
      <c r="A290" s="6" t="str">
        <f t="shared" si="21"/>
        <v/>
      </c>
      <c r="B290" s="6" t="str">
        <f t="shared" si="17"/>
        <v/>
      </c>
      <c r="C290" s="9" t="str" cm="1">
        <f t="array" ref="C290">IF(ISNUMBER(A290),INDEX(BackgroundCalcs!$AV$2:$AV$500,'Grading Formulas'!$A290),"")</f>
        <v/>
      </c>
      <c r="D290" s="9" t="str" cm="1">
        <f t="array" ref="D290">IF(ISNUMBER($A290),INDEX(BackgroundCalcs!$AW$2:$AW$500,'Grading Formulas'!$A290),"")</f>
        <v/>
      </c>
      <c r="E290" s="4" t="str" cm="1">
        <f t="array" ref="E290">IF(ISNUMBER($A290),IF(A290=A289,"Reference2(False,True,"&amp;INDEX(BackgroundCalcs!$AX$2:$AX$500,'Grading Formulas'!$A290)&amp;")","Reference() AND MOEValue(.0001)"),"")</f>
        <v/>
      </c>
      <c r="F290" s="4" t="str">
        <f t="shared" si="18"/>
        <v/>
      </c>
      <c r="G290" s="4" t="str">
        <f t="shared" si="19"/>
        <v/>
      </c>
      <c r="H290" s="4" t="str">
        <f t="shared" si="20"/>
        <v/>
      </c>
    </row>
    <row r="291" spans="1:8">
      <c r="A291" s="6" t="str">
        <f t="shared" si="21"/>
        <v/>
      </c>
      <c r="B291" s="6" t="str">
        <f t="shared" si="17"/>
        <v/>
      </c>
      <c r="C291" s="9" t="str" cm="1">
        <f t="array" ref="C291">IF(ISNUMBER(A291),INDEX(BackgroundCalcs!$AV$2:$AV$500,'Grading Formulas'!$A291),"")</f>
        <v/>
      </c>
      <c r="D291" s="9" t="str" cm="1">
        <f t="array" ref="D291">IF(ISNUMBER($A291),INDEX(BackgroundCalcs!$AW$2:$AW$500,'Grading Formulas'!$A291),"")</f>
        <v/>
      </c>
      <c r="E291" s="4" t="str" cm="1">
        <f t="array" ref="E291">IF(ISNUMBER($A291),IF(A291=A290,"Reference2(False,True,"&amp;INDEX(BackgroundCalcs!$AX$2:$AX$500,'Grading Formulas'!$A291)&amp;")","Reference() AND MOEValue(.0001)"),"")</f>
        <v/>
      </c>
      <c r="F291" s="4" t="str">
        <f t="shared" si="18"/>
        <v/>
      </c>
      <c r="G291" s="4" t="str">
        <f t="shared" si="19"/>
        <v/>
      </c>
      <c r="H291" s="4" t="str">
        <f t="shared" si="20"/>
        <v/>
      </c>
    </row>
    <row r="292" spans="1:8">
      <c r="A292" s="6" t="str">
        <f t="shared" si="21"/>
        <v/>
      </c>
      <c r="B292" s="6" t="str">
        <f t="shared" si="17"/>
        <v/>
      </c>
      <c r="C292" s="9" t="str" cm="1">
        <f t="array" ref="C292">IF(ISNUMBER(A292),INDEX(BackgroundCalcs!$AV$2:$AV$500,'Grading Formulas'!$A292),"")</f>
        <v/>
      </c>
      <c r="D292" s="9" t="str" cm="1">
        <f t="array" ref="D292">IF(ISNUMBER($A292),INDEX(BackgroundCalcs!$AW$2:$AW$500,'Grading Formulas'!$A292),"")</f>
        <v/>
      </c>
      <c r="E292" s="4" t="str" cm="1">
        <f t="array" ref="E292">IF(ISNUMBER($A292),IF(A292=A291,"Reference2(False,True,"&amp;INDEX(BackgroundCalcs!$AX$2:$AX$500,'Grading Formulas'!$A292)&amp;")","Reference() AND MOEValue(.0001)"),"")</f>
        <v/>
      </c>
      <c r="F292" s="4" t="str">
        <f t="shared" si="18"/>
        <v/>
      </c>
      <c r="G292" s="4" t="str">
        <f t="shared" si="19"/>
        <v/>
      </c>
      <c r="H292" s="4" t="str">
        <f t="shared" si="20"/>
        <v/>
      </c>
    </row>
    <row r="293" spans="1:8">
      <c r="A293" s="6" t="str">
        <f t="shared" si="21"/>
        <v/>
      </c>
      <c r="B293" s="6" t="str">
        <f t="shared" si="17"/>
        <v/>
      </c>
      <c r="C293" s="9" t="str" cm="1">
        <f t="array" ref="C293">IF(ISNUMBER(A293),INDEX(BackgroundCalcs!$AV$2:$AV$500,'Grading Formulas'!$A293),"")</f>
        <v/>
      </c>
      <c r="D293" s="9" t="str" cm="1">
        <f t="array" ref="D293">IF(ISNUMBER($A293),INDEX(BackgroundCalcs!$AW$2:$AW$500,'Grading Formulas'!$A293),"")</f>
        <v/>
      </c>
      <c r="E293" s="4" t="str" cm="1">
        <f t="array" ref="E293">IF(ISNUMBER($A293),IF(A293=A292,"Reference2(False,True,"&amp;INDEX(BackgroundCalcs!$AX$2:$AX$500,'Grading Formulas'!$A293)&amp;")","Reference() AND MOEValue(.0001)"),"")</f>
        <v/>
      </c>
      <c r="F293" s="4" t="str">
        <f t="shared" si="18"/>
        <v/>
      </c>
      <c r="G293" s="4" t="str">
        <f t="shared" si="19"/>
        <v/>
      </c>
      <c r="H293" s="4" t="str">
        <f t="shared" si="20"/>
        <v/>
      </c>
    </row>
    <row r="294" spans="1:8">
      <c r="A294" s="6" t="str">
        <f t="shared" si="21"/>
        <v/>
      </c>
      <c r="B294" s="6" t="str">
        <f t="shared" si="17"/>
        <v/>
      </c>
      <c r="C294" s="9" t="str" cm="1">
        <f t="array" ref="C294">IF(ISNUMBER(A294),INDEX(BackgroundCalcs!$AV$2:$AV$500,'Grading Formulas'!$A294),"")</f>
        <v/>
      </c>
      <c r="D294" s="9" t="str" cm="1">
        <f t="array" ref="D294">IF(ISNUMBER($A294),INDEX(BackgroundCalcs!$AW$2:$AW$500,'Grading Formulas'!$A294),"")</f>
        <v/>
      </c>
      <c r="E294" s="4" t="str" cm="1">
        <f t="array" ref="E294">IF(ISNUMBER($A294),IF(A294=A293,"Reference2(False,True,"&amp;INDEX(BackgroundCalcs!$AX$2:$AX$500,'Grading Formulas'!$A294)&amp;")","Reference() AND MOEValue(.0001)"),"")</f>
        <v/>
      </c>
      <c r="F294" s="4" t="str">
        <f t="shared" si="18"/>
        <v/>
      </c>
      <c r="G294" s="4" t="str">
        <f t="shared" si="19"/>
        <v/>
      </c>
      <c r="H294" s="4" t="str">
        <f t="shared" si="20"/>
        <v/>
      </c>
    </row>
    <row r="295" spans="1:8">
      <c r="A295" s="6" t="str">
        <f t="shared" si="21"/>
        <v/>
      </c>
      <c r="B295" s="6" t="str">
        <f t="shared" si="17"/>
        <v/>
      </c>
      <c r="C295" s="9" t="str" cm="1">
        <f t="array" ref="C295">IF(ISNUMBER(A295),INDEX(BackgroundCalcs!$AV$2:$AV$500,'Grading Formulas'!$A295),"")</f>
        <v/>
      </c>
      <c r="D295" s="9" t="str" cm="1">
        <f t="array" ref="D295">IF(ISNUMBER($A295),INDEX(BackgroundCalcs!$AW$2:$AW$500,'Grading Formulas'!$A295),"")</f>
        <v/>
      </c>
      <c r="E295" s="4" t="str" cm="1">
        <f t="array" ref="E295">IF(ISNUMBER($A295),IF(A295=A294,"Reference2(False,True,"&amp;INDEX(BackgroundCalcs!$AX$2:$AX$500,'Grading Formulas'!$A295)&amp;")","Reference() AND MOEValue(.0001)"),"")</f>
        <v/>
      </c>
      <c r="F295" s="4" t="str">
        <f t="shared" si="18"/>
        <v/>
      </c>
      <c r="G295" s="4" t="str">
        <f t="shared" si="19"/>
        <v/>
      </c>
      <c r="H295" s="4" t="str">
        <f t="shared" si="20"/>
        <v/>
      </c>
    </row>
    <row r="296" spans="1:8">
      <c r="A296" s="6" t="str">
        <f t="shared" si="21"/>
        <v/>
      </c>
      <c r="B296" s="6" t="str">
        <f t="shared" si="17"/>
        <v/>
      </c>
      <c r="C296" s="9" t="str" cm="1">
        <f t="array" ref="C296">IF(ISNUMBER(A296),INDEX(BackgroundCalcs!$AV$2:$AV$500,'Grading Formulas'!$A296),"")</f>
        <v/>
      </c>
      <c r="D296" s="9" t="str" cm="1">
        <f t="array" ref="D296">IF(ISNUMBER($A296),INDEX(BackgroundCalcs!$AW$2:$AW$500,'Grading Formulas'!$A296),"")</f>
        <v/>
      </c>
      <c r="E296" s="4" t="str" cm="1">
        <f t="array" ref="E296">IF(ISNUMBER($A296),IF(A296=A295,"Reference2(False,True,"&amp;INDEX(BackgroundCalcs!$AX$2:$AX$500,'Grading Formulas'!$A296)&amp;")","Reference() AND MOEValue(.0001)"),"")</f>
        <v/>
      </c>
      <c r="F296" s="4" t="str">
        <f t="shared" si="18"/>
        <v/>
      </c>
      <c r="G296" s="4" t="str">
        <f t="shared" si="19"/>
        <v/>
      </c>
      <c r="H296" s="4" t="str">
        <f t="shared" si="20"/>
        <v/>
      </c>
    </row>
    <row r="297" spans="1:8">
      <c r="A297" s="6" t="str">
        <f t="shared" si="21"/>
        <v/>
      </c>
      <c r="B297" s="6" t="str">
        <f t="shared" si="17"/>
        <v/>
      </c>
      <c r="C297" s="9" t="str" cm="1">
        <f t="array" ref="C297">IF(ISNUMBER(A297),INDEX(BackgroundCalcs!$AV$2:$AV$500,'Grading Formulas'!$A297),"")</f>
        <v/>
      </c>
      <c r="D297" s="9" t="str" cm="1">
        <f t="array" ref="D297">IF(ISNUMBER($A297),INDEX(BackgroundCalcs!$AW$2:$AW$500,'Grading Formulas'!$A297),"")</f>
        <v/>
      </c>
      <c r="E297" s="4" t="str" cm="1">
        <f t="array" ref="E297">IF(ISNUMBER($A297),IF(A297=A296,"Reference2(False,True,"&amp;INDEX(BackgroundCalcs!$AX$2:$AX$500,'Grading Formulas'!$A297)&amp;")","Reference() AND MOEValue(.0001)"),"")</f>
        <v/>
      </c>
      <c r="F297" s="4" t="str">
        <f t="shared" si="18"/>
        <v/>
      </c>
      <c r="G297" s="4" t="str">
        <f t="shared" si="19"/>
        <v/>
      </c>
      <c r="H297" s="4" t="str">
        <f t="shared" si="20"/>
        <v/>
      </c>
    </row>
    <row r="298" spans="1:8">
      <c r="A298" s="6" t="str">
        <f t="shared" si="21"/>
        <v/>
      </c>
      <c r="B298" s="6" t="str">
        <f t="shared" si="17"/>
        <v/>
      </c>
      <c r="C298" s="9" t="str" cm="1">
        <f t="array" ref="C298">IF(ISNUMBER(A298),INDEX(BackgroundCalcs!$AV$2:$AV$500,'Grading Formulas'!$A298),"")</f>
        <v/>
      </c>
      <c r="D298" s="9" t="str" cm="1">
        <f t="array" ref="D298">IF(ISNUMBER($A298),INDEX(BackgroundCalcs!$AW$2:$AW$500,'Grading Formulas'!$A298),"")</f>
        <v/>
      </c>
      <c r="E298" s="4" t="str" cm="1">
        <f t="array" ref="E298">IF(ISNUMBER($A298),IF(A298=A297,"Reference2(False,True,"&amp;INDEX(BackgroundCalcs!$AX$2:$AX$500,'Grading Formulas'!$A298)&amp;")","Reference() AND MOEValue(.0001)"),"")</f>
        <v/>
      </c>
      <c r="F298" s="4" t="str">
        <f t="shared" si="18"/>
        <v/>
      </c>
      <c r="G298" s="4" t="str">
        <f t="shared" si="19"/>
        <v/>
      </c>
      <c r="H298" s="4" t="str">
        <f t="shared" si="20"/>
        <v/>
      </c>
    </row>
    <row r="299" spans="1:8">
      <c r="A299" s="6" t="str">
        <f t="shared" si="21"/>
        <v/>
      </c>
      <c r="B299" s="6" t="str">
        <f t="shared" si="17"/>
        <v/>
      </c>
      <c r="C299" s="9" t="str" cm="1">
        <f t="array" ref="C299">IF(ISNUMBER(A299),INDEX(BackgroundCalcs!$AV$2:$AV$500,'Grading Formulas'!$A299),"")</f>
        <v/>
      </c>
      <c r="D299" s="9" t="str" cm="1">
        <f t="array" ref="D299">IF(ISNUMBER($A299),INDEX(BackgroundCalcs!$AW$2:$AW$500,'Grading Formulas'!$A299),"")</f>
        <v/>
      </c>
      <c r="E299" s="4" t="str" cm="1">
        <f t="array" ref="E299">IF(ISNUMBER($A299),IF(A299=A298,"Reference2(False,True,"&amp;INDEX(BackgroundCalcs!$AX$2:$AX$500,'Grading Formulas'!$A299)&amp;")","Reference() AND MOEValue(.0001)"),"")</f>
        <v/>
      </c>
      <c r="F299" s="4" t="str">
        <f t="shared" si="18"/>
        <v/>
      </c>
      <c r="G299" s="4" t="str">
        <f t="shared" si="19"/>
        <v/>
      </c>
      <c r="H299" s="4" t="str">
        <f t="shared" si="20"/>
        <v/>
      </c>
    </row>
    <row r="300" spans="1:8">
      <c r="A300" s="6" t="str">
        <f t="shared" si="21"/>
        <v/>
      </c>
      <c r="B300" s="6" t="str">
        <f t="shared" si="17"/>
        <v/>
      </c>
      <c r="C300" s="9" t="str" cm="1">
        <f t="array" ref="C300">IF(ISNUMBER(A300),INDEX(BackgroundCalcs!$AV$2:$AV$500,'Grading Formulas'!$A300),"")</f>
        <v/>
      </c>
      <c r="D300" s="9" t="str" cm="1">
        <f t="array" ref="D300">IF(ISNUMBER($A300),INDEX(BackgroundCalcs!$AW$2:$AW$500,'Grading Formulas'!$A300),"")</f>
        <v/>
      </c>
      <c r="E300" s="4" t="str" cm="1">
        <f t="array" ref="E300">IF(ISNUMBER($A300),IF(A300=A299,"Reference2(False,True,"&amp;INDEX(BackgroundCalcs!$AX$2:$AX$500,'Grading Formulas'!$A300)&amp;")","Reference() AND MOEValue(.0001)"),"")</f>
        <v/>
      </c>
      <c r="F300" s="4" t="str">
        <f t="shared" si="18"/>
        <v/>
      </c>
      <c r="G300" s="4" t="str">
        <f t="shared" si="19"/>
        <v/>
      </c>
      <c r="H300" s="4" t="str">
        <f t="shared" si="20"/>
        <v/>
      </c>
    </row>
    <row r="301" spans="1:8">
      <c r="A301" s="6" t="str">
        <f t="shared" si="21"/>
        <v/>
      </c>
      <c r="B301" s="6" t="str">
        <f t="shared" si="17"/>
        <v/>
      </c>
      <c r="C301" s="9" t="str" cm="1">
        <f t="array" ref="C301">IF(ISNUMBER(A301),INDEX(BackgroundCalcs!$AV$2:$AV$500,'Grading Formulas'!$A301),"")</f>
        <v/>
      </c>
      <c r="D301" s="9" t="str" cm="1">
        <f t="array" ref="D301">IF(ISNUMBER($A301),INDEX(BackgroundCalcs!$AW$2:$AW$500,'Grading Formulas'!$A301),"")</f>
        <v/>
      </c>
      <c r="E301" s="4" t="str" cm="1">
        <f t="array" ref="E301">IF(ISNUMBER($A301),IF(A301=A300,"Reference2(False,True,"&amp;INDEX(BackgroundCalcs!$AX$2:$AX$500,'Grading Formulas'!$A301)&amp;")","Reference() AND MOEValue(.0001)"),"")</f>
        <v/>
      </c>
      <c r="F301" s="4" t="str">
        <f t="shared" si="18"/>
        <v/>
      </c>
      <c r="G301" s="4" t="str">
        <f t="shared" si="19"/>
        <v/>
      </c>
      <c r="H301" s="4" t="str">
        <f t="shared" si="20"/>
        <v/>
      </c>
    </row>
    <row r="302" spans="1:8">
      <c r="A302" s="6" t="str">
        <f t="shared" si="21"/>
        <v/>
      </c>
      <c r="B302" s="6" t="str">
        <f t="shared" si="17"/>
        <v/>
      </c>
      <c r="C302" s="9" t="str" cm="1">
        <f t="array" ref="C302">IF(ISNUMBER(A302),INDEX(BackgroundCalcs!$AV$2:$AV$500,'Grading Formulas'!$A302),"")</f>
        <v/>
      </c>
      <c r="D302" s="9" t="str" cm="1">
        <f t="array" ref="D302">IF(ISNUMBER($A302),INDEX(BackgroundCalcs!$AW$2:$AW$500,'Grading Formulas'!$A302),"")</f>
        <v/>
      </c>
      <c r="E302" s="4" t="str" cm="1">
        <f t="array" ref="E302">IF(ISNUMBER($A302),IF(A302=A301,"Reference2(False,True,"&amp;INDEX(BackgroundCalcs!$AX$2:$AX$500,'Grading Formulas'!$A302)&amp;")","Reference() AND MOEValue(.0001)"),"")</f>
        <v/>
      </c>
      <c r="F302" s="4" t="str">
        <f t="shared" si="18"/>
        <v/>
      </c>
      <c r="G302" s="4" t="str">
        <f t="shared" si="19"/>
        <v/>
      </c>
      <c r="H302" s="4" t="str">
        <f t="shared" si="20"/>
        <v/>
      </c>
    </row>
    <row r="303" spans="1:8">
      <c r="A303" s="6" t="str">
        <f t="shared" si="21"/>
        <v/>
      </c>
      <c r="B303" s="6" t="str">
        <f t="shared" si="17"/>
        <v/>
      </c>
      <c r="C303" s="9" t="str" cm="1">
        <f t="array" ref="C303">IF(ISNUMBER(A303),INDEX(BackgroundCalcs!$AV$2:$AV$500,'Grading Formulas'!$A303),"")</f>
        <v/>
      </c>
      <c r="D303" s="9" t="str" cm="1">
        <f t="array" ref="D303">IF(ISNUMBER($A303),INDEX(BackgroundCalcs!$AW$2:$AW$500,'Grading Formulas'!$A303),"")</f>
        <v/>
      </c>
      <c r="E303" s="4" t="str" cm="1">
        <f t="array" ref="E303">IF(ISNUMBER($A303),IF(A303=A302,"Reference2(False,True,"&amp;INDEX(BackgroundCalcs!$AX$2:$AX$500,'Grading Formulas'!$A303)&amp;")","Reference() AND MOEValue(.0001)"),"")</f>
        <v/>
      </c>
      <c r="F303" s="4" t="str">
        <f t="shared" si="18"/>
        <v/>
      </c>
      <c r="G303" s="4" t="str">
        <f t="shared" si="19"/>
        <v/>
      </c>
      <c r="H303" s="4" t="str">
        <f t="shared" si="20"/>
        <v/>
      </c>
    </row>
    <row r="304" spans="1:8">
      <c r="A304" s="6" t="str">
        <f t="shared" si="21"/>
        <v/>
      </c>
      <c r="B304" s="6" t="str">
        <f t="shared" si="17"/>
        <v/>
      </c>
      <c r="C304" s="9" t="str" cm="1">
        <f t="array" ref="C304">IF(ISNUMBER(A304),INDEX(BackgroundCalcs!$AV$2:$AV$500,'Grading Formulas'!$A304),"")</f>
        <v/>
      </c>
      <c r="D304" s="9" t="str" cm="1">
        <f t="array" ref="D304">IF(ISNUMBER($A304),INDEX(BackgroundCalcs!$AW$2:$AW$500,'Grading Formulas'!$A304),"")</f>
        <v/>
      </c>
      <c r="E304" s="4" t="str" cm="1">
        <f t="array" ref="E304">IF(ISNUMBER($A304),IF(A304=A303,"Reference2(False,True,"&amp;INDEX(BackgroundCalcs!$AX$2:$AX$500,'Grading Formulas'!$A304)&amp;")","Reference() AND MOEValue(.0001)"),"")</f>
        <v/>
      </c>
      <c r="F304" s="4" t="str">
        <f t="shared" si="18"/>
        <v/>
      </c>
      <c r="G304" s="4" t="str">
        <f t="shared" si="19"/>
        <v/>
      </c>
      <c r="H304" s="4" t="str">
        <f t="shared" si="20"/>
        <v/>
      </c>
    </row>
    <row r="305" spans="1:8">
      <c r="A305" s="6" t="str">
        <f t="shared" si="21"/>
        <v/>
      </c>
      <c r="B305" s="6" t="str">
        <f t="shared" si="17"/>
        <v/>
      </c>
      <c r="C305" s="9" t="str" cm="1">
        <f t="array" ref="C305">IF(ISNUMBER(A305),INDEX(BackgroundCalcs!$AV$2:$AV$500,'Grading Formulas'!$A305),"")</f>
        <v/>
      </c>
      <c r="D305" s="9" t="str" cm="1">
        <f t="array" ref="D305">IF(ISNUMBER($A305),INDEX(BackgroundCalcs!$AW$2:$AW$500,'Grading Formulas'!$A305),"")</f>
        <v/>
      </c>
      <c r="E305" s="4" t="str" cm="1">
        <f t="array" ref="E305">IF(ISNUMBER($A305),IF(A305=A304,"Reference2(False,True,"&amp;INDEX(BackgroundCalcs!$AX$2:$AX$500,'Grading Formulas'!$A305)&amp;")","Reference() AND MOEValue(.0001)"),"")</f>
        <v/>
      </c>
      <c r="F305" s="4" t="str">
        <f t="shared" si="18"/>
        <v/>
      </c>
      <c r="G305" s="4" t="str">
        <f t="shared" si="19"/>
        <v/>
      </c>
      <c r="H305" s="4" t="str">
        <f t="shared" si="20"/>
        <v/>
      </c>
    </row>
    <row r="306" spans="1:8">
      <c r="A306" s="6" t="str">
        <f t="shared" si="21"/>
        <v/>
      </c>
      <c r="B306" s="6" t="str">
        <f t="shared" si="17"/>
        <v/>
      </c>
      <c r="C306" s="9" t="str" cm="1">
        <f t="array" ref="C306">IF(ISNUMBER(A306),INDEX(BackgroundCalcs!$AV$2:$AV$500,'Grading Formulas'!$A306),"")</f>
        <v/>
      </c>
      <c r="D306" s="9" t="str" cm="1">
        <f t="array" ref="D306">IF(ISNUMBER($A306),INDEX(BackgroundCalcs!$AW$2:$AW$500,'Grading Formulas'!$A306),"")</f>
        <v/>
      </c>
      <c r="E306" s="4" t="str" cm="1">
        <f t="array" ref="E306">IF(ISNUMBER($A306),IF(A306=A305,"Reference2(False,True,"&amp;INDEX(BackgroundCalcs!$AX$2:$AX$500,'Grading Formulas'!$A306)&amp;")","Reference() AND MOEValue(.0001)"),"")</f>
        <v/>
      </c>
      <c r="F306" s="4" t="str">
        <f t="shared" si="18"/>
        <v/>
      </c>
      <c r="G306" s="4" t="str">
        <f t="shared" si="19"/>
        <v/>
      </c>
      <c r="H306" s="4" t="str">
        <f t="shared" si="20"/>
        <v/>
      </c>
    </row>
    <row r="307" spans="1:8">
      <c r="A307" s="6" t="str">
        <f t="shared" si="21"/>
        <v/>
      </c>
      <c r="B307" s="6" t="str">
        <f t="shared" si="17"/>
        <v/>
      </c>
      <c r="C307" s="9" t="str" cm="1">
        <f t="array" ref="C307">IF(ISNUMBER(A307),INDEX(BackgroundCalcs!$AV$2:$AV$500,'Grading Formulas'!$A307),"")</f>
        <v/>
      </c>
      <c r="D307" s="9" t="str" cm="1">
        <f t="array" ref="D307">IF(ISNUMBER($A307),INDEX(BackgroundCalcs!$AW$2:$AW$500,'Grading Formulas'!$A307),"")</f>
        <v/>
      </c>
      <c r="E307" s="4" t="str" cm="1">
        <f t="array" ref="E307">IF(ISNUMBER($A307),IF(A307=A306,"Reference2(False,True,"&amp;INDEX(BackgroundCalcs!$AX$2:$AX$500,'Grading Formulas'!$A307)&amp;")","Reference() AND MOEValue(.0001)"),"")</f>
        <v/>
      </c>
      <c r="F307" s="4" t="str">
        <f t="shared" si="18"/>
        <v/>
      </c>
      <c r="G307" s="4" t="str">
        <f t="shared" si="19"/>
        <v/>
      </c>
      <c r="H307" s="4" t="str">
        <f t="shared" si="20"/>
        <v/>
      </c>
    </row>
    <row r="308" spans="1:8">
      <c r="A308" s="6" t="str">
        <f t="shared" si="21"/>
        <v/>
      </c>
      <c r="B308" s="6" t="str">
        <f t="shared" si="17"/>
        <v/>
      </c>
      <c r="C308" s="9" t="str" cm="1">
        <f t="array" ref="C308">IF(ISNUMBER(A308),INDEX(BackgroundCalcs!$AV$2:$AV$500,'Grading Formulas'!$A308),"")</f>
        <v/>
      </c>
      <c r="D308" s="9" t="str" cm="1">
        <f t="array" ref="D308">IF(ISNUMBER($A308),INDEX(BackgroundCalcs!$AW$2:$AW$500,'Grading Formulas'!$A308),"")</f>
        <v/>
      </c>
      <c r="E308" s="4" t="str" cm="1">
        <f t="array" ref="E308">IF(ISNUMBER($A308),IF(A308=A307,"Reference2(False,True,"&amp;INDEX(BackgroundCalcs!$AX$2:$AX$500,'Grading Formulas'!$A308)&amp;")","Reference() AND MOEValue(.0001)"),"")</f>
        <v/>
      </c>
      <c r="F308" s="4" t="str">
        <f t="shared" si="18"/>
        <v/>
      </c>
      <c r="G308" s="4" t="str">
        <f t="shared" si="19"/>
        <v/>
      </c>
      <c r="H308" s="4" t="str">
        <f t="shared" si="20"/>
        <v/>
      </c>
    </row>
    <row r="309" spans="1:8">
      <c r="A309" s="6" t="str">
        <f t="shared" si="21"/>
        <v/>
      </c>
      <c r="B309" s="6" t="str">
        <f t="shared" si="17"/>
        <v/>
      </c>
      <c r="C309" s="9" t="str" cm="1">
        <f t="array" ref="C309">IF(ISNUMBER(A309),INDEX(BackgroundCalcs!$AV$2:$AV$500,'Grading Formulas'!$A309),"")</f>
        <v/>
      </c>
      <c r="D309" s="9" t="str" cm="1">
        <f t="array" ref="D309">IF(ISNUMBER($A309),INDEX(BackgroundCalcs!$AW$2:$AW$500,'Grading Formulas'!$A309),"")</f>
        <v/>
      </c>
      <c r="E309" s="4" t="str" cm="1">
        <f t="array" ref="E309">IF(ISNUMBER($A309),IF(A309=A308,"Reference2(False,True,"&amp;INDEX(BackgroundCalcs!$AX$2:$AX$500,'Grading Formulas'!$A309)&amp;")","Reference() AND MOEValue(.0001)"),"")</f>
        <v/>
      </c>
      <c r="F309" s="4" t="str">
        <f t="shared" si="18"/>
        <v/>
      </c>
      <c r="G309" s="4" t="str">
        <f t="shared" si="19"/>
        <v/>
      </c>
      <c r="H309" s="4" t="str">
        <f t="shared" si="20"/>
        <v/>
      </c>
    </row>
    <row r="310" spans="1:8">
      <c r="A310" s="6" t="str">
        <f t="shared" si="21"/>
        <v/>
      </c>
      <c r="B310" s="6" t="str">
        <f t="shared" si="17"/>
        <v/>
      </c>
      <c r="C310" s="9" t="str" cm="1">
        <f t="array" ref="C310">IF(ISNUMBER(A310),INDEX(BackgroundCalcs!$AV$2:$AV$500,'Grading Formulas'!$A310),"")</f>
        <v/>
      </c>
      <c r="D310" s="9" t="str" cm="1">
        <f t="array" ref="D310">IF(ISNUMBER($A310),INDEX(BackgroundCalcs!$AW$2:$AW$500,'Grading Formulas'!$A310),"")</f>
        <v/>
      </c>
      <c r="E310" s="4" t="str" cm="1">
        <f t="array" ref="E310">IF(ISNUMBER($A310),IF(A310=A309,"Reference2(False,True,"&amp;INDEX(BackgroundCalcs!$AX$2:$AX$500,'Grading Formulas'!$A310)&amp;")","Reference() AND MOEValue(.0001)"),"")</f>
        <v/>
      </c>
      <c r="F310" s="4" t="str">
        <f t="shared" si="18"/>
        <v/>
      </c>
      <c r="G310" s="4" t="str">
        <f t="shared" si="19"/>
        <v/>
      </c>
      <c r="H310" s="4" t="str">
        <f t="shared" si="20"/>
        <v/>
      </c>
    </row>
    <row r="311" spans="1:8">
      <c r="A311" s="6" t="str">
        <f t="shared" si="21"/>
        <v/>
      </c>
      <c r="B311" s="6" t="str">
        <f t="shared" si="17"/>
        <v/>
      </c>
      <c r="C311" s="9" t="str" cm="1">
        <f t="array" ref="C311">IF(ISNUMBER(A311),INDEX(BackgroundCalcs!$AV$2:$AV$500,'Grading Formulas'!$A311),"")</f>
        <v/>
      </c>
      <c r="D311" s="9" t="str" cm="1">
        <f t="array" ref="D311">IF(ISNUMBER($A311),INDEX(BackgroundCalcs!$AW$2:$AW$500,'Grading Formulas'!$A311),"")</f>
        <v/>
      </c>
      <c r="E311" s="4" t="str" cm="1">
        <f t="array" ref="E311">IF(ISNUMBER($A311),IF(A311=A310,"Reference2(False,True,"&amp;INDEX(BackgroundCalcs!$AX$2:$AX$500,'Grading Formulas'!$A311)&amp;")","Reference() AND MOEValue(.0001)"),"")</f>
        <v/>
      </c>
      <c r="F311" s="4" t="str">
        <f t="shared" si="18"/>
        <v/>
      </c>
      <c r="G311" s="4" t="str">
        <f t="shared" si="19"/>
        <v/>
      </c>
      <c r="H311" s="4" t="str">
        <f t="shared" si="20"/>
        <v/>
      </c>
    </row>
    <row r="312" spans="1:8">
      <c r="A312" s="6" t="str">
        <f t="shared" si="21"/>
        <v/>
      </c>
      <c r="B312" s="6" t="str">
        <f t="shared" si="17"/>
        <v/>
      </c>
      <c r="C312" s="9" t="str" cm="1">
        <f t="array" ref="C312">IF(ISNUMBER(A312),INDEX(BackgroundCalcs!$AV$2:$AV$500,'Grading Formulas'!$A312),"")</f>
        <v/>
      </c>
      <c r="D312" s="9" t="str" cm="1">
        <f t="array" ref="D312">IF(ISNUMBER($A312),INDEX(BackgroundCalcs!$AW$2:$AW$500,'Grading Formulas'!$A312),"")</f>
        <v/>
      </c>
      <c r="E312" s="4" t="str" cm="1">
        <f t="array" ref="E312">IF(ISNUMBER($A312),IF(A312=A311,"Reference2(False,True,"&amp;INDEX(BackgroundCalcs!$AX$2:$AX$500,'Grading Formulas'!$A312)&amp;")","Reference() AND MOEValue(.0001)"),"")</f>
        <v/>
      </c>
      <c r="F312" s="4" t="str">
        <f t="shared" si="18"/>
        <v/>
      </c>
      <c r="G312" s="4" t="str">
        <f t="shared" si="19"/>
        <v/>
      </c>
      <c r="H312" s="4" t="str">
        <f t="shared" si="20"/>
        <v/>
      </c>
    </row>
    <row r="313" spans="1:8">
      <c r="A313" s="6" t="str">
        <f t="shared" si="21"/>
        <v/>
      </c>
      <c r="B313" s="6" t="str">
        <f t="shared" si="17"/>
        <v/>
      </c>
      <c r="C313" s="9" t="str" cm="1">
        <f t="array" ref="C313">IF(ISNUMBER(A313),INDEX(BackgroundCalcs!$AV$2:$AV$500,'Grading Formulas'!$A313),"")</f>
        <v/>
      </c>
      <c r="D313" s="9" t="str" cm="1">
        <f t="array" ref="D313">IF(ISNUMBER($A313),INDEX(BackgroundCalcs!$AW$2:$AW$500,'Grading Formulas'!$A313),"")</f>
        <v/>
      </c>
      <c r="E313" s="4" t="str" cm="1">
        <f t="array" ref="E313">IF(ISNUMBER($A313),IF(A313=A312,"Reference2(False,True,"&amp;INDEX(BackgroundCalcs!$AX$2:$AX$500,'Grading Formulas'!$A313)&amp;")","Reference() AND MOEValue(.0001)"),"")</f>
        <v/>
      </c>
      <c r="F313" s="4" t="str">
        <f t="shared" si="18"/>
        <v/>
      </c>
      <c r="G313" s="4" t="str">
        <f t="shared" si="19"/>
        <v/>
      </c>
      <c r="H313" s="4" t="str">
        <f t="shared" si="20"/>
        <v/>
      </c>
    </row>
    <row r="314" spans="1:8">
      <c r="A314" s="6" t="str">
        <f t="shared" si="21"/>
        <v/>
      </c>
      <c r="B314" s="6" t="str">
        <f t="shared" si="17"/>
        <v/>
      </c>
      <c r="C314" s="9" t="str" cm="1">
        <f t="array" ref="C314">IF(ISNUMBER(A314),INDEX(BackgroundCalcs!$AV$2:$AV$500,'Grading Formulas'!$A314),"")</f>
        <v/>
      </c>
      <c r="D314" s="9" t="str" cm="1">
        <f t="array" ref="D314">IF(ISNUMBER($A314),INDEX(BackgroundCalcs!$AW$2:$AW$500,'Grading Formulas'!$A314),"")</f>
        <v/>
      </c>
      <c r="E314" s="4" t="str" cm="1">
        <f t="array" ref="E314">IF(ISNUMBER($A314),IF(A314=A313,"Reference2(False,True,"&amp;INDEX(BackgroundCalcs!$AX$2:$AX$500,'Grading Formulas'!$A314)&amp;")","Reference() AND MOEValue(.0001)"),"")</f>
        <v/>
      </c>
      <c r="F314" s="4" t="str">
        <f t="shared" si="18"/>
        <v/>
      </c>
      <c r="G314" s="4" t="str">
        <f t="shared" si="19"/>
        <v/>
      </c>
      <c r="H314" s="4" t="str">
        <f t="shared" si="20"/>
        <v/>
      </c>
    </row>
    <row r="315" spans="1:8">
      <c r="A315" s="6" t="str">
        <f t="shared" si="21"/>
        <v/>
      </c>
      <c r="B315" s="6" t="str">
        <f t="shared" si="17"/>
        <v/>
      </c>
      <c r="C315" s="9" t="str" cm="1">
        <f t="array" ref="C315">IF(ISNUMBER(A315),INDEX(BackgroundCalcs!$AV$2:$AV$500,'Grading Formulas'!$A315),"")</f>
        <v/>
      </c>
      <c r="D315" s="9" t="str" cm="1">
        <f t="array" ref="D315">IF(ISNUMBER($A315),INDEX(BackgroundCalcs!$AW$2:$AW$500,'Grading Formulas'!$A315),"")</f>
        <v/>
      </c>
      <c r="E315" s="4" t="str" cm="1">
        <f t="array" ref="E315">IF(ISNUMBER($A315),IF(A315=A314,"Reference2(False,True,"&amp;INDEX(BackgroundCalcs!$AX$2:$AX$500,'Grading Formulas'!$A315)&amp;")","Reference() AND MOEValue(.0001)"),"")</f>
        <v/>
      </c>
      <c r="F315" s="4" t="str">
        <f t="shared" si="18"/>
        <v/>
      </c>
      <c r="G315" s="4" t="str">
        <f t="shared" si="19"/>
        <v/>
      </c>
      <c r="H315" s="4" t="str">
        <f t="shared" si="20"/>
        <v/>
      </c>
    </row>
    <row r="316" spans="1:8">
      <c r="A316" s="6" t="str">
        <f t="shared" si="21"/>
        <v/>
      </c>
      <c r="B316" s="6" t="str">
        <f t="shared" si="17"/>
        <v/>
      </c>
      <c r="C316" s="9" t="str" cm="1">
        <f t="array" ref="C316">IF(ISNUMBER(A316),INDEX(BackgroundCalcs!$AV$2:$AV$500,'Grading Formulas'!$A316),"")</f>
        <v/>
      </c>
      <c r="D316" s="9" t="str" cm="1">
        <f t="array" ref="D316">IF(ISNUMBER($A316),INDEX(BackgroundCalcs!$AW$2:$AW$500,'Grading Formulas'!$A316),"")</f>
        <v/>
      </c>
      <c r="E316" s="4" t="str" cm="1">
        <f t="array" ref="E316">IF(ISNUMBER($A316),IF(A316=A315,"Reference2(False,True,"&amp;INDEX(BackgroundCalcs!$AX$2:$AX$500,'Grading Formulas'!$A316)&amp;")","Reference() AND MOEValue(.0001)"),"")</f>
        <v/>
      </c>
      <c r="F316" s="4" t="str">
        <f t="shared" si="18"/>
        <v/>
      </c>
      <c r="G316" s="4" t="str">
        <f t="shared" si="19"/>
        <v/>
      </c>
      <c r="H316" s="4" t="str">
        <f t="shared" si="20"/>
        <v/>
      </c>
    </row>
    <row r="317" spans="1:8">
      <c r="A317" s="6" t="str">
        <f t="shared" si="21"/>
        <v/>
      </c>
      <c r="B317" s="6" t="str">
        <f t="shared" si="17"/>
        <v/>
      </c>
      <c r="C317" s="9" t="str" cm="1">
        <f t="array" ref="C317">IF(ISNUMBER(A317),INDEX(BackgroundCalcs!$AV$2:$AV$500,'Grading Formulas'!$A317),"")</f>
        <v/>
      </c>
      <c r="D317" s="9" t="str" cm="1">
        <f t="array" ref="D317">IF(ISNUMBER($A317),INDEX(BackgroundCalcs!$AW$2:$AW$500,'Grading Formulas'!$A317),"")</f>
        <v/>
      </c>
      <c r="E317" s="4" t="str" cm="1">
        <f t="array" ref="E317">IF(ISNUMBER($A317),IF(A317=A316,"Reference2(False,True,"&amp;INDEX(BackgroundCalcs!$AX$2:$AX$500,'Grading Formulas'!$A317)&amp;")","Reference() AND MOEValue(.0001)"),"")</f>
        <v/>
      </c>
      <c r="F317" s="4" t="str">
        <f t="shared" si="18"/>
        <v/>
      </c>
      <c r="G317" s="4" t="str">
        <f t="shared" si="19"/>
        <v/>
      </c>
      <c r="H317" s="4" t="str">
        <f t="shared" si="20"/>
        <v/>
      </c>
    </row>
    <row r="318" spans="1:8">
      <c r="A318" s="6" t="str">
        <f t="shared" si="21"/>
        <v/>
      </c>
      <c r="B318" s="6" t="str">
        <f t="shared" si="17"/>
        <v/>
      </c>
      <c r="C318" s="9" t="str" cm="1">
        <f t="array" ref="C318">IF(ISNUMBER(A318),INDEX(BackgroundCalcs!$AV$2:$AV$500,'Grading Formulas'!$A318),"")</f>
        <v/>
      </c>
      <c r="D318" s="9" t="str" cm="1">
        <f t="array" ref="D318">IF(ISNUMBER($A318),INDEX(BackgroundCalcs!$AW$2:$AW$500,'Grading Formulas'!$A318),"")</f>
        <v/>
      </c>
      <c r="E318" s="4" t="str" cm="1">
        <f t="array" ref="E318">IF(ISNUMBER($A318),IF(A318=A317,"Reference2(False,True,"&amp;INDEX(BackgroundCalcs!$AX$2:$AX$500,'Grading Formulas'!$A318)&amp;")","Reference() AND MOEValue(.0001)"),"")</f>
        <v/>
      </c>
      <c r="F318" s="4" t="str">
        <f t="shared" si="18"/>
        <v/>
      </c>
      <c r="G318" s="4" t="str">
        <f t="shared" si="19"/>
        <v/>
      </c>
      <c r="H318" s="4" t="str">
        <f t="shared" si="20"/>
        <v/>
      </c>
    </row>
    <row r="319" spans="1:8">
      <c r="A319" s="6" t="str">
        <f t="shared" si="21"/>
        <v/>
      </c>
      <c r="B319" s="6" t="str">
        <f t="shared" si="17"/>
        <v/>
      </c>
      <c r="C319" s="9" t="str" cm="1">
        <f t="array" ref="C319">IF(ISNUMBER(A319),INDEX(BackgroundCalcs!$AV$2:$AV$500,'Grading Formulas'!$A319),"")</f>
        <v/>
      </c>
      <c r="D319" s="9" t="str" cm="1">
        <f t="array" ref="D319">IF(ISNUMBER($A319),INDEX(BackgroundCalcs!$AW$2:$AW$500,'Grading Formulas'!$A319),"")</f>
        <v/>
      </c>
      <c r="E319" s="4" t="str" cm="1">
        <f t="array" ref="E319">IF(ISNUMBER($A319),IF(A319=A318,"Reference2(False,True,"&amp;INDEX(BackgroundCalcs!$AX$2:$AX$500,'Grading Formulas'!$A319)&amp;")","Reference() AND MOEValue(.0001)"),"")</f>
        <v/>
      </c>
      <c r="F319" s="4" t="str">
        <f t="shared" si="18"/>
        <v/>
      </c>
      <c r="G319" s="4" t="str">
        <f t="shared" si="19"/>
        <v/>
      </c>
      <c r="H319" s="4" t="str">
        <f t="shared" si="20"/>
        <v/>
      </c>
    </row>
    <row r="320" spans="1:8">
      <c r="A320" s="6" t="str">
        <f t="shared" si="21"/>
        <v/>
      </c>
      <c r="B320" s="6" t="str">
        <f t="shared" si="17"/>
        <v/>
      </c>
      <c r="C320" s="9" t="str" cm="1">
        <f t="array" ref="C320">IF(ISNUMBER(A320),INDEX(BackgroundCalcs!$AV$2:$AV$500,'Grading Formulas'!$A320),"")</f>
        <v/>
      </c>
      <c r="D320" s="9" t="str" cm="1">
        <f t="array" ref="D320">IF(ISNUMBER($A320),INDEX(BackgroundCalcs!$AW$2:$AW$500,'Grading Formulas'!$A320),"")</f>
        <v/>
      </c>
      <c r="E320" s="4" t="str" cm="1">
        <f t="array" ref="E320">IF(ISNUMBER($A320),IF(A320=A319,"Reference2(False,True,"&amp;INDEX(BackgroundCalcs!$AX$2:$AX$500,'Grading Formulas'!$A320)&amp;")","Reference() AND MOEValue(.0001)"),"")</f>
        <v/>
      </c>
      <c r="F320" s="4" t="str">
        <f t="shared" si="18"/>
        <v/>
      </c>
      <c r="G320" s="4" t="str">
        <f t="shared" si="19"/>
        <v/>
      </c>
      <c r="H320" s="4" t="str">
        <f t="shared" si="20"/>
        <v/>
      </c>
    </row>
    <row r="321" spans="1:8">
      <c r="A321" s="6" t="str">
        <f t="shared" si="21"/>
        <v/>
      </c>
      <c r="B321" s="6" t="str">
        <f t="shared" si="17"/>
        <v/>
      </c>
      <c r="C321" s="9" t="str" cm="1">
        <f t="array" ref="C321">IF(ISNUMBER(A321),INDEX(BackgroundCalcs!$AV$2:$AV$500,'Grading Formulas'!$A321),"")</f>
        <v/>
      </c>
      <c r="D321" s="9" t="str" cm="1">
        <f t="array" ref="D321">IF(ISNUMBER($A321),INDEX(BackgroundCalcs!$AW$2:$AW$500,'Grading Formulas'!$A321),"")</f>
        <v/>
      </c>
      <c r="E321" s="4" t="str" cm="1">
        <f t="array" ref="E321">IF(ISNUMBER($A321),IF(A321=A320,"Reference2(False,True,"&amp;INDEX(BackgroundCalcs!$AX$2:$AX$500,'Grading Formulas'!$A321)&amp;")","Reference() AND MOEValue(.0001)"),"")</f>
        <v/>
      </c>
      <c r="F321" s="4" t="str">
        <f t="shared" si="18"/>
        <v/>
      </c>
      <c r="G321" s="4" t="str">
        <f t="shared" si="19"/>
        <v/>
      </c>
      <c r="H321" s="4" t="str">
        <f t="shared" si="20"/>
        <v/>
      </c>
    </row>
    <row r="322" spans="1:8">
      <c r="A322" s="6" t="str">
        <f t="shared" si="21"/>
        <v/>
      </c>
      <c r="B322" s="6" t="str">
        <f t="shared" ref="B322:B385" si="22">IF(ISNUMBER(A322),"CELL","")</f>
        <v/>
      </c>
      <c r="C322" s="9" t="str" cm="1">
        <f t="array" ref="C322">IF(ISNUMBER(A322),INDEX(BackgroundCalcs!$AV$2:$AV$500,'Grading Formulas'!$A322),"")</f>
        <v/>
      </c>
      <c r="D322" s="9" t="str" cm="1">
        <f t="array" ref="D322">IF(ISNUMBER($A322),INDEX(BackgroundCalcs!$AW$2:$AW$500,'Grading Formulas'!$A322),"")</f>
        <v/>
      </c>
      <c r="E322" s="4" t="str" cm="1">
        <f t="array" ref="E322">IF(ISNUMBER($A322),IF(A322=A321,"Reference2(False,True,"&amp;INDEX(BackgroundCalcs!$AX$2:$AX$500,'Grading Formulas'!$A322)&amp;")","Reference() AND MOEValue(.0001)"),"")</f>
        <v/>
      </c>
      <c r="F322" s="4" t="str">
        <f t="shared" si="18"/>
        <v/>
      </c>
      <c r="G322" s="4" t="str">
        <f t="shared" si="19"/>
        <v/>
      </c>
      <c r="H322" s="4" t="str">
        <f t="shared" si="20"/>
        <v/>
      </c>
    </row>
    <row r="323" spans="1:8">
      <c r="A323" s="6" t="str">
        <f t="shared" si="21"/>
        <v/>
      </c>
      <c r="B323" s="6" t="str">
        <f t="shared" si="22"/>
        <v/>
      </c>
      <c r="C323" s="9" t="str" cm="1">
        <f t="array" ref="C323">IF(ISNUMBER(A323),INDEX(BackgroundCalcs!$AV$2:$AV$500,'Grading Formulas'!$A323),"")</f>
        <v/>
      </c>
      <c r="D323" s="9" t="str" cm="1">
        <f t="array" ref="D323">IF(ISNUMBER($A323),INDEX(BackgroundCalcs!$AW$2:$AW$500,'Grading Formulas'!$A323),"")</f>
        <v/>
      </c>
      <c r="E323" s="4" t="str" cm="1">
        <f t="array" ref="E323">IF(ISNUMBER($A323),IF(A323=A322,"Reference2(False,True,"&amp;INDEX(BackgroundCalcs!$AX$2:$AX$500,'Grading Formulas'!$A323)&amp;")","Reference() AND MOEValue(.0001)"),"")</f>
        <v/>
      </c>
      <c r="F323" s="4" t="str">
        <f t="shared" ref="F323:F386" si="23">IF(ISNUMBER($A323),IF(A323=A322,-1000,1),"")</f>
        <v/>
      </c>
      <c r="G323" s="4" t="str">
        <f t="shared" ref="G323:G386" si="24">IF(ISNUMBER($A323),IF(A323=A322,"You should not be referencing the answer cell","Correct"),"")</f>
        <v/>
      </c>
      <c r="H323" s="4" t="str">
        <f t="shared" ref="H323:H386" si="25">IF(ISNUMBER($A323),IF(A323=A322,"N/A","Incorrect"),"")</f>
        <v/>
      </c>
    </row>
    <row r="324" spans="1:8">
      <c r="A324" s="6" t="str">
        <f t="shared" ref="A324:A387" si="26">IF(A322&lt;NumAnswers,A322+1,"")</f>
        <v/>
      </c>
      <c r="B324" s="6" t="str">
        <f t="shared" si="22"/>
        <v/>
      </c>
      <c r="C324" s="9" t="str" cm="1">
        <f t="array" ref="C324">IF(ISNUMBER(A324),INDEX(BackgroundCalcs!$AV$2:$AV$500,'Grading Formulas'!$A324),"")</f>
        <v/>
      </c>
      <c r="D324" s="9" t="str" cm="1">
        <f t="array" ref="D324">IF(ISNUMBER($A324),INDEX(BackgroundCalcs!$AW$2:$AW$500,'Grading Formulas'!$A324),"")</f>
        <v/>
      </c>
      <c r="E324" s="4" t="str" cm="1">
        <f t="array" ref="E324">IF(ISNUMBER($A324),IF(A324=A323,"Reference2(False,True,"&amp;INDEX(BackgroundCalcs!$AX$2:$AX$500,'Grading Formulas'!$A324)&amp;")","Reference() AND MOEValue(.0001)"),"")</f>
        <v/>
      </c>
      <c r="F324" s="4" t="str">
        <f t="shared" si="23"/>
        <v/>
      </c>
      <c r="G324" s="4" t="str">
        <f t="shared" si="24"/>
        <v/>
      </c>
      <c r="H324" s="4" t="str">
        <f t="shared" si="25"/>
        <v/>
      </c>
    </row>
    <row r="325" spans="1:8">
      <c r="A325" s="6" t="str">
        <f t="shared" si="26"/>
        <v/>
      </c>
      <c r="B325" s="6" t="str">
        <f t="shared" si="22"/>
        <v/>
      </c>
      <c r="C325" s="9" t="str" cm="1">
        <f t="array" ref="C325">IF(ISNUMBER(A325),INDEX(BackgroundCalcs!$AV$2:$AV$500,'Grading Formulas'!$A325),"")</f>
        <v/>
      </c>
      <c r="D325" s="9" t="str" cm="1">
        <f t="array" ref="D325">IF(ISNUMBER($A325),INDEX(BackgroundCalcs!$AW$2:$AW$500,'Grading Formulas'!$A325),"")</f>
        <v/>
      </c>
      <c r="E325" s="4" t="str" cm="1">
        <f t="array" ref="E325">IF(ISNUMBER($A325),IF(A325=A324,"Reference2(False,True,"&amp;INDEX(BackgroundCalcs!$AX$2:$AX$500,'Grading Formulas'!$A325)&amp;")","Reference() AND MOEValue(.0001)"),"")</f>
        <v/>
      </c>
      <c r="F325" s="4" t="str">
        <f t="shared" si="23"/>
        <v/>
      </c>
      <c r="G325" s="4" t="str">
        <f t="shared" si="24"/>
        <v/>
      </c>
      <c r="H325" s="4" t="str">
        <f t="shared" si="25"/>
        <v/>
      </c>
    </row>
    <row r="326" spans="1:8">
      <c r="A326" s="6" t="str">
        <f t="shared" si="26"/>
        <v/>
      </c>
      <c r="B326" s="6" t="str">
        <f t="shared" si="22"/>
        <v/>
      </c>
      <c r="C326" s="9" t="str" cm="1">
        <f t="array" ref="C326">IF(ISNUMBER(A326),INDEX(BackgroundCalcs!$AV$2:$AV$500,'Grading Formulas'!$A326),"")</f>
        <v/>
      </c>
      <c r="D326" s="9" t="str" cm="1">
        <f t="array" ref="D326">IF(ISNUMBER($A326),INDEX(BackgroundCalcs!$AW$2:$AW$500,'Grading Formulas'!$A326),"")</f>
        <v/>
      </c>
      <c r="E326" s="4" t="str" cm="1">
        <f t="array" ref="E326">IF(ISNUMBER($A326),IF(A326=A325,"Reference2(False,True,"&amp;INDEX(BackgroundCalcs!$AX$2:$AX$500,'Grading Formulas'!$A326)&amp;")","Reference() AND MOEValue(.0001)"),"")</f>
        <v/>
      </c>
      <c r="F326" s="4" t="str">
        <f t="shared" si="23"/>
        <v/>
      </c>
      <c r="G326" s="4" t="str">
        <f t="shared" si="24"/>
        <v/>
      </c>
      <c r="H326" s="4" t="str">
        <f t="shared" si="25"/>
        <v/>
      </c>
    </row>
    <row r="327" spans="1:8">
      <c r="A327" s="6" t="str">
        <f t="shared" si="26"/>
        <v/>
      </c>
      <c r="B327" s="6" t="str">
        <f t="shared" si="22"/>
        <v/>
      </c>
      <c r="C327" s="9" t="str" cm="1">
        <f t="array" ref="C327">IF(ISNUMBER(A327),INDEX(BackgroundCalcs!$AV$2:$AV$500,'Grading Formulas'!$A327),"")</f>
        <v/>
      </c>
      <c r="D327" s="9" t="str" cm="1">
        <f t="array" ref="D327">IF(ISNUMBER($A327),INDEX(BackgroundCalcs!$AW$2:$AW$500,'Grading Formulas'!$A327),"")</f>
        <v/>
      </c>
      <c r="E327" s="4" t="str" cm="1">
        <f t="array" ref="E327">IF(ISNUMBER($A327),IF(A327=A326,"Reference2(False,True,"&amp;INDEX(BackgroundCalcs!$AX$2:$AX$500,'Grading Formulas'!$A327)&amp;")","Reference() AND MOEValue(.0001)"),"")</f>
        <v/>
      </c>
      <c r="F327" s="4" t="str">
        <f t="shared" si="23"/>
        <v/>
      </c>
      <c r="G327" s="4" t="str">
        <f t="shared" si="24"/>
        <v/>
      </c>
      <c r="H327" s="4" t="str">
        <f t="shared" si="25"/>
        <v/>
      </c>
    </row>
    <row r="328" spans="1:8">
      <c r="A328" s="6" t="str">
        <f t="shared" si="26"/>
        <v/>
      </c>
      <c r="B328" s="6" t="str">
        <f t="shared" si="22"/>
        <v/>
      </c>
      <c r="C328" s="9" t="str" cm="1">
        <f t="array" ref="C328">IF(ISNUMBER(A328),INDEX(BackgroundCalcs!$AV$2:$AV$500,'Grading Formulas'!$A328),"")</f>
        <v/>
      </c>
      <c r="D328" s="9" t="str" cm="1">
        <f t="array" ref="D328">IF(ISNUMBER($A328),INDEX(BackgroundCalcs!$AW$2:$AW$500,'Grading Formulas'!$A328),"")</f>
        <v/>
      </c>
      <c r="E328" s="4" t="str" cm="1">
        <f t="array" ref="E328">IF(ISNUMBER($A328),IF(A328=A327,"Reference2(False,True,"&amp;INDEX(BackgroundCalcs!$AX$2:$AX$500,'Grading Formulas'!$A328)&amp;")","Reference() AND MOEValue(.0001)"),"")</f>
        <v/>
      </c>
      <c r="F328" s="4" t="str">
        <f t="shared" si="23"/>
        <v/>
      </c>
      <c r="G328" s="4" t="str">
        <f t="shared" si="24"/>
        <v/>
      </c>
      <c r="H328" s="4" t="str">
        <f t="shared" si="25"/>
        <v/>
      </c>
    </row>
    <row r="329" spans="1:8">
      <c r="A329" s="6" t="str">
        <f t="shared" si="26"/>
        <v/>
      </c>
      <c r="B329" s="6" t="str">
        <f t="shared" si="22"/>
        <v/>
      </c>
      <c r="C329" s="9" t="str" cm="1">
        <f t="array" ref="C329">IF(ISNUMBER(A329),INDEX(BackgroundCalcs!$AV$2:$AV$500,'Grading Formulas'!$A329),"")</f>
        <v/>
      </c>
      <c r="D329" s="9" t="str" cm="1">
        <f t="array" ref="D329">IF(ISNUMBER($A329),INDEX(BackgroundCalcs!$AW$2:$AW$500,'Grading Formulas'!$A329),"")</f>
        <v/>
      </c>
      <c r="E329" s="4" t="str" cm="1">
        <f t="array" ref="E329">IF(ISNUMBER($A329),IF(A329=A328,"Reference2(False,True,"&amp;INDEX(BackgroundCalcs!$AX$2:$AX$500,'Grading Formulas'!$A329)&amp;")","Reference() AND MOEValue(.0001)"),"")</f>
        <v/>
      </c>
      <c r="F329" s="4" t="str">
        <f t="shared" si="23"/>
        <v/>
      </c>
      <c r="G329" s="4" t="str">
        <f t="shared" si="24"/>
        <v/>
      </c>
      <c r="H329" s="4" t="str">
        <f t="shared" si="25"/>
        <v/>
      </c>
    </row>
    <row r="330" spans="1:8">
      <c r="A330" s="6" t="str">
        <f t="shared" si="26"/>
        <v/>
      </c>
      <c r="B330" s="6" t="str">
        <f t="shared" si="22"/>
        <v/>
      </c>
      <c r="C330" s="9" t="str" cm="1">
        <f t="array" ref="C330">IF(ISNUMBER(A330),INDEX(BackgroundCalcs!$AV$2:$AV$500,'Grading Formulas'!$A330),"")</f>
        <v/>
      </c>
      <c r="D330" s="9" t="str" cm="1">
        <f t="array" ref="D330">IF(ISNUMBER($A330),INDEX(BackgroundCalcs!$AW$2:$AW$500,'Grading Formulas'!$A330),"")</f>
        <v/>
      </c>
      <c r="E330" s="4" t="str" cm="1">
        <f t="array" ref="E330">IF(ISNUMBER($A330),IF(A330=A329,"Reference2(False,True,"&amp;INDEX(BackgroundCalcs!$AX$2:$AX$500,'Grading Formulas'!$A330)&amp;")","Reference() AND MOEValue(.0001)"),"")</f>
        <v/>
      </c>
      <c r="F330" s="4" t="str">
        <f t="shared" si="23"/>
        <v/>
      </c>
      <c r="G330" s="4" t="str">
        <f t="shared" si="24"/>
        <v/>
      </c>
      <c r="H330" s="4" t="str">
        <f t="shared" si="25"/>
        <v/>
      </c>
    </row>
    <row r="331" spans="1:8">
      <c r="A331" s="6" t="str">
        <f t="shared" si="26"/>
        <v/>
      </c>
      <c r="B331" s="6" t="str">
        <f t="shared" si="22"/>
        <v/>
      </c>
      <c r="C331" s="9" t="str" cm="1">
        <f t="array" ref="C331">IF(ISNUMBER(A331),INDEX(BackgroundCalcs!$AV$2:$AV$500,'Grading Formulas'!$A331),"")</f>
        <v/>
      </c>
      <c r="D331" s="9" t="str" cm="1">
        <f t="array" ref="D331">IF(ISNUMBER($A331),INDEX(BackgroundCalcs!$AW$2:$AW$500,'Grading Formulas'!$A331),"")</f>
        <v/>
      </c>
      <c r="E331" s="4" t="str" cm="1">
        <f t="array" ref="E331">IF(ISNUMBER($A331),IF(A331=A330,"Reference2(False,True,"&amp;INDEX(BackgroundCalcs!$AX$2:$AX$500,'Grading Formulas'!$A331)&amp;")","Reference() AND MOEValue(.0001)"),"")</f>
        <v/>
      </c>
      <c r="F331" s="4" t="str">
        <f t="shared" si="23"/>
        <v/>
      </c>
      <c r="G331" s="4" t="str">
        <f t="shared" si="24"/>
        <v/>
      </c>
      <c r="H331" s="4" t="str">
        <f t="shared" si="25"/>
        <v/>
      </c>
    </row>
    <row r="332" spans="1:8">
      <c r="A332" s="6" t="str">
        <f t="shared" si="26"/>
        <v/>
      </c>
      <c r="B332" s="6" t="str">
        <f t="shared" si="22"/>
        <v/>
      </c>
      <c r="C332" s="9" t="str" cm="1">
        <f t="array" ref="C332">IF(ISNUMBER(A332),INDEX(BackgroundCalcs!$AV$2:$AV$500,'Grading Formulas'!$A332),"")</f>
        <v/>
      </c>
      <c r="D332" s="9" t="str" cm="1">
        <f t="array" ref="D332">IF(ISNUMBER($A332),INDEX(BackgroundCalcs!$AW$2:$AW$500,'Grading Formulas'!$A332),"")</f>
        <v/>
      </c>
      <c r="E332" s="4" t="str" cm="1">
        <f t="array" ref="E332">IF(ISNUMBER($A332),IF(A332=A331,"Reference2(False,True,"&amp;INDEX(BackgroundCalcs!$AX$2:$AX$500,'Grading Formulas'!$A332)&amp;")","Reference() AND MOEValue(.0001)"),"")</f>
        <v/>
      </c>
      <c r="F332" s="4" t="str">
        <f t="shared" si="23"/>
        <v/>
      </c>
      <c r="G332" s="4" t="str">
        <f t="shared" si="24"/>
        <v/>
      </c>
      <c r="H332" s="4" t="str">
        <f t="shared" si="25"/>
        <v/>
      </c>
    </row>
    <row r="333" spans="1:8">
      <c r="A333" s="6" t="str">
        <f t="shared" si="26"/>
        <v/>
      </c>
      <c r="B333" s="6" t="str">
        <f t="shared" si="22"/>
        <v/>
      </c>
      <c r="C333" s="9" t="str" cm="1">
        <f t="array" ref="C333">IF(ISNUMBER(A333),INDEX(BackgroundCalcs!$AV$2:$AV$500,'Grading Formulas'!$A333),"")</f>
        <v/>
      </c>
      <c r="D333" s="9" t="str" cm="1">
        <f t="array" ref="D333">IF(ISNUMBER($A333),INDEX(BackgroundCalcs!$AW$2:$AW$500,'Grading Formulas'!$A333),"")</f>
        <v/>
      </c>
      <c r="E333" s="4" t="str" cm="1">
        <f t="array" ref="E333">IF(ISNUMBER($A333),IF(A333=A332,"Reference2(False,True,"&amp;INDEX(BackgroundCalcs!$AX$2:$AX$500,'Grading Formulas'!$A333)&amp;")","Reference() AND MOEValue(.0001)"),"")</f>
        <v/>
      </c>
      <c r="F333" s="4" t="str">
        <f t="shared" si="23"/>
        <v/>
      </c>
      <c r="G333" s="4" t="str">
        <f t="shared" si="24"/>
        <v/>
      </c>
      <c r="H333" s="4" t="str">
        <f t="shared" si="25"/>
        <v/>
      </c>
    </row>
    <row r="334" spans="1:8">
      <c r="A334" s="6" t="str">
        <f t="shared" si="26"/>
        <v/>
      </c>
      <c r="B334" s="6" t="str">
        <f t="shared" si="22"/>
        <v/>
      </c>
      <c r="C334" s="9" t="str" cm="1">
        <f t="array" ref="C334">IF(ISNUMBER(A334),INDEX(BackgroundCalcs!$AV$2:$AV$500,'Grading Formulas'!$A334),"")</f>
        <v/>
      </c>
      <c r="D334" s="9" t="str" cm="1">
        <f t="array" ref="D334">IF(ISNUMBER($A334),INDEX(BackgroundCalcs!$AW$2:$AW$500,'Grading Formulas'!$A334),"")</f>
        <v/>
      </c>
      <c r="E334" s="4" t="str" cm="1">
        <f t="array" ref="E334">IF(ISNUMBER($A334),IF(A334=A333,"Reference2(False,True,"&amp;INDEX(BackgroundCalcs!$AX$2:$AX$500,'Grading Formulas'!$A334)&amp;")","Reference() AND MOEValue(.0001)"),"")</f>
        <v/>
      </c>
      <c r="F334" s="4" t="str">
        <f t="shared" si="23"/>
        <v/>
      </c>
      <c r="G334" s="4" t="str">
        <f t="shared" si="24"/>
        <v/>
      </c>
      <c r="H334" s="4" t="str">
        <f t="shared" si="25"/>
        <v/>
      </c>
    </row>
    <row r="335" spans="1:8">
      <c r="A335" s="6" t="str">
        <f t="shared" si="26"/>
        <v/>
      </c>
      <c r="B335" s="6" t="str">
        <f t="shared" si="22"/>
        <v/>
      </c>
      <c r="C335" s="9" t="str" cm="1">
        <f t="array" ref="C335">IF(ISNUMBER(A335),INDEX(BackgroundCalcs!$AV$2:$AV$500,'Grading Formulas'!$A335),"")</f>
        <v/>
      </c>
      <c r="D335" s="9" t="str" cm="1">
        <f t="array" ref="D335">IF(ISNUMBER($A335),INDEX(BackgroundCalcs!$AW$2:$AW$500,'Grading Formulas'!$A335),"")</f>
        <v/>
      </c>
      <c r="E335" s="4" t="str" cm="1">
        <f t="array" ref="E335">IF(ISNUMBER($A335),IF(A335=A334,"Reference2(False,True,"&amp;INDEX(BackgroundCalcs!$AX$2:$AX$500,'Grading Formulas'!$A335)&amp;")","Reference() AND MOEValue(.0001)"),"")</f>
        <v/>
      </c>
      <c r="F335" s="4" t="str">
        <f t="shared" si="23"/>
        <v/>
      </c>
      <c r="G335" s="4" t="str">
        <f t="shared" si="24"/>
        <v/>
      </c>
      <c r="H335" s="4" t="str">
        <f t="shared" si="25"/>
        <v/>
      </c>
    </row>
    <row r="336" spans="1:8">
      <c r="A336" s="6" t="str">
        <f t="shared" si="26"/>
        <v/>
      </c>
      <c r="B336" s="6" t="str">
        <f t="shared" si="22"/>
        <v/>
      </c>
      <c r="C336" s="9" t="str" cm="1">
        <f t="array" ref="C336">IF(ISNUMBER(A336),INDEX(BackgroundCalcs!$AV$2:$AV$500,'Grading Formulas'!$A336),"")</f>
        <v/>
      </c>
      <c r="D336" s="9" t="str" cm="1">
        <f t="array" ref="D336">IF(ISNUMBER($A336),INDEX(BackgroundCalcs!$AW$2:$AW$500,'Grading Formulas'!$A336),"")</f>
        <v/>
      </c>
      <c r="E336" s="4" t="str" cm="1">
        <f t="array" ref="E336">IF(ISNUMBER($A336),IF(A336=A335,"Reference2(False,True,"&amp;INDEX(BackgroundCalcs!$AX$2:$AX$500,'Grading Formulas'!$A336)&amp;")","Reference() AND MOEValue(.0001)"),"")</f>
        <v/>
      </c>
      <c r="F336" s="4" t="str">
        <f t="shared" si="23"/>
        <v/>
      </c>
      <c r="G336" s="4" t="str">
        <f t="shared" si="24"/>
        <v/>
      </c>
      <c r="H336" s="4" t="str">
        <f t="shared" si="25"/>
        <v/>
      </c>
    </row>
    <row r="337" spans="1:8">
      <c r="A337" s="6" t="str">
        <f t="shared" si="26"/>
        <v/>
      </c>
      <c r="B337" s="6" t="str">
        <f t="shared" si="22"/>
        <v/>
      </c>
      <c r="C337" s="9" t="str" cm="1">
        <f t="array" ref="C337">IF(ISNUMBER(A337),INDEX(BackgroundCalcs!$AV$2:$AV$500,'Grading Formulas'!$A337),"")</f>
        <v/>
      </c>
      <c r="D337" s="9" t="str" cm="1">
        <f t="array" ref="D337">IF(ISNUMBER($A337),INDEX(BackgroundCalcs!$AW$2:$AW$500,'Grading Formulas'!$A337),"")</f>
        <v/>
      </c>
      <c r="E337" s="4" t="str" cm="1">
        <f t="array" ref="E337">IF(ISNUMBER($A337),IF(A337=A336,"Reference2(False,True,"&amp;INDEX(BackgroundCalcs!$AX$2:$AX$500,'Grading Formulas'!$A337)&amp;")","Reference() AND MOEValue(.0001)"),"")</f>
        <v/>
      </c>
      <c r="F337" s="4" t="str">
        <f t="shared" si="23"/>
        <v/>
      </c>
      <c r="G337" s="4" t="str">
        <f t="shared" si="24"/>
        <v/>
      </c>
      <c r="H337" s="4" t="str">
        <f t="shared" si="25"/>
        <v/>
      </c>
    </row>
    <row r="338" spans="1:8">
      <c r="A338" s="6" t="str">
        <f t="shared" si="26"/>
        <v/>
      </c>
      <c r="B338" s="6" t="str">
        <f t="shared" si="22"/>
        <v/>
      </c>
      <c r="C338" s="9" t="str" cm="1">
        <f t="array" ref="C338">IF(ISNUMBER(A338),INDEX(BackgroundCalcs!$AV$2:$AV$500,'Grading Formulas'!$A338),"")</f>
        <v/>
      </c>
      <c r="D338" s="9" t="str" cm="1">
        <f t="array" ref="D338">IF(ISNUMBER($A338),INDEX(BackgroundCalcs!$AW$2:$AW$500,'Grading Formulas'!$A338),"")</f>
        <v/>
      </c>
      <c r="E338" s="4" t="str" cm="1">
        <f t="array" ref="E338">IF(ISNUMBER($A338),IF(A338=A337,"Reference2(False,True,"&amp;INDEX(BackgroundCalcs!$AX$2:$AX$500,'Grading Formulas'!$A338)&amp;")","Reference() AND MOEValue(.0001)"),"")</f>
        <v/>
      </c>
      <c r="F338" s="4" t="str">
        <f t="shared" si="23"/>
        <v/>
      </c>
      <c r="G338" s="4" t="str">
        <f t="shared" si="24"/>
        <v/>
      </c>
      <c r="H338" s="4" t="str">
        <f t="shared" si="25"/>
        <v/>
      </c>
    </row>
    <row r="339" spans="1:8">
      <c r="A339" s="6" t="str">
        <f t="shared" si="26"/>
        <v/>
      </c>
      <c r="B339" s="6" t="str">
        <f t="shared" si="22"/>
        <v/>
      </c>
      <c r="C339" s="9" t="str" cm="1">
        <f t="array" ref="C339">IF(ISNUMBER(A339),INDEX(BackgroundCalcs!$AV$2:$AV$500,'Grading Formulas'!$A339),"")</f>
        <v/>
      </c>
      <c r="D339" s="9" t="str" cm="1">
        <f t="array" ref="D339">IF(ISNUMBER($A339),INDEX(BackgroundCalcs!$AW$2:$AW$500,'Grading Formulas'!$A339),"")</f>
        <v/>
      </c>
      <c r="E339" s="4" t="str" cm="1">
        <f t="array" ref="E339">IF(ISNUMBER($A339),IF(A339=A338,"Reference2(False,True,"&amp;INDEX(BackgroundCalcs!$AX$2:$AX$500,'Grading Formulas'!$A339)&amp;")","Reference() AND MOEValue(.0001)"),"")</f>
        <v/>
      </c>
      <c r="F339" s="4" t="str">
        <f t="shared" si="23"/>
        <v/>
      </c>
      <c r="G339" s="4" t="str">
        <f t="shared" si="24"/>
        <v/>
      </c>
      <c r="H339" s="4" t="str">
        <f t="shared" si="25"/>
        <v/>
      </c>
    </row>
    <row r="340" spans="1:8">
      <c r="A340" s="6" t="str">
        <f t="shared" si="26"/>
        <v/>
      </c>
      <c r="B340" s="6" t="str">
        <f t="shared" si="22"/>
        <v/>
      </c>
      <c r="C340" s="9" t="str" cm="1">
        <f t="array" ref="C340">IF(ISNUMBER(A340),INDEX(BackgroundCalcs!$AV$2:$AV$500,'Grading Formulas'!$A340),"")</f>
        <v/>
      </c>
      <c r="D340" s="9" t="str" cm="1">
        <f t="array" ref="D340">IF(ISNUMBER($A340),INDEX(BackgroundCalcs!$AW$2:$AW$500,'Grading Formulas'!$A340),"")</f>
        <v/>
      </c>
      <c r="E340" s="4" t="str" cm="1">
        <f t="array" ref="E340">IF(ISNUMBER($A340),IF(A340=A339,"Reference2(False,True,"&amp;INDEX(BackgroundCalcs!$AX$2:$AX$500,'Grading Formulas'!$A340)&amp;")","Reference() AND MOEValue(.0001)"),"")</f>
        <v/>
      </c>
      <c r="F340" s="4" t="str">
        <f t="shared" si="23"/>
        <v/>
      </c>
      <c r="G340" s="4" t="str">
        <f t="shared" si="24"/>
        <v/>
      </c>
      <c r="H340" s="4" t="str">
        <f t="shared" si="25"/>
        <v/>
      </c>
    </row>
    <row r="341" spans="1:8">
      <c r="A341" s="6" t="str">
        <f t="shared" si="26"/>
        <v/>
      </c>
      <c r="B341" s="6" t="str">
        <f t="shared" si="22"/>
        <v/>
      </c>
      <c r="C341" s="9" t="str" cm="1">
        <f t="array" ref="C341">IF(ISNUMBER(A341),INDEX(BackgroundCalcs!$AV$2:$AV$500,'Grading Formulas'!$A341),"")</f>
        <v/>
      </c>
      <c r="D341" s="9" t="str" cm="1">
        <f t="array" ref="D341">IF(ISNUMBER($A341),INDEX(BackgroundCalcs!$AW$2:$AW$500,'Grading Formulas'!$A341),"")</f>
        <v/>
      </c>
      <c r="E341" s="4" t="str" cm="1">
        <f t="array" ref="E341">IF(ISNUMBER($A341),IF(A341=A340,"Reference2(False,True,"&amp;INDEX(BackgroundCalcs!$AX$2:$AX$500,'Grading Formulas'!$A341)&amp;")","Reference() AND MOEValue(.0001)"),"")</f>
        <v/>
      </c>
      <c r="F341" s="4" t="str">
        <f t="shared" si="23"/>
        <v/>
      </c>
      <c r="G341" s="4" t="str">
        <f t="shared" si="24"/>
        <v/>
      </c>
      <c r="H341" s="4" t="str">
        <f t="shared" si="25"/>
        <v/>
      </c>
    </row>
    <row r="342" spans="1:8">
      <c r="A342" s="6" t="str">
        <f t="shared" si="26"/>
        <v/>
      </c>
      <c r="B342" s="6" t="str">
        <f t="shared" si="22"/>
        <v/>
      </c>
      <c r="C342" s="9" t="str" cm="1">
        <f t="array" ref="C342">IF(ISNUMBER(A342),INDEX(BackgroundCalcs!$AV$2:$AV$500,'Grading Formulas'!$A342),"")</f>
        <v/>
      </c>
      <c r="D342" s="9" t="str" cm="1">
        <f t="array" ref="D342">IF(ISNUMBER($A342),INDEX(BackgroundCalcs!$AW$2:$AW$500,'Grading Formulas'!$A342),"")</f>
        <v/>
      </c>
      <c r="E342" s="4" t="str" cm="1">
        <f t="array" ref="E342">IF(ISNUMBER($A342),IF(A342=A341,"Reference2(False,True,"&amp;INDEX(BackgroundCalcs!$AX$2:$AX$500,'Grading Formulas'!$A342)&amp;")","Reference() AND MOEValue(.0001)"),"")</f>
        <v/>
      </c>
      <c r="F342" s="4" t="str">
        <f t="shared" si="23"/>
        <v/>
      </c>
      <c r="G342" s="4" t="str">
        <f t="shared" si="24"/>
        <v/>
      </c>
      <c r="H342" s="4" t="str">
        <f t="shared" si="25"/>
        <v/>
      </c>
    </row>
    <row r="343" spans="1:8">
      <c r="A343" s="6" t="str">
        <f t="shared" si="26"/>
        <v/>
      </c>
      <c r="B343" s="6" t="str">
        <f t="shared" si="22"/>
        <v/>
      </c>
      <c r="C343" s="9" t="str" cm="1">
        <f t="array" ref="C343">IF(ISNUMBER(A343),INDEX(BackgroundCalcs!$AV$2:$AV$500,'Grading Formulas'!$A343),"")</f>
        <v/>
      </c>
      <c r="D343" s="9" t="str" cm="1">
        <f t="array" ref="D343">IF(ISNUMBER($A343),INDEX(BackgroundCalcs!$AW$2:$AW$500,'Grading Formulas'!$A343),"")</f>
        <v/>
      </c>
      <c r="E343" s="4" t="str" cm="1">
        <f t="array" ref="E343">IF(ISNUMBER($A343),IF(A343=A342,"Reference2(False,True,"&amp;INDEX(BackgroundCalcs!$AX$2:$AX$500,'Grading Formulas'!$A343)&amp;")","Reference() AND MOEValue(.0001)"),"")</f>
        <v/>
      </c>
      <c r="F343" s="4" t="str">
        <f t="shared" si="23"/>
        <v/>
      </c>
      <c r="G343" s="4" t="str">
        <f t="shared" si="24"/>
        <v/>
      </c>
      <c r="H343" s="4" t="str">
        <f t="shared" si="25"/>
        <v/>
      </c>
    </row>
    <row r="344" spans="1:8">
      <c r="A344" s="6" t="str">
        <f t="shared" si="26"/>
        <v/>
      </c>
      <c r="B344" s="6" t="str">
        <f t="shared" si="22"/>
        <v/>
      </c>
      <c r="C344" s="9" t="str" cm="1">
        <f t="array" ref="C344">IF(ISNUMBER(A344),INDEX(BackgroundCalcs!$AV$2:$AV$500,'Grading Formulas'!$A344),"")</f>
        <v/>
      </c>
      <c r="D344" s="9" t="str" cm="1">
        <f t="array" ref="D344">IF(ISNUMBER($A344),INDEX(BackgroundCalcs!$AW$2:$AW$500,'Grading Formulas'!$A344),"")</f>
        <v/>
      </c>
      <c r="E344" s="4" t="str" cm="1">
        <f t="array" ref="E344">IF(ISNUMBER($A344),IF(A344=A343,"Reference2(False,True,"&amp;INDEX(BackgroundCalcs!$AX$2:$AX$500,'Grading Formulas'!$A344)&amp;")","Reference() AND MOEValue(.0001)"),"")</f>
        <v/>
      </c>
      <c r="F344" s="4" t="str">
        <f t="shared" si="23"/>
        <v/>
      </c>
      <c r="G344" s="4" t="str">
        <f t="shared" si="24"/>
        <v/>
      </c>
      <c r="H344" s="4" t="str">
        <f t="shared" si="25"/>
        <v/>
      </c>
    </row>
    <row r="345" spans="1:8">
      <c r="A345" s="6" t="str">
        <f t="shared" si="26"/>
        <v/>
      </c>
      <c r="B345" s="6" t="str">
        <f t="shared" si="22"/>
        <v/>
      </c>
      <c r="C345" s="9" t="str" cm="1">
        <f t="array" ref="C345">IF(ISNUMBER(A345),INDEX(BackgroundCalcs!$AV$2:$AV$500,'Grading Formulas'!$A345),"")</f>
        <v/>
      </c>
      <c r="D345" s="9" t="str" cm="1">
        <f t="array" ref="D345">IF(ISNUMBER($A345),INDEX(BackgroundCalcs!$AW$2:$AW$500,'Grading Formulas'!$A345),"")</f>
        <v/>
      </c>
      <c r="E345" s="4" t="str" cm="1">
        <f t="array" ref="E345">IF(ISNUMBER($A345),IF(A345=A344,"Reference2(False,True,"&amp;INDEX(BackgroundCalcs!$AX$2:$AX$500,'Grading Formulas'!$A345)&amp;")","Reference() AND MOEValue(.0001)"),"")</f>
        <v/>
      </c>
      <c r="F345" s="4" t="str">
        <f t="shared" si="23"/>
        <v/>
      </c>
      <c r="G345" s="4" t="str">
        <f t="shared" si="24"/>
        <v/>
      </c>
      <c r="H345" s="4" t="str">
        <f t="shared" si="25"/>
        <v/>
      </c>
    </row>
    <row r="346" spans="1:8">
      <c r="A346" s="6" t="str">
        <f t="shared" si="26"/>
        <v/>
      </c>
      <c r="B346" s="6" t="str">
        <f t="shared" si="22"/>
        <v/>
      </c>
      <c r="C346" s="9" t="str" cm="1">
        <f t="array" ref="C346">IF(ISNUMBER(A346),INDEX(BackgroundCalcs!$AV$2:$AV$500,'Grading Formulas'!$A346),"")</f>
        <v/>
      </c>
      <c r="D346" s="9" t="str" cm="1">
        <f t="array" ref="D346">IF(ISNUMBER($A346),INDEX(BackgroundCalcs!$AW$2:$AW$500,'Grading Formulas'!$A346),"")</f>
        <v/>
      </c>
      <c r="E346" s="4" t="str" cm="1">
        <f t="array" ref="E346">IF(ISNUMBER($A346),IF(A346=A345,"Reference2(False,True,"&amp;INDEX(BackgroundCalcs!$AX$2:$AX$500,'Grading Formulas'!$A346)&amp;")","Reference() AND MOEValue(.0001)"),"")</f>
        <v/>
      </c>
      <c r="F346" s="4" t="str">
        <f t="shared" si="23"/>
        <v/>
      </c>
      <c r="G346" s="4" t="str">
        <f t="shared" si="24"/>
        <v/>
      </c>
      <c r="H346" s="4" t="str">
        <f t="shared" si="25"/>
        <v/>
      </c>
    </row>
    <row r="347" spans="1:8">
      <c r="A347" s="6" t="str">
        <f t="shared" si="26"/>
        <v/>
      </c>
      <c r="B347" s="6" t="str">
        <f t="shared" si="22"/>
        <v/>
      </c>
      <c r="C347" s="9" t="str" cm="1">
        <f t="array" ref="C347">IF(ISNUMBER(A347),INDEX(BackgroundCalcs!$AV$2:$AV$500,'Grading Formulas'!$A347),"")</f>
        <v/>
      </c>
      <c r="D347" s="9" t="str" cm="1">
        <f t="array" ref="D347">IF(ISNUMBER($A347),INDEX(BackgroundCalcs!$AW$2:$AW$500,'Grading Formulas'!$A347),"")</f>
        <v/>
      </c>
      <c r="E347" s="4" t="str" cm="1">
        <f t="array" ref="E347">IF(ISNUMBER($A347),IF(A347=A346,"Reference2(False,True,"&amp;INDEX(BackgroundCalcs!$AX$2:$AX$500,'Grading Formulas'!$A347)&amp;")","Reference() AND MOEValue(.0001)"),"")</f>
        <v/>
      </c>
      <c r="F347" s="4" t="str">
        <f t="shared" si="23"/>
        <v/>
      </c>
      <c r="G347" s="4" t="str">
        <f t="shared" si="24"/>
        <v/>
      </c>
      <c r="H347" s="4" t="str">
        <f t="shared" si="25"/>
        <v/>
      </c>
    </row>
    <row r="348" spans="1:8">
      <c r="A348" s="6" t="str">
        <f t="shared" si="26"/>
        <v/>
      </c>
      <c r="B348" s="6" t="str">
        <f t="shared" si="22"/>
        <v/>
      </c>
      <c r="C348" s="9" t="str" cm="1">
        <f t="array" ref="C348">IF(ISNUMBER(A348),INDEX(BackgroundCalcs!$AV$2:$AV$500,'Grading Formulas'!$A348),"")</f>
        <v/>
      </c>
      <c r="D348" s="9" t="str" cm="1">
        <f t="array" ref="D348">IF(ISNUMBER($A348),INDEX(BackgroundCalcs!$AW$2:$AW$500,'Grading Formulas'!$A348),"")</f>
        <v/>
      </c>
      <c r="E348" s="4" t="str" cm="1">
        <f t="array" ref="E348">IF(ISNUMBER($A348),IF(A348=A347,"Reference2(False,True,"&amp;INDEX(BackgroundCalcs!$AX$2:$AX$500,'Grading Formulas'!$A348)&amp;")","Reference() AND MOEValue(.0001)"),"")</f>
        <v/>
      </c>
      <c r="F348" s="4" t="str">
        <f t="shared" si="23"/>
        <v/>
      </c>
      <c r="G348" s="4" t="str">
        <f t="shared" si="24"/>
        <v/>
      </c>
      <c r="H348" s="4" t="str">
        <f t="shared" si="25"/>
        <v/>
      </c>
    </row>
    <row r="349" spans="1:8">
      <c r="A349" s="6" t="str">
        <f t="shared" si="26"/>
        <v/>
      </c>
      <c r="B349" s="6" t="str">
        <f t="shared" si="22"/>
        <v/>
      </c>
      <c r="C349" s="9" t="str" cm="1">
        <f t="array" ref="C349">IF(ISNUMBER(A349),INDEX(BackgroundCalcs!$AV$2:$AV$500,'Grading Formulas'!$A349),"")</f>
        <v/>
      </c>
      <c r="D349" s="9" t="str" cm="1">
        <f t="array" ref="D349">IF(ISNUMBER($A349),INDEX(BackgroundCalcs!$AW$2:$AW$500,'Grading Formulas'!$A349),"")</f>
        <v/>
      </c>
      <c r="E349" s="4" t="str" cm="1">
        <f t="array" ref="E349">IF(ISNUMBER($A349),IF(A349=A348,"Reference2(False,True,"&amp;INDEX(BackgroundCalcs!$AX$2:$AX$500,'Grading Formulas'!$A349)&amp;")","Reference() AND MOEValue(.0001)"),"")</f>
        <v/>
      </c>
      <c r="F349" s="4" t="str">
        <f t="shared" si="23"/>
        <v/>
      </c>
      <c r="G349" s="4" t="str">
        <f t="shared" si="24"/>
        <v/>
      </c>
      <c r="H349" s="4" t="str">
        <f t="shared" si="25"/>
        <v/>
      </c>
    </row>
    <row r="350" spans="1:8">
      <c r="A350" s="6" t="str">
        <f t="shared" si="26"/>
        <v/>
      </c>
      <c r="B350" s="6" t="str">
        <f t="shared" si="22"/>
        <v/>
      </c>
      <c r="C350" s="9" t="str" cm="1">
        <f t="array" ref="C350">IF(ISNUMBER(A350),INDEX(BackgroundCalcs!$AV$2:$AV$500,'Grading Formulas'!$A350),"")</f>
        <v/>
      </c>
      <c r="D350" s="9" t="str" cm="1">
        <f t="array" ref="D350">IF(ISNUMBER($A350),INDEX(BackgroundCalcs!$AW$2:$AW$500,'Grading Formulas'!$A350),"")</f>
        <v/>
      </c>
      <c r="E350" s="4" t="str" cm="1">
        <f t="array" ref="E350">IF(ISNUMBER($A350),IF(A350=A349,"Reference2(False,True,"&amp;INDEX(BackgroundCalcs!$AX$2:$AX$500,'Grading Formulas'!$A350)&amp;")","Reference() AND MOEValue(.0001)"),"")</f>
        <v/>
      </c>
      <c r="F350" s="4" t="str">
        <f t="shared" si="23"/>
        <v/>
      </c>
      <c r="G350" s="4" t="str">
        <f t="shared" si="24"/>
        <v/>
      </c>
      <c r="H350" s="4" t="str">
        <f t="shared" si="25"/>
        <v/>
      </c>
    </row>
    <row r="351" spans="1:8">
      <c r="A351" s="6" t="str">
        <f t="shared" si="26"/>
        <v/>
      </c>
      <c r="B351" s="6" t="str">
        <f t="shared" si="22"/>
        <v/>
      </c>
      <c r="C351" s="9" t="str" cm="1">
        <f t="array" ref="C351">IF(ISNUMBER(A351),INDEX(BackgroundCalcs!$AV$2:$AV$500,'Grading Formulas'!$A351),"")</f>
        <v/>
      </c>
      <c r="D351" s="9" t="str" cm="1">
        <f t="array" ref="D351">IF(ISNUMBER($A351),INDEX(BackgroundCalcs!$AW$2:$AW$500,'Grading Formulas'!$A351),"")</f>
        <v/>
      </c>
      <c r="E351" s="4" t="str" cm="1">
        <f t="array" ref="E351">IF(ISNUMBER($A351),IF(A351=A350,"Reference2(False,True,"&amp;INDEX(BackgroundCalcs!$AX$2:$AX$500,'Grading Formulas'!$A351)&amp;")","Reference() AND MOEValue(.0001)"),"")</f>
        <v/>
      </c>
      <c r="F351" s="4" t="str">
        <f t="shared" si="23"/>
        <v/>
      </c>
      <c r="G351" s="4" t="str">
        <f t="shared" si="24"/>
        <v/>
      </c>
      <c r="H351" s="4" t="str">
        <f t="shared" si="25"/>
        <v/>
      </c>
    </row>
    <row r="352" spans="1:8">
      <c r="A352" s="6" t="str">
        <f t="shared" si="26"/>
        <v/>
      </c>
      <c r="B352" s="6" t="str">
        <f t="shared" si="22"/>
        <v/>
      </c>
      <c r="C352" s="9" t="str" cm="1">
        <f t="array" ref="C352">IF(ISNUMBER(A352),INDEX(BackgroundCalcs!$AV$2:$AV$500,'Grading Formulas'!$A352),"")</f>
        <v/>
      </c>
      <c r="D352" s="9" t="str" cm="1">
        <f t="array" ref="D352">IF(ISNUMBER($A352),INDEX(BackgroundCalcs!$AW$2:$AW$500,'Grading Formulas'!$A352),"")</f>
        <v/>
      </c>
      <c r="E352" s="4" t="str" cm="1">
        <f t="array" ref="E352">IF(ISNUMBER($A352),IF(A352=A351,"Reference2(False,True,"&amp;INDEX(BackgroundCalcs!$AX$2:$AX$500,'Grading Formulas'!$A352)&amp;")","Reference() AND MOEValue(.0001)"),"")</f>
        <v/>
      </c>
      <c r="F352" s="4" t="str">
        <f t="shared" si="23"/>
        <v/>
      </c>
      <c r="G352" s="4" t="str">
        <f t="shared" si="24"/>
        <v/>
      </c>
      <c r="H352" s="4" t="str">
        <f t="shared" si="25"/>
        <v/>
      </c>
    </row>
    <row r="353" spans="1:8">
      <c r="A353" s="6" t="str">
        <f t="shared" si="26"/>
        <v/>
      </c>
      <c r="B353" s="6" t="str">
        <f t="shared" si="22"/>
        <v/>
      </c>
      <c r="C353" s="9" t="str" cm="1">
        <f t="array" ref="C353">IF(ISNUMBER(A353),INDEX(BackgroundCalcs!$AV$2:$AV$500,'Grading Formulas'!$A353),"")</f>
        <v/>
      </c>
      <c r="D353" s="9" t="str" cm="1">
        <f t="array" ref="D353">IF(ISNUMBER($A353),INDEX(BackgroundCalcs!$AW$2:$AW$500,'Grading Formulas'!$A353),"")</f>
        <v/>
      </c>
      <c r="E353" s="4" t="str" cm="1">
        <f t="array" ref="E353">IF(ISNUMBER($A353),IF(A353=A352,"Reference2(False,True,"&amp;INDEX(BackgroundCalcs!$AX$2:$AX$500,'Grading Formulas'!$A353)&amp;")","Reference() AND MOEValue(.0001)"),"")</f>
        <v/>
      </c>
      <c r="F353" s="4" t="str">
        <f t="shared" si="23"/>
        <v/>
      </c>
      <c r="G353" s="4" t="str">
        <f t="shared" si="24"/>
        <v/>
      </c>
      <c r="H353" s="4" t="str">
        <f t="shared" si="25"/>
        <v/>
      </c>
    </row>
    <row r="354" spans="1:8">
      <c r="A354" s="6" t="str">
        <f t="shared" si="26"/>
        <v/>
      </c>
      <c r="B354" s="6" t="str">
        <f t="shared" si="22"/>
        <v/>
      </c>
      <c r="C354" s="9" t="str" cm="1">
        <f t="array" ref="C354">IF(ISNUMBER(A354),INDEX(BackgroundCalcs!$AV$2:$AV$500,'Grading Formulas'!$A354),"")</f>
        <v/>
      </c>
      <c r="D354" s="9" t="str" cm="1">
        <f t="array" ref="D354">IF(ISNUMBER($A354),INDEX(BackgroundCalcs!$AW$2:$AW$500,'Grading Formulas'!$A354),"")</f>
        <v/>
      </c>
      <c r="E354" s="4" t="str" cm="1">
        <f t="array" ref="E354">IF(ISNUMBER($A354),IF(A354=A353,"Reference2(False,True,"&amp;INDEX(BackgroundCalcs!$AX$2:$AX$500,'Grading Formulas'!$A354)&amp;")","Reference() AND MOEValue(.0001)"),"")</f>
        <v/>
      </c>
      <c r="F354" s="4" t="str">
        <f t="shared" si="23"/>
        <v/>
      </c>
      <c r="G354" s="4" t="str">
        <f t="shared" si="24"/>
        <v/>
      </c>
      <c r="H354" s="4" t="str">
        <f t="shared" si="25"/>
        <v/>
      </c>
    </row>
    <row r="355" spans="1:8">
      <c r="A355" s="6" t="str">
        <f t="shared" si="26"/>
        <v/>
      </c>
      <c r="B355" s="6" t="str">
        <f t="shared" si="22"/>
        <v/>
      </c>
      <c r="C355" s="9" t="str" cm="1">
        <f t="array" ref="C355">IF(ISNUMBER(A355),INDEX(BackgroundCalcs!$AV$2:$AV$500,'Grading Formulas'!$A355),"")</f>
        <v/>
      </c>
      <c r="D355" s="9" t="str" cm="1">
        <f t="array" ref="D355">IF(ISNUMBER($A355),INDEX(BackgroundCalcs!$AW$2:$AW$500,'Grading Formulas'!$A355),"")</f>
        <v/>
      </c>
      <c r="E355" s="4" t="str" cm="1">
        <f t="array" ref="E355">IF(ISNUMBER($A355),IF(A355=A354,"Reference2(False,True,"&amp;INDEX(BackgroundCalcs!$AX$2:$AX$500,'Grading Formulas'!$A355)&amp;")","Reference() AND MOEValue(.0001)"),"")</f>
        <v/>
      </c>
      <c r="F355" s="4" t="str">
        <f t="shared" si="23"/>
        <v/>
      </c>
      <c r="G355" s="4" t="str">
        <f t="shared" si="24"/>
        <v/>
      </c>
      <c r="H355" s="4" t="str">
        <f t="shared" si="25"/>
        <v/>
      </c>
    </row>
    <row r="356" spans="1:8">
      <c r="A356" s="6" t="str">
        <f t="shared" si="26"/>
        <v/>
      </c>
      <c r="B356" s="6" t="str">
        <f t="shared" si="22"/>
        <v/>
      </c>
      <c r="C356" s="9" t="str" cm="1">
        <f t="array" ref="C356">IF(ISNUMBER(A356),INDEX(BackgroundCalcs!$AV$2:$AV$500,'Grading Formulas'!$A356),"")</f>
        <v/>
      </c>
      <c r="D356" s="9" t="str" cm="1">
        <f t="array" ref="D356">IF(ISNUMBER($A356),INDEX(BackgroundCalcs!$AW$2:$AW$500,'Grading Formulas'!$A356),"")</f>
        <v/>
      </c>
      <c r="E356" s="4" t="str" cm="1">
        <f t="array" ref="E356">IF(ISNUMBER($A356),IF(A356=A355,"Reference2(False,True,"&amp;INDEX(BackgroundCalcs!$AX$2:$AX$500,'Grading Formulas'!$A356)&amp;")","Reference() AND MOEValue(.0001)"),"")</f>
        <v/>
      </c>
      <c r="F356" s="4" t="str">
        <f t="shared" si="23"/>
        <v/>
      </c>
      <c r="G356" s="4" t="str">
        <f t="shared" si="24"/>
        <v/>
      </c>
      <c r="H356" s="4" t="str">
        <f t="shared" si="25"/>
        <v/>
      </c>
    </row>
    <row r="357" spans="1:8">
      <c r="A357" s="6" t="str">
        <f t="shared" si="26"/>
        <v/>
      </c>
      <c r="B357" s="6" t="str">
        <f t="shared" si="22"/>
        <v/>
      </c>
      <c r="C357" s="9" t="str" cm="1">
        <f t="array" ref="C357">IF(ISNUMBER(A357),INDEX(BackgroundCalcs!$AV$2:$AV$500,'Grading Formulas'!$A357),"")</f>
        <v/>
      </c>
      <c r="D357" s="9" t="str" cm="1">
        <f t="array" ref="D357">IF(ISNUMBER($A357),INDEX(BackgroundCalcs!$AW$2:$AW$500,'Grading Formulas'!$A357),"")</f>
        <v/>
      </c>
      <c r="E357" s="4" t="str" cm="1">
        <f t="array" ref="E357">IF(ISNUMBER($A357),IF(A357=A356,"Reference2(False,True,"&amp;INDEX(BackgroundCalcs!$AX$2:$AX$500,'Grading Formulas'!$A357)&amp;")","Reference() AND MOEValue(.0001)"),"")</f>
        <v/>
      </c>
      <c r="F357" s="4" t="str">
        <f t="shared" si="23"/>
        <v/>
      </c>
      <c r="G357" s="4" t="str">
        <f t="shared" si="24"/>
        <v/>
      </c>
      <c r="H357" s="4" t="str">
        <f t="shared" si="25"/>
        <v/>
      </c>
    </row>
    <row r="358" spans="1:8">
      <c r="A358" s="6" t="str">
        <f t="shared" si="26"/>
        <v/>
      </c>
      <c r="B358" s="6" t="str">
        <f t="shared" si="22"/>
        <v/>
      </c>
      <c r="C358" s="9" t="str" cm="1">
        <f t="array" ref="C358">IF(ISNUMBER(A358),INDEX(BackgroundCalcs!$AV$2:$AV$500,'Grading Formulas'!$A358),"")</f>
        <v/>
      </c>
      <c r="D358" s="9" t="str" cm="1">
        <f t="array" ref="D358">IF(ISNUMBER($A358),INDEX(BackgroundCalcs!$AW$2:$AW$500,'Grading Formulas'!$A358),"")</f>
        <v/>
      </c>
      <c r="E358" s="4" t="str" cm="1">
        <f t="array" ref="E358">IF(ISNUMBER($A358),IF(A358=A357,"Reference2(False,True,"&amp;INDEX(BackgroundCalcs!$AX$2:$AX$500,'Grading Formulas'!$A358)&amp;")","Reference() AND MOEValue(.0001)"),"")</f>
        <v/>
      </c>
      <c r="F358" s="4" t="str">
        <f t="shared" si="23"/>
        <v/>
      </c>
      <c r="G358" s="4" t="str">
        <f t="shared" si="24"/>
        <v/>
      </c>
      <c r="H358" s="4" t="str">
        <f t="shared" si="25"/>
        <v/>
      </c>
    </row>
    <row r="359" spans="1:8">
      <c r="A359" s="6" t="str">
        <f t="shared" si="26"/>
        <v/>
      </c>
      <c r="B359" s="6" t="str">
        <f t="shared" si="22"/>
        <v/>
      </c>
      <c r="C359" s="9" t="str" cm="1">
        <f t="array" ref="C359">IF(ISNUMBER(A359),INDEX(BackgroundCalcs!$AV$2:$AV$500,'Grading Formulas'!$A359),"")</f>
        <v/>
      </c>
      <c r="D359" s="9" t="str" cm="1">
        <f t="array" ref="D359">IF(ISNUMBER($A359),INDEX(BackgroundCalcs!$AW$2:$AW$500,'Grading Formulas'!$A359),"")</f>
        <v/>
      </c>
      <c r="E359" s="4" t="str" cm="1">
        <f t="array" ref="E359">IF(ISNUMBER($A359),IF(A359=A358,"Reference2(False,True,"&amp;INDEX(BackgroundCalcs!$AX$2:$AX$500,'Grading Formulas'!$A359)&amp;")","Reference() AND MOEValue(.0001)"),"")</f>
        <v/>
      </c>
      <c r="F359" s="4" t="str">
        <f t="shared" si="23"/>
        <v/>
      </c>
      <c r="G359" s="4" t="str">
        <f t="shared" si="24"/>
        <v/>
      </c>
      <c r="H359" s="4" t="str">
        <f t="shared" si="25"/>
        <v/>
      </c>
    </row>
    <row r="360" spans="1:8">
      <c r="A360" s="6" t="str">
        <f t="shared" si="26"/>
        <v/>
      </c>
      <c r="B360" s="6" t="str">
        <f t="shared" si="22"/>
        <v/>
      </c>
      <c r="C360" s="9" t="str" cm="1">
        <f t="array" ref="C360">IF(ISNUMBER(A360),INDEX(BackgroundCalcs!$AV$2:$AV$500,'Grading Formulas'!$A360),"")</f>
        <v/>
      </c>
      <c r="D360" s="9" t="str" cm="1">
        <f t="array" ref="D360">IF(ISNUMBER($A360),INDEX(BackgroundCalcs!$AW$2:$AW$500,'Grading Formulas'!$A360),"")</f>
        <v/>
      </c>
      <c r="E360" s="4" t="str" cm="1">
        <f t="array" ref="E360">IF(ISNUMBER($A360),IF(A360=A359,"Reference2(False,True,"&amp;INDEX(BackgroundCalcs!$AX$2:$AX$500,'Grading Formulas'!$A360)&amp;")","Reference() AND MOEValue(.0001)"),"")</f>
        <v/>
      </c>
      <c r="F360" s="4" t="str">
        <f t="shared" si="23"/>
        <v/>
      </c>
      <c r="G360" s="4" t="str">
        <f t="shared" si="24"/>
        <v/>
      </c>
      <c r="H360" s="4" t="str">
        <f t="shared" si="25"/>
        <v/>
      </c>
    </row>
    <row r="361" spans="1:8">
      <c r="A361" s="6" t="str">
        <f t="shared" si="26"/>
        <v/>
      </c>
      <c r="B361" s="6" t="str">
        <f t="shared" si="22"/>
        <v/>
      </c>
      <c r="C361" s="9" t="str" cm="1">
        <f t="array" ref="C361">IF(ISNUMBER(A361),INDEX(BackgroundCalcs!$AV$2:$AV$500,'Grading Formulas'!$A361),"")</f>
        <v/>
      </c>
      <c r="D361" s="9" t="str" cm="1">
        <f t="array" ref="D361">IF(ISNUMBER($A361),INDEX(BackgroundCalcs!$AW$2:$AW$500,'Grading Formulas'!$A361),"")</f>
        <v/>
      </c>
      <c r="E361" s="4" t="str" cm="1">
        <f t="array" ref="E361">IF(ISNUMBER($A361),IF(A361=A360,"Reference2(False,True,"&amp;INDEX(BackgroundCalcs!$AX$2:$AX$500,'Grading Formulas'!$A361)&amp;")","Reference() AND MOEValue(.0001)"),"")</f>
        <v/>
      </c>
      <c r="F361" s="4" t="str">
        <f t="shared" si="23"/>
        <v/>
      </c>
      <c r="G361" s="4" t="str">
        <f t="shared" si="24"/>
        <v/>
      </c>
      <c r="H361" s="4" t="str">
        <f t="shared" si="25"/>
        <v/>
      </c>
    </row>
    <row r="362" spans="1:8">
      <c r="A362" s="6" t="str">
        <f t="shared" si="26"/>
        <v/>
      </c>
      <c r="B362" s="6" t="str">
        <f t="shared" si="22"/>
        <v/>
      </c>
      <c r="C362" s="9" t="str" cm="1">
        <f t="array" ref="C362">IF(ISNUMBER(A362),INDEX(BackgroundCalcs!$AV$2:$AV$500,'Grading Formulas'!$A362),"")</f>
        <v/>
      </c>
      <c r="D362" s="9" t="str" cm="1">
        <f t="array" ref="D362">IF(ISNUMBER($A362),INDEX(BackgroundCalcs!$AW$2:$AW$500,'Grading Formulas'!$A362),"")</f>
        <v/>
      </c>
      <c r="E362" s="4" t="str" cm="1">
        <f t="array" ref="E362">IF(ISNUMBER($A362),IF(A362=A361,"Reference2(False,True,"&amp;INDEX(BackgroundCalcs!$AX$2:$AX$500,'Grading Formulas'!$A362)&amp;")","Reference() AND MOEValue(.0001)"),"")</f>
        <v/>
      </c>
      <c r="F362" s="4" t="str">
        <f t="shared" si="23"/>
        <v/>
      </c>
      <c r="G362" s="4" t="str">
        <f t="shared" si="24"/>
        <v/>
      </c>
      <c r="H362" s="4" t="str">
        <f t="shared" si="25"/>
        <v/>
      </c>
    </row>
    <row r="363" spans="1:8">
      <c r="A363" s="6" t="str">
        <f t="shared" si="26"/>
        <v/>
      </c>
      <c r="B363" s="6" t="str">
        <f t="shared" si="22"/>
        <v/>
      </c>
      <c r="C363" s="9" t="str" cm="1">
        <f t="array" ref="C363">IF(ISNUMBER(A363),INDEX(BackgroundCalcs!$AV$2:$AV$500,'Grading Formulas'!$A363),"")</f>
        <v/>
      </c>
      <c r="D363" s="9" t="str" cm="1">
        <f t="array" ref="D363">IF(ISNUMBER($A363),INDEX(BackgroundCalcs!$AW$2:$AW$500,'Grading Formulas'!$A363),"")</f>
        <v/>
      </c>
      <c r="E363" s="4" t="str" cm="1">
        <f t="array" ref="E363">IF(ISNUMBER($A363),IF(A363=A362,"Reference2(False,True,"&amp;INDEX(BackgroundCalcs!$AX$2:$AX$500,'Grading Formulas'!$A363)&amp;")","Reference() AND MOEValue(.0001)"),"")</f>
        <v/>
      </c>
      <c r="F363" s="4" t="str">
        <f t="shared" si="23"/>
        <v/>
      </c>
      <c r="G363" s="4" t="str">
        <f t="shared" si="24"/>
        <v/>
      </c>
      <c r="H363" s="4" t="str">
        <f t="shared" si="25"/>
        <v/>
      </c>
    </row>
    <row r="364" spans="1:8">
      <c r="A364" s="6" t="str">
        <f t="shared" si="26"/>
        <v/>
      </c>
      <c r="B364" s="6" t="str">
        <f t="shared" si="22"/>
        <v/>
      </c>
      <c r="C364" s="9" t="str" cm="1">
        <f t="array" ref="C364">IF(ISNUMBER(A364),INDEX(BackgroundCalcs!$AV$2:$AV$500,'Grading Formulas'!$A364),"")</f>
        <v/>
      </c>
      <c r="D364" s="9" t="str" cm="1">
        <f t="array" ref="D364">IF(ISNUMBER($A364),INDEX(BackgroundCalcs!$AW$2:$AW$500,'Grading Formulas'!$A364),"")</f>
        <v/>
      </c>
      <c r="E364" s="4" t="str" cm="1">
        <f t="array" ref="E364">IF(ISNUMBER($A364),IF(A364=A363,"Reference2(False,True,"&amp;INDEX(BackgroundCalcs!$AX$2:$AX$500,'Grading Formulas'!$A364)&amp;")","Reference() AND MOEValue(.0001)"),"")</f>
        <v/>
      </c>
      <c r="F364" s="4" t="str">
        <f t="shared" si="23"/>
        <v/>
      </c>
      <c r="G364" s="4" t="str">
        <f t="shared" si="24"/>
        <v/>
      </c>
      <c r="H364" s="4" t="str">
        <f t="shared" si="25"/>
        <v/>
      </c>
    </row>
    <row r="365" spans="1:8">
      <c r="A365" s="6" t="str">
        <f t="shared" si="26"/>
        <v/>
      </c>
      <c r="B365" s="6" t="str">
        <f t="shared" si="22"/>
        <v/>
      </c>
      <c r="C365" s="9" t="str" cm="1">
        <f t="array" ref="C365">IF(ISNUMBER(A365),INDEX(BackgroundCalcs!$AV$2:$AV$500,'Grading Formulas'!$A365),"")</f>
        <v/>
      </c>
      <c r="D365" s="9" t="str" cm="1">
        <f t="array" ref="D365">IF(ISNUMBER($A365),INDEX(BackgroundCalcs!$AW$2:$AW$500,'Grading Formulas'!$A365),"")</f>
        <v/>
      </c>
      <c r="E365" s="4" t="str" cm="1">
        <f t="array" ref="E365">IF(ISNUMBER($A365),IF(A365=A364,"Reference2(False,True,"&amp;INDEX(BackgroundCalcs!$AX$2:$AX$500,'Grading Formulas'!$A365)&amp;")","Reference() AND MOEValue(.0001)"),"")</f>
        <v/>
      </c>
      <c r="F365" s="4" t="str">
        <f t="shared" si="23"/>
        <v/>
      </c>
      <c r="G365" s="4" t="str">
        <f t="shared" si="24"/>
        <v/>
      </c>
      <c r="H365" s="4" t="str">
        <f t="shared" si="25"/>
        <v/>
      </c>
    </row>
    <row r="366" spans="1:8">
      <c r="A366" s="6" t="str">
        <f t="shared" si="26"/>
        <v/>
      </c>
      <c r="B366" s="6" t="str">
        <f t="shared" si="22"/>
        <v/>
      </c>
      <c r="C366" s="9" t="str" cm="1">
        <f t="array" ref="C366">IF(ISNUMBER(A366),INDEX(BackgroundCalcs!$AV$2:$AV$500,'Grading Formulas'!$A366),"")</f>
        <v/>
      </c>
      <c r="D366" s="9" t="str" cm="1">
        <f t="array" ref="D366">IF(ISNUMBER($A366),INDEX(BackgroundCalcs!$AW$2:$AW$500,'Grading Formulas'!$A366),"")</f>
        <v/>
      </c>
      <c r="E366" s="4" t="str" cm="1">
        <f t="array" ref="E366">IF(ISNUMBER($A366),IF(A366=A365,"Reference2(False,True,"&amp;INDEX(BackgroundCalcs!$AX$2:$AX$500,'Grading Formulas'!$A366)&amp;")","Reference() AND MOEValue(.0001)"),"")</f>
        <v/>
      </c>
      <c r="F366" s="4" t="str">
        <f t="shared" si="23"/>
        <v/>
      </c>
      <c r="G366" s="4" t="str">
        <f t="shared" si="24"/>
        <v/>
      </c>
      <c r="H366" s="4" t="str">
        <f t="shared" si="25"/>
        <v/>
      </c>
    </row>
    <row r="367" spans="1:8">
      <c r="A367" s="6" t="str">
        <f t="shared" si="26"/>
        <v/>
      </c>
      <c r="B367" s="6" t="str">
        <f t="shared" si="22"/>
        <v/>
      </c>
      <c r="C367" s="9" t="str" cm="1">
        <f t="array" ref="C367">IF(ISNUMBER(A367),INDEX(BackgroundCalcs!$AV$2:$AV$500,'Grading Formulas'!$A367),"")</f>
        <v/>
      </c>
      <c r="D367" s="9" t="str" cm="1">
        <f t="array" ref="D367">IF(ISNUMBER($A367),INDEX(BackgroundCalcs!$AW$2:$AW$500,'Grading Formulas'!$A367),"")</f>
        <v/>
      </c>
      <c r="E367" s="4" t="str" cm="1">
        <f t="array" ref="E367">IF(ISNUMBER($A367),IF(A367=A366,"Reference2(False,True,"&amp;INDEX(BackgroundCalcs!$AX$2:$AX$500,'Grading Formulas'!$A367)&amp;")","Reference() AND MOEValue(.0001)"),"")</f>
        <v/>
      </c>
      <c r="F367" s="4" t="str">
        <f t="shared" si="23"/>
        <v/>
      </c>
      <c r="G367" s="4" t="str">
        <f t="shared" si="24"/>
        <v/>
      </c>
      <c r="H367" s="4" t="str">
        <f t="shared" si="25"/>
        <v/>
      </c>
    </row>
    <row r="368" spans="1:8">
      <c r="A368" s="6" t="str">
        <f t="shared" si="26"/>
        <v/>
      </c>
      <c r="B368" s="6" t="str">
        <f t="shared" si="22"/>
        <v/>
      </c>
      <c r="C368" s="9" t="str" cm="1">
        <f t="array" ref="C368">IF(ISNUMBER(A368),INDEX(BackgroundCalcs!$AV$2:$AV$500,'Grading Formulas'!$A368),"")</f>
        <v/>
      </c>
      <c r="D368" s="9" t="str" cm="1">
        <f t="array" ref="D368">IF(ISNUMBER($A368),INDEX(BackgroundCalcs!$AW$2:$AW$500,'Grading Formulas'!$A368),"")</f>
        <v/>
      </c>
      <c r="E368" s="4" t="str" cm="1">
        <f t="array" ref="E368">IF(ISNUMBER($A368),IF(A368=A367,"Reference2(False,True,"&amp;INDEX(BackgroundCalcs!$AX$2:$AX$500,'Grading Formulas'!$A368)&amp;")","Reference() AND MOEValue(.0001)"),"")</f>
        <v/>
      </c>
      <c r="F368" s="4" t="str">
        <f t="shared" si="23"/>
        <v/>
      </c>
      <c r="G368" s="4" t="str">
        <f t="shared" si="24"/>
        <v/>
      </c>
      <c r="H368" s="4" t="str">
        <f t="shared" si="25"/>
        <v/>
      </c>
    </row>
    <row r="369" spans="1:8">
      <c r="A369" s="6" t="str">
        <f t="shared" si="26"/>
        <v/>
      </c>
      <c r="B369" s="6" t="str">
        <f t="shared" si="22"/>
        <v/>
      </c>
      <c r="C369" s="9" t="str" cm="1">
        <f t="array" ref="C369">IF(ISNUMBER(A369),INDEX(BackgroundCalcs!$AV$2:$AV$500,'Grading Formulas'!$A369),"")</f>
        <v/>
      </c>
      <c r="D369" s="9" t="str" cm="1">
        <f t="array" ref="D369">IF(ISNUMBER($A369),INDEX(BackgroundCalcs!$AW$2:$AW$500,'Grading Formulas'!$A369),"")</f>
        <v/>
      </c>
      <c r="E369" s="4" t="str" cm="1">
        <f t="array" ref="E369">IF(ISNUMBER($A369),IF(A369=A368,"Reference2(False,True,"&amp;INDEX(BackgroundCalcs!$AX$2:$AX$500,'Grading Formulas'!$A369)&amp;")","Reference() AND MOEValue(.0001)"),"")</f>
        <v/>
      </c>
      <c r="F369" s="4" t="str">
        <f t="shared" si="23"/>
        <v/>
      </c>
      <c r="G369" s="4" t="str">
        <f t="shared" si="24"/>
        <v/>
      </c>
      <c r="H369" s="4" t="str">
        <f t="shared" si="25"/>
        <v/>
      </c>
    </row>
    <row r="370" spans="1:8">
      <c r="A370" s="6" t="str">
        <f t="shared" si="26"/>
        <v/>
      </c>
      <c r="B370" s="6" t="str">
        <f t="shared" si="22"/>
        <v/>
      </c>
      <c r="C370" s="9" t="str" cm="1">
        <f t="array" ref="C370">IF(ISNUMBER(A370),INDEX(BackgroundCalcs!$AV$2:$AV$500,'Grading Formulas'!$A370),"")</f>
        <v/>
      </c>
      <c r="D370" s="9" t="str" cm="1">
        <f t="array" ref="D370">IF(ISNUMBER($A370),INDEX(BackgroundCalcs!$AW$2:$AW$500,'Grading Formulas'!$A370),"")</f>
        <v/>
      </c>
      <c r="E370" s="4" t="str" cm="1">
        <f t="array" ref="E370">IF(ISNUMBER($A370),IF(A370=A369,"Reference2(False,True,"&amp;INDEX(BackgroundCalcs!$AX$2:$AX$500,'Grading Formulas'!$A370)&amp;")","Reference() AND MOEValue(.0001)"),"")</f>
        <v/>
      </c>
      <c r="F370" s="4" t="str">
        <f t="shared" si="23"/>
        <v/>
      </c>
      <c r="G370" s="4" t="str">
        <f t="shared" si="24"/>
        <v/>
      </c>
      <c r="H370" s="4" t="str">
        <f t="shared" si="25"/>
        <v/>
      </c>
    </row>
    <row r="371" spans="1:8">
      <c r="A371" s="6" t="str">
        <f t="shared" si="26"/>
        <v/>
      </c>
      <c r="B371" s="6" t="str">
        <f t="shared" si="22"/>
        <v/>
      </c>
      <c r="C371" s="9" t="str" cm="1">
        <f t="array" ref="C371">IF(ISNUMBER(A371),INDEX(BackgroundCalcs!$AV$2:$AV$500,'Grading Formulas'!$A371),"")</f>
        <v/>
      </c>
      <c r="D371" s="9" t="str" cm="1">
        <f t="array" ref="D371">IF(ISNUMBER($A371),INDEX(BackgroundCalcs!$AW$2:$AW$500,'Grading Formulas'!$A371),"")</f>
        <v/>
      </c>
      <c r="E371" s="4" t="str" cm="1">
        <f t="array" ref="E371">IF(ISNUMBER($A371),IF(A371=A370,"Reference2(False,True,"&amp;INDEX(BackgroundCalcs!$AX$2:$AX$500,'Grading Formulas'!$A371)&amp;")","Reference() AND MOEValue(.0001)"),"")</f>
        <v/>
      </c>
      <c r="F371" s="4" t="str">
        <f t="shared" si="23"/>
        <v/>
      </c>
      <c r="G371" s="4" t="str">
        <f t="shared" si="24"/>
        <v/>
      </c>
      <c r="H371" s="4" t="str">
        <f t="shared" si="25"/>
        <v/>
      </c>
    </row>
    <row r="372" spans="1:8">
      <c r="A372" s="6" t="str">
        <f t="shared" si="26"/>
        <v/>
      </c>
      <c r="B372" s="6" t="str">
        <f t="shared" si="22"/>
        <v/>
      </c>
      <c r="C372" s="9" t="str" cm="1">
        <f t="array" ref="C372">IF(ISNUMBER(A372),INDEX(BackgroundCalcs!$AV$2:$AV$500,'Grading Formulas'!$A372),"")</f>
        <v/>
      </c>
      <c r="D372" s="9" t="str" cm="1">
        <f t="array" ref="D372">IF(ISNUMBER($A372),INDEX(BackgroundCalcs!$AW$2:$AW$500,'Grading Formulas'!$A372),"")</f>
        <v/>
      </c>
      <c r="E372" s="4" t="str" cm="1">
        <f t="array" ref="E372">IF(ISNUMBER($A372),IF(A372=A371,"Reference2(False,True,"&amp;INDEX(BackgroundCalcs!$AX$2:$AX$500,'Grading Formulas'!$A372)&amp;")","Reference() AND MOEValue(.0001)"),"")</f>
        <v/>
      </c>
      <c r="F372" s="4" t="str">
        <f t="shared" si="23"/>
        <v/>
      </c>
      <c r="G372" s="4" t="str">
        <f t="shared" si="24"/>
        <v/>
      </c>
      <c r="H372" s="4" t="str">
        <f t="shared" si="25"/>
        <v/>
      </c>
    </row>
    <row r="373" spans="1:8">
      <c r="A373" s="6" t="str">
        <f t="shared" si="26"/>
        <v/>
      </c>
      <c r="B373" s="6" t="str">
        <f t="shared" si="22"/>
        <v/>
      </c>
      <c r="C373" s="9" t="str" cm="1">
        <f t="array" ref="C373">IF(ISNUMBER(A373),INDEX(BackgroundCalcs!$AV$2:$AV$500,'Grading Formulas'!$A373),"")</f>
        <v/>
      </c>
      <c r="D373" s="9" t="str" cm="1">
        <f t="array" ref="D373">IF(ISNUMBER($A373),INDEX(BackgroundCalcs!$AW$2:$AW$500,'Grading Formulas'!$A373),"")</f>
        <v/>
      </c>
      <c r="E373" s="4" t="str" cm="1">
        <f t="array" ref="E373">IF(ISNUMBER($A373),IF(A373=A372,"Reference2(False,True,"&amp;INDEX(BackgroundCalcs!$AX$2:$AX$500,'Grading Formulas'!$A373)&amp;")","Reference() AND MOEValue(.0001)"),"")</f>
        <v/>
      </c>
      <c r="F373" s="4" t="str">
        <f t="shared" si="23"/>
        <v/>
      </c>
      <c r="G373" s="4" t="str">
        <f t="shared" si="24"/>
        <v/>
      </c>
      <c r="H373" s="4" t="str">
        <f t="shared" si="25"/>
        <v/>
      </c>
    </row>
    <row r="374" spans="1:8">
      <c r="A374" s="6" t="str">
        <f t="shared" si="26"/>
        <v/>
      </c>
      <c r="B374" s="6" t="str">
        <f t="shared" si="22"/>
        <v/>
      </c>
      <c r="C374" s="9" t="str" cm="1">
        <f t="array" ref="C374">IF(ISNUMBER(A374),INDEX(BackgroundCalcs!$AV$2:$AV$500,'Grading Formulas'!$A374),"")</f>
        <v/>
      </c>
      <c r="D374" s="9" t="str" cm="1">
        <f t="array" ref="D374">IF(ISNUMBER($A374),INDEX(BackgroundCalcs!$AW$2:$AW$500,'Grading Formulas'!$A374),"")</f>
        <v/>
      </c>
      <c r="E374" s="4" t="str" cm="1">
        <f t="array" ref="E374">IF(ISNUMBER($A374),IF(A374=A373,"Reference2(False,True,"&amp;INDEX(BackgroundCalcs!$AX$2:$AX$500,'Grading Formulas'!$A374)&amp;")","Reference() AND MOEValue(.0001)"),"")</f>
        <v/>
      </c>
      <c r="F374" s="4" t="str">
        <f t="shared" si="23"/>
        <v/>
      </c>
      <c r="G374" s="4" t="str">
        <f t="shared" si="24"/>
        <v/>
      </c>
      <c r="H374" s="4" t="str">
        <f t="shared" si="25"/>
        <v/>
      </c>
    </row>
    <row r="375" spans="1:8">
      <c r="A375" s="6" t="str">
        <f t="shared" si="26"/>
        <v/>
      </c>
      <c r="B375" s="6" t="str">
        <f t="shared" si="22"/>
        <v/>
      </c>
      <c r="C375" s="9" t="str" cm="1">
        <f t="array" ref="C375">IF(ISNUMBER(A375),INDEX(BackgroundCalcs!$AV$2:$AV$500,'Grading Formulas'!$A375),"")</f>
        <v/>
      </c>
      <c r="D375" s="9" t="str" cm="1">
        <f t="array" ref="D375">IF(ISNUMBER($A375),INDEX(BackgroundCalcs!$AW$2:$AW$500,'Grading Formulas'!$A375),"")</f>
        <v/>
      </c>
      <c r="E375" s="4" t="str" cm="1">
        <f t="array" ref="E375">IF(ISNUMBER($A375),IF(A375=A374,"Reference2(False,True,"&amp;INDEX(BackgroundCalcs!$AX$2:$AX$500,'Grading Formulas'!$A375)&amp;")","Reference() AND MOEValue(.0001)"),"")</f>
        <v/>
      </c>
      <c r="F375" s="4" t="str">
        <f t="shared" si="23"/>
        <v/>
      </c>
      <c r="G375" s="4" t="str">
        <f t="shared" si="24"/>
        <v/>
      </c>
      <c r="H375" s="4" t="str">
        <f t="shared" si="25"/>
        <v/>
      </c>
    </row>
    <row r="376" spans="1:8">
      <c r="A376" s="6" t="str">
        <f t="shared" si="26"/>
        <v/>
      </c>
      <c r="B376" s="6" t="str">
        <f t="shared" si="22"/>
        <v/>
      </c>
      <c r="C376" s="9" t="str" cm="1">
        <f t="array" ref="C376">IF(ISNUMBER(A376),INDEX(BackgroundCalcs!$AV$2:$AV$500,'Grading Formulas'!$A376),"")</f>
        <v/>
      </c>
      <c r="D376" s="9" t="str" cm="1">
        <f t="array" ref="D376">IF(ISNUMBER($A376),INDEX(BackgroundCalcs!$AW$2:$AW$500,'Grading Formulas'!$A376),"")</f>
        <v/>
      </c>
      <c r="E376" s="4" t="str" cm="1">
        <f t="array" ref="E376">IF(ISNUMBER($A376),IF(A376=A375,"Reference2(False,True,"&amp;INDEX(BackgroundCalcs!$AX$2:$AX$500,'Grading Formulas'!$A376)&amp;")","Reference() AND MOEValue(.0001)"),"")</f>
        <v/>
      </c>
      <c r="F376" s="4" t="str">
        <f t="shared" si="23"/>
        <v/>
      </c>
      <c r="G376" s="4" t="str">
        <f t="shared" si="24"/>
        <v/>
      </c>
      <c r="H376" s="4" t="str">
        <f t="shared" si="25"/>
        <v/>
      </c>
    </row>
    <row r="377" spans="1:8">
      <c r="A377" s="6" t="str">
        <f t="shared" si="26"/>
        <v/>
      </c>
      <c r="B377" s="6" t="str">
        <f t="shared" si="22"/>
        <v/>
      </c>
      <c r="C377" s="9" t="str" cm="1">
        <f t="array" ref="C377">IF(ISNUMBER(A377),INDEX(BackgroundCalcs!$AV$2:$AV$500,'Grading Formulas'!$A377),"")</f>
        <v/>
      </c>
      <c r="D377" s="9" t="str" cm="1">
        <f t="array" ref="D377">IF(ISNUMBER($A377),INDEX(BackgroundCalcs!$AW$2:$AW$500,'Grading Formulas'!$A377),"")</f>
        <v/>
      </c>
      <c r="E377" s="4" t="str" cm="1">
        <f t="array" ref="E377">IF(ISNUMBER($A377),IF(A377=A376,"Reference2(False,True,"&amp;INDEX(BackgroundCalcs!$AX$2:$AX$500,'Grading Formulas'!$A377)&amp;")","Reference() AND MOEValue(.0001)"),"")</f>
        <v/>
      </c>
      <c r="F377" s="4" t="str">
        <f t="shared" si="23"/>
        <v/>
      </c>
      <c r="G377" s="4" t="str">
        <f t="shared" si="24"/>
        <v/>
      </c>
      <c r="H377" s="4" t="str">
        <f t="shared" si="25"/>
        <v/>
      </c>
    </row>
    <row r="378" spans="1:8">
      <c r="A378" s="6" t="str">
        <f t="shared" si="26"/>
        <v/>
      </c>
      <c r="B378" s="6" t="str">
        <f t="shared" si="22"/>
        <v/>
      </c>
      <c r="C378" s="9" t="str" cm="1">
        <f t="array" ref="C378">IF(ISNUMBER(A378),INDEX(BackgroundCalcs!$AV$2:$AV$500,'Grading Formulas'!$A378),"")</f>
        <v/>
      </c>
      <c r="D378" s="9" t="str" cm="1">
        <f t="array" ref="D378">IF(ISNUMBER($A378),INDEX(BackgroundCalcs!$AW$2:$AW$500,'Grading Formulas'!$A378),"")</f>
        <v/>
      </c>
      <c r="E378" s="4" t="str" cm="1">
        <f t="array" ref="E378">IF(ISNUMBER($A378),IF(A378=A377,"Reference2(False,True,"&amp;INDEX(BackgroundCalcs!$AX$2:$AX$500,'Grading Formulas'!$A378)&amp;")","Reference() AND MOEValue(.0001)"),"")</f>
        <v/>
      </c>
      <c r="F378" s="4" t="str">
        <f t="shared" si="23"/>
        <v/>
      </c>
      <c r="G378" s="4" t="str">
        <f t="shared" si="24"/>
        <v/>
      </c>
      <c r="H378" s="4" t="str">
        <f t="shared" si="25"/>
        <v/>
      </c>
    </row>
    <row r="379" spans="1:8">
      <c r="A379" s="6" t="str">
        <f t="shared" si="26"/>
        <v/>
      </c>
      <c r="B379" s="6" t="str">
        <f t="shared" si="22"/>
        <v/>
      </c>
      <c r="C379" s="9" t="str" cm="1">
        <f t="array" ref="C379">IF(ISNUMBER(A379),INDEX(BackgroundCalcs!$AV$2:$AV$500,'Grading Formulas'!$A379),"")</f>
        <v/>
      </c>
      <c r="D379" s="9" t="str" cm="1">
        <f t="array" ref="D379">IF(ISNUMBER($A379),INDEX(BackgroundCalcs!$AW$2:$AW$500,'Grading Formulas'!$A379),"")</f>
        <v/>
      </c>
      <c r="E379" s="4" t="str" cm="1">
        <f t="array" ref="E379">IF(ISNUMBER($A379),IF(A379=A378,"Reference2(False,True,"&amp;INDEX(BackgroundCalcs!$AX$2:$AX$500,'Grading Formulas'!$A379)&amp;")","Reference() AND MOEValue(.0001)"),"")</f>
        <v/>
      </c>
      <c r="F379" s="4" t="str">
        <f t="shared" si="23"/>
        <v/>
      </c>
      <c r="G379" s="4" t="str">
        <f t="shared" si="24"/>
        <v/>
      </c>
      <c r="H379" s="4" t="str">
        <f t="shared" si="25"/>
        <v/>
      </c>
    </row>
    <row r="380" spans="1:8">
      <c r="A380" s="6" t="str">
        <f t="shared" si="26"/>
        <v/>
      </c>
      <c r="B380" s="6" t="str">
        <f t="shared" si="22"/>
        <v/>
      </c>
      <c r="C380" s="9" t="str" cm="1">
        <f t="array" ref="C380">IF(ISNUMBER(A380),INDEX(BackgroundCalcs!$AV$2:$AV$500,'Grading Formulas'!$A380),"")</f>
        <v/>
      </c>
      <c r="D380" s="9" t="str" cm="1">
        <f t="array" ref="D380">IF(ISNUMBER($A380),INDEX(BackgroundCalcs!$AW$2:$AW$500,'Grading Formulas'!$A380),"")</f>
        <v/>
      </c>
      <c r="E380" s="4" t="str" cm="1">
        <f t="array" ref="E380">IF(ISNUMBER($A380),IF(A380=A379,"Reference2(False,True,"&amp;INDEX(BackgroundCalcs!$AX$2:$AX$500,'Grading Formulas'!$A380)&amp;")","Reference() AND MOEValue(.0001)"),"")</f>
        <v/>
      </c>
      <c r="F380" s="4" t="str">
        <f t="shared" si="23"/>
        <v/>
      </c>
      <c r="G380" s="4" t="str">
        <f t="shared" si="24"/>
        <v/>
      </c>
      <c r="H380" s="4" t="str">
        <f t="shared" si="25"/>
        <v/>
      </c>
    </row>
    <row r="381" spans="1:8">
      <c r="A381" s="6" t="str">
        <f t="shared" si="26"/>
        <v/>
      </c>
      <c r="B381" s="6" t="str">
        <f t="shared" si="22"/>
        <v/>
      </c>
      <c r="C381" s="9" t="str" cm="1">
        <f t="array" ref="C381">IF(ISNUMBER(A381),INDEX(BackgroundCalcs!$AV$2:$AV$500,'Grading Formulas'!$A381),"")</f>
        <v/>
      </c>
      <c r="D381" s="9" t="str" cm="1">
        <f t="array" ref="D381">IF(ISNUMBER($A381),INDEX(BackgroundCalcs!$AW$2:$AW$500,'Grading Formulas'!$A381),"")</f>
        <v/>
      </c>
      <c r="E381" s="4" t="str" cm="1">
        <f t="array" ref="E381">IF(ISNUMBER($A381),IF(A381=A380,"Reference2(False,True,"&amp;INDEX(BackgroundCalcs!$AX$2:$AX$500,'Grading Formulas'!$A381)&amp;")","Reference() AND MOEValue(.0001)"),"")</f>
        <v/>
      </c>
      <c r="F381" s="4" t="str">
        <f t="shared" si="23"/>
        <v/>
      </c>
      <c r="G381" s="4" t="str">
        <f t="shared" si="24"/>
        <v/>
      </c>
      <c r="H381" s="4" t="str">
        <f t="shared" si="25"/>
        <v/>
      </c>
    </row>
    <row r="382" spans="1:8">
      <c r="A382" s="6" t="str">
        <f t="shared" si="26"/>
        <v/>
      </c>
      <c r="B382" s="6" t="str">
        <f t="shared" si="22"/>
        <v/>
      </c>
      <c r="C382" s="9" t="str" cm="1">
        <f t="array" ref="C382">IF(ISNUMBER(A382),INDEX(BackgroundCalcs!$AV$2:$AV$500,'Grading Formulas'!$A382),"")</f>
        <v/>
      </c>
      <c r="D382" s="9" t="str" cm="1">
        <f t="array" ref="D382">IF(ISNUMBER($A382),INDEX(BackgroundCalcs!$AW$2:$AW$500,'Grading Formulas'!$A382),"")</f>
        <v/>
      </c>
      <c r="E382" s="4" t="str" cm="1">
        <f t="array" ref="E382">IF(ISNUMBER($A382),IF(A382=A381,"Reference2(False,True,"&amp;INDEX(BackgroundCalcs!$AX$2:$AX$500,'Grading Formulas'!$A382)&amp;")","Reference() AND MOEValue(.0001)"),"")</f>
        <v/>
      </c>
      <c r="F382" s="4" t="str">
        <f t="shared" si="23"/>
        <v/>
      </c>
      <c r="G382" s="4" t="str">
        <f t="shared" si="24"/>
        <v/>
      </c>
      <c r="H382" s="4" t="str">
        <f t="shared" si="25"/>
        <v/>
      </c>
    </row>
    <row r="383" spans="1:8">
      <c r="A383" s="6" t="str">
        <f t="shared" si="26"/>
        <v/>
      </c>
      <c r="B383" s="6" t="str">
        <f t="shared" si="22"/>
        <v/>
      </c>
      <c r="C383" s="9" t="str" cm="1">
        <f t="array" ref="C383">IF(ISNUMBER(A383),INDEX(BackgroundCalcs!$AV$2:$AV$500,'Grading Formulas'!$A383),"")</f>
        <v/>
      </c>
      <c r="D383" s="9" t="str" cm="1">
        <f t="array" ref="D383">IF(ISNUMBER($A383),INDEX(BackgroundCalcs!$AW$2:$AW$500,'Grading Formulas'!$A383),"")</f>
        <v/>
      </c>
      <c r="E383" s="4" t="str" cm="1">
        <f t="array" ref="E383">IF(ISNUMBER($A383),IF(A383=A382,"Reference2(False,True,"&amp;INDEX(BackgroundCalcs!$AX$2:$AX$500,'Grading Formulas'!$A383)&amp;")","Reference() AND MOEValue(.0001)"),"")</f>
        <v/>
      </c>
      <c r="F383" s="4" t="str">
        <f t="shared" si="23"/>
        <v/>
      </c>
      <c r="G383" s="4" t="str">
        <f t="shared" si="24"/>
        <v/>
      </c>
      <c r="H383" s="4" t="str">
        <f t="shared" si="25"/>
        <v/>
      </c>
    </row>
    <row r="384" spans="1:8">
      <c r="A384" s="6" t="str">
        <f t="shared" si="26"/>
        <v/>
      </c>
      <c r="B384" s="6" t="str">
        <f t="shared" si="22"/>
        <v/>
      </c>
      <c r="C384" s="9" t="str" cm="1">
        <f t="array" ref="C384">IF(ISNUMBER(A384),INDEX(BackgroundCalcs!$AV$2:$AV$500,'Grading Formulas'!$A384),"")</f>
        <v/>
      </c>
      <c r="D384" s="9" t="str" cm="1">
        <f t="array" ref="D384">IF(ISNUMBER($A384),INDEX(BackgroundCalcs!$AW$2:$AW$500,'Grading Formulas'!$A384),"")</f>
        <v/>
      </c>
      <c r="E384" s="4" t="str" cm="1">
        <f t="array" ref="E384">IF(ISNUMBER($A384),IF(A384=A383,"Reference2(False,True,"&amp;INDEX(BackgroundCalcs!$AX$2:$AX$500,'Grading Formulas'!$A384)&amp;")","Reference() AND MOEValue(.0001)"),"")</f>
        <v/>
      </c>
      <c r="F384" s="4" t="str">
        <f t="shared" si="23"/>
        <v/>
      </c>
      <c r="G384" s="4" t="str">
        <f t="shared" si="24"/>
        <v/>
      </c>
      <c r="H384" s="4" t="str">
        <f t="shared" si="25"/>
        <v/>
      </c>
    </row>
    <row r="385" spans="1:8">
      <c r="A385" s="6" t="str">
        <f t="shared" si="26"/>
        <v/>
      </c>
      <c r="B385" s="6" t="str">
        <f t="shared" si="22"/>
        <v/>
      </c>
      <c r="C385" s="9" t="str" cm="1">
        <f t="array" ref="C385">IF(ISNUMBER(A385),INDEX(BackgroundCalcs!$AV$2:$AV$500,'Grading Formulas'!$A385),"")</f>
        <v/>
      </c>
      <c r="D385" s="9" t="str" cm="1">
        <f t="array" ref="D385">IF(ISNUMBER($A385),INDEX(BackgroundCalcs!$AW$2:$AW$500,'Grading Formulas'!$A385),"")</f>
        <v/>
      </c>
      <c r="E385" s="4" t="str" cm="1">
        <f t="array" ref="E385">IF(ISNUMBER($A385),IF(A385=A384,"Reference2(False,True,"&amp;INDEX(BackgroundCalcs!$AX$2:$AX$500,'Grading Formulas'!$A385)&amp;")","Reference() AND MOEValue(.0001)"),"")</f>
        <v/>
      </c>
      <c r="F385" s="4" t="str">
        <f t="shared" si="23"/>
        <v/>
      </c>
      <c r="G385" s="4" t="str">
        <f t="shared" si="24"/>
        <v/>
      </c>
      <c r="H385" s="4" t="str">
        <f t="shared" si="25"/>
        <v/>
      </c>
    </row>
    <row r="386" spans="1:8">
      <c r="A386" s="6" t="str">
        <f t="shared" si="26"/>
        <v/>
      </c>
      <c r="B386" s="6" t="str">
        <f t="shared" ref="B386:B449" si="27">IF(ISNUMBER(A386),"CELL","")</f>
        <v/>
      </c>
      <c r="C386" s="9" t="str" cm="1">
        <f t="array" ref="C386">IF(ISNUMBER(A386),INDEX(BackgroundCalcs!$AV$2:$AV$500,'Grading Formulas'!$A386),"")</f>
        <v/>
      </c>
      <c r="D386" s="9" t="str" cm="1">
        <f t="array" ref="D386">IF(ISNUMBER($A386),INDEX(BackgroundCalcs!$AW$2:$AW$500,'Grading Formulas'!$A386),"")</f>
        <v/>
      </c>
      <c r="E386" s="4" t="str" cm="1">
        <f t="array" ref="E386">IF(ISNUMBER($A386),IF(A386=A385,"Reference2(False,True,"&amp;INDEX(BackgroundCalcs!$AX$2:$AX$500,'Grading Formulas'!$A386)&amp;")","Reference() AND MOEValue(.0001)"),"")</f>
        <v/>
      </c>
      <c r="F386" s="4" t="str">
        <f t="shared" si="23"/>
        <v/>
      </c>
      <c r="G386" s="4" t="str">
        <f t="shared" si="24"/>
        <v/>
      </c>
      <c r="H386" s="4" t="str">
        <f t="shared" si="25"/>
        <v/>
      </c>
    </row>
    <row r="387" spans="1:8">
      <c r="A387" s="6" t="str">
        <f t="shared" si="26"/>
        <v/>
      </c>
      <c r="B387" s="6" t="str">
        <f t="shared" si="27"/>
        <v/>
      </c>
      <c r="C387" s="9" t="str" cm="1">
        <f t="array" ref="C387">IF(ISNUMBER(A387),INDEX(BackgroundCalcs!$AV$2:$AV$500,'Grading Formulas'!$A387),"")</f>
        <v/>
      </c>
      <c r="D387" s="9" t="str" cm="1">
        <f t="array" ref="D387">IF(ISNUMBER($A387),INDEX(BackgroundCalcs!$AW$2:$AW$500,'Grading Formulas'!$A387),"")</f>
        <v/>
      </c>
      <c r="E387" s="4" t="str" cm="1">
        <f t="array" ref="E387">IF(ISNUMBER($A387),IF(A387=A386,"Reference2(False,True,"&amp;INDEX(BackgroundCalcs!$AX$2:$AX$500,'Grading Formulas'!$A387)&amp;")","Reference() AND MOEValue(.0001)"),"")</f>
        <v/>
      </c>
      <c r="F387" s="4" t="str">
        <f t="shared" ref="F387:F450" si="28">IF(ISNUMBER($A387),IF(A387=A386,-1000,1),"")</f>
        <v/>
      </c>
      <c r="G387" s="4" t="str">
        <f t="shared" ref="G387:G450" si="29">IF(ISNUMBER($A387),IF(A387=A386,"You should not be referencing the answer cell","Correct"),"")</f>
        <v/>
      </c>
      <c r="H387" s="4" t="str">
        <f t="shared" ref="H387:H450" si="30">IF(ISNUMBER($A387),IF(A387=A386,"N/A","Incorrect"),"")</f>
        <v/>
      </c>
    </row>
    <row r="388" spans="1:8">
      <c r="A388" s="6" t="str">
        <f t="shared" ref="A388:A451" si="31">IF(A386&lt;NumAnswers,A386+1,"")</f>
        <v/>
      </c>
      <c r="B388" s="6" t="str">
        <f t="shared" si="27"/>
        <v/>
      </c>
      <c r="C388" s="9" t="str" cm="1">
        <f t="array" ref="C388">IF(ISNUMBER(A388),INDEX(BackgroundCalcs!$AV$2:$AV$500,'Grading Formulas'!$A388),"")</f>
        <v/>
      </c>
      <c r="D388" s="9" t="str" cm="1">
        <f t="array" ref="D388">IF(ISNUMBER($A388),INDEX(BackgroundCalcs!$AW$2:$AW$500,'Grading Formulas'!$A388),"")</f>
        <v/>
      </c>
      <c r="E388" s="4" t="str" cm="1">
        <f t="array" ref="E388">IF(ISNUMBER($A388),IF(A388=A387,"Reference2(False,True,"&amp;INDEX(BackgroundCalcs!$AX$2:$AX$500,'Grading Formulas'!$A388)&amp;")","Reference() AND MOEValue(.0001)"),"")</f>
        <v/>
      </c>
      <c r="F388" s="4" t="str">
        <f t="shared" si="28"/>
        <v/>
      </c>
      <c r="G388" s="4" t="str">
        <f t="shared" si="29"/>
        <v/>
      </c>
      <c r="H388" s="4" t="str">
        <f t="shared" si="30"/>
        <v/>
      </c>
    </row>
    <row r="389" spans="1:8">
      <c r="A389" s="6" t="str">
        <f t="shared" si="31"/>
        <v/>
      </c>
      <c r="B389" s="6" t="str">
        <f t="shared" si="27"/>
        <v/>
      </c>
      <c r="C389" s="9" t="str" cm="1">
        <f t="array" ref="C389">IF(ISNUMBER(A389),INDEX(BackgroundCalcs!$AV$2:$AV$500,'Grading Formulas'!$A389),"")</f>
        <v/>
      </c>
      <c r="D389" s="9" t="str" cm="1">
        <f t="array" ref="D389">IF(ISNUMBER($A389),INDEX(BackgroundCalcs!$AW$2:$AW$500,'Grading Formulas'!$A389),"")</f>
        <v/>
      </c>
      <c r="E389" s="4" t="str" cm="1">
        <f t="array" ref="E389">IF(ISNUMBER($A389),IF(A389=A388,"Reference2(False,True,"&amp;INDEX(BackgroundCalcs!$AX$2:$AX$500,'Grading Formulas'!$A389)&amp;")","Reference() AND MOEValue(.0001)"),"")</f>
        <v/>
      </c>
      <c r="F389" s="4" t="str">
        <f t="shared" si="28"/>
        <v/>
      </c>
      <c r="G389" s="4" t="str">
        <f t="shared" si="29"/>
        <v/>
      </c>
      <c r="H389" s="4" t="str">
        <f t="shared" si="30"/>
        <v/>
      </c>
    </row>
    <row r="390" spans="1:8">
      <c r="A390" s="6" t="str">
        <f t="shared" si="31"/>
        <v/>
      </c>
      <c r="B390" s="6" t="str">
        <f t="shared" si="27"/>
        <v/>
      </c>
      <c r="C390" s="9" t="str" cm="1">
        <f t="array" ref="C390">IF(ISNUMBER(A390),INDEX(BackgroundCalcs!$AV$2:$AV$500,'Grading Formulas'!$A390),"")</f>
        <v/>
      </c>
      <c r="D390" s="9" t="str" cm="1">
        <f t="array" ref="D390">IF(ISNUMBER($A390),INDEX(BackgroundCalcs!$AW$2:$AW$500,'Grading Formulas'!$A390),"")</f>
        <v/>
      </c>
      <c r="E390" s="4" t="str" cm="1">
        <f t="array" ref="E390">IF(ISNUMBER($A390),IF(A390=A389,"Reference2(False,True,"&amp;INDEX(BackgroundCalcs!$AX$2:$AX$500,'Grading Formulas'!$A390)&amp;")","Reference() AND MOEValue(.0001)"),"")</f>
        <v/>
      </c>
      <c r="F390" s="4" t="str">
        <f t="shared" si="28"/>
        <v/>
      </c>
      <c r="G390" s="4" t="str">
        <f t="shared" si="29"/>
        <v/>
      </c>
      <c r="H390" s="4" t="str">
        <f t="shared" si="30"/>
        <v/>
      </c>
    </row>
    <row r="391" spans="1:8">
      <c r="A391" s="6" t="str">
        <f t="shared" si="31"/>
        <v/>
      </c>
      <c r="B391" s="6" t="str">
        <f t="shared" si="27"/>
        <v/>
      </c>
      <c r="C391" s="9" t="str" cm="1">
        <f t="array" ref="C391">IF(ISNUMBER(A391),INDEX(BackgroundCalcs!$AV$2:$AV$500,'Grading Formulas'!$A391),"")</f>
        <v/>
      </c>
      <c r="D391" s="9" t="str" cm="1">
        <f t="array" ref="D391">IF(ISNUMBER($A391),INDEX(BackgroundCalcs!$AW$2:$AW$500,'Grading Formulas'!$A391),"")</f>
        <v/>
      </c>
      <c r="E391" s="4" t="str" cm="1">
        <f t="array" ref="E391">IF(ISNUMBER($A391),IF(A391=A390,"Reference2(False,True,"&amp;INDEX(BackgroundCalcs!$AX$2:$AX$500,'Grading Formulas'!$A391)&amp;")","Reference() AND MOEValue(.0001)"),"")</f>
        <v/>
      </c>
      <c r="F391" s="4" t="str">
        <f t="shared" si="28"/>
        <v/>
      </c>
      <c r="G391" s="4" t="str">
        <f t="shared" si="29"/>
        <v/>
      </c>
      <c r="H391" s="4" t="str">
        <f t="shared" si="30"/>
        <v/>
      </c>
    </row>
    <row r="392" spans="1:8">
      <c r="A392" s="6" t="str">
        <f t="shared" si="31"/>
        <v/>
      </c>
      <c r="B392" s="6" t="str">
        <f t="shared" si="27"/>
        <v/>
      </c>
      <c r="C392" s="9" t="str" cm="1">
        <f t="array" ref="C392">IF(ISNUMBER(A392),INDEX(BackgroundCalcs!$AV$2:$AV$500,'Grading Formulas'!$A392),"")</f>
        <v/>
      </c>
      <c r="D392" s="9" t="str" cm="1">
        <f t="array" ref="D392">IF(ISNUMBER($A392),INDEX(BackgroundCalcs!$AW$2:$AW$500,'Grading Formulas'!$A392),"")</f>
        <v/>
      </c>
      <c r="E392" s="4" t="str" cm="1">
        <f t="array" ref="E392">IF(ISNUMBER($A392),IF(A392=A391,"Reference2(False,True,"&amp;INDEX(BackgroundCalcs!$AX$2:$AX$500,'Grading Formulas'!$A392)&amp;")","Reference() AND MOEValue(.0001)"),"")</f>
        <v/>
      </c>
      <c r="F392" s="4" t="str">
        <f t="shared" si="28"/>
        <v/>
      </c>
      <c r="G392" s="4" t="str">
        <f t="shared" si="29"/>
        <v/>
      </c>
      <c r="H392" s="4" t="str">
        <f t="shared" si="30"/>
        <v/>
      </c>
    </row>
    <row r="393" spans="1:8">
      <c r="A393" s="6" t="str">
        <f t="shared" si="31"/>
        <v/>
      </c>
      <c r="B393" s="6" t="str">
        <f t="shared" si="27"/>
        <v/>
      </c>
      <c r="C393" s="9" t="str" cm="1">
        <f t="array" ref="C393">IF(ISNUMBER(A393),INDEX(BackgroundCalcs!$AV$2:$AV$500,'Grading Formulas'!$A393),"")</f>
        <v/>
      </c>
      <c r="D393" s="9" t="str" cm="1">
        <f t="array" ref="D393">IF(ISNUMBER($A393),INDEX(BackgroundCalcs!$AW$2:$AW$500,'Grading Formulas'!$A393),"")</f>
        <v/>
      </c>
      <c r="E393" s="4" t="str" cm="1">
        <f t="array" ref="E393">IF(ISNUMBER($A393),IF(A393=A392,"Reference2(False,True,"&amp;INDEX(BackgroundCalcs!$AX$2:$AX$500,'Grading Formulas'!$A393)&amp;")","Reference() AND MOEValue(.0001)"),"")</f>
        <v/>
      </c>
      <c r="F393" s="4" t="str">
        <f t="shared" si="28"/>
        <v/>
      </c>
      <c r="G393" s="4" t="str">
        <f t="shared" si="29"/>
        <v/>
      </c>
      <c r="H393" s="4" t="str">
        <f t="shared" si="30"/>
        <v/>
      </c>
    </row>
    <row r="394" spans="1:8">
      <c r="A394" s="6" t="str">
        <f t="shared" si="31"/>
        <v/>
      </c>
      <c r="B394" s="6" t="str">
        <f t="shared" si="27"/>
        <v/>
      </c>
      <c r="C394" s="9" t="str" cm="1">
        <f t="array" ref="C394">IF(ISNUMBER(A394),INDEX(BackgroundCalcs!$AV$2:$AV$500,'Grading Formulas'!$A394),"")</f>
        <v/>
      </c>
      <c r="D394" s="9" t="str" cm="1">
        <f t="array" ref="D394">IF(ISNUMBER($A394),INDEX(BackgroundCalcs!$AW$2:$AW$500,'Grading Formulas'!$A394),"")</f>
        <v/>
      </c>
      <c r="E394" s="4" t="str" cm="1">
        <f t="array" ref="E394">IF(ISNUMBER($A394),IF(A394=A393,"Reference2(False,True,"&amp;INDEX(BackgroundCalcs!$AX$2:$AX$500,'Grading Formulas'!$A394)&amp;")","Reference() AND MOEValue(.0001)"),"")</f>
        <v/>
      </c>
      <c r="F394" s="4" t="str">
        <f t="shared" si="28"/>
        <v/>
      </c>
      <c r="G394" s="4" t="str">
        <f t="shared" si="29"/>
        <v/>
      </c>
      <c r="H394" s="4" t="str">
        <f t="shared" si="30"/>
        <v/>
      </c>
    </row>
    <row r="395" spans="1:8">
      <c r="A395" s="6" t="str">
        <f t="shared" si="31"/>
        <v/>
      </c>
      <c r="B395" s="6" t="str">
        <f t="shared" si="27"/>
        <v/>
      </c>
      <c r="C395" s="9" t="str" cm="1">
        <f t="array" ref="C395">IF(ISNUMBER(A395),INDEX(BackgroundCalcs!$AV$2:$AV$500,'Grading Formulas'!$A395),"")</f>
        <v/>
      </c>
      <c r="D395" s="9" t="str" cm="1">
        <f t="array" ref="D395">IF(ISNUMBER($A395),INDEX(BackgroundCalcs!$AW$2:$AW$500,'Grading Formulas'!$A395),"")</f>
        <v/>
      </c>
      <c r="E395" s="4" t="str" cm="1">
        <f t="array" ref="E395">IF(ISNUMBER($A395),IF(A395=A394,"Reference2(False,True,"&amp;INDEX(BackgroundCalcs!$AX$2:$AX$500,'Grading Formulas'!$A395)&amp;")","Reference() AND MOEValue(.0001)"),"")</f>
        <v/>
      </c>
      <c r="F395" s="4" t="str">
        <f t="shared" si="28"/>
        <v/>
      </c>
      <c r="G395" s="4" t="str">
        <f t="shared" si="29"/>
        <v/>
      </c>
      <c r="H395" s="4" t="str">
        <f t="shared" si="30"/>
        <v/>
      </c>
    </row>
    <row r="396" spans="1:8">
      <c r="A396" s="6" t="str">
        <f t="shared" si="31"/>
        <v/>
      </c>
      <c r="B396" s="6" t="str">
        <f t="shared" si="27"/>
        <v/>
      </c>
      <c r="C396" s="9" t="str" cm="1">
        <f t="array" ref="C396">IF(ISNUMBER(A396),INDEX(BackgroundCalcs!$AV$2:$AV$500,'Grading Formulas'!$A396),"")</f>
        <v/>
      </c>
      <c r="D396" s="9" t="str" cm="1">
        <f t="array" ref="D396">IF(ISNUMBER($A396),INDEX(BackgroundCalcs!$AW$2:$AW$500,'Grading Formulas'!$A396),"")</f>
        <v/>
      </c>
      <c r="E396" s="4" t="str" cm="1">
        <f t="array" ref="E396">IF(ISNUMBER($A396),IF(A396=A395,"Reference2(False,True,"&amp;INDEX(BackgroundCalcs!$AX$2:$AX$500,'Grading Formulas'!$A396)&amp;")","Reference() AND MOEValue(.0001)"),"")</f>
        <v/>
      </c>
      <c r="F396" s="4" t="str">
        <f t="shared" si="28"/>
        <v/>
      </c>
      <c r="G396" s="4" t="str">
        <f t="shared" si="29"/>
        <v/>
      </c>
      <c r="H396" s="4" t="str">
        <f t="shared" si="30"/>
        <v/>
      </c>
    </row>
    <row r="397" spans="1:8">
      <c r="A397" s="6" t="str">
        <f t="shared" si="31"/>
        <v/>
      </c>
      <c r="B397" s="6" t="str">
        <f t="shared" si="27"/>
        <v/>
      </c>
      <c r="C397" s="9" t="str" cm="1">
        <f t="array" ref="C397">IF(ISNUMBER(A397),INDEX(BackgroundCalcs!$AV$2:$AV$500,'Grading Formulas'!$A397),"")</f>
        <v/>
      </c>
      <c r="D397" s="9" t="str" cm="1">
        <f t="array" ref="D397">IF(ISNUMBER($A397),INDEX(BackgroundCalcs!$AW$2:$AW$500,'Grading Formulas'!$A397),"")</f>
        <v/>
      </c>
      <c r="E397" s="4" t="str" cm="1">
        <f t="array" ref="E397">IF(ISNUMBER($A397),IF(A397=A396,"Reference2(False,True,"&amp;INDEX(BackgroundCalcs!$AX$2:$AX$500,'Grading Formulas'!$A397)&amp;")","Reference() AND MOEValue(.0001)"),"")</f>
        <v/>
      </c>
      <c r="F397" s="4" t="str">
        <f t="shared" si="28"/>
        <v/>
      </c>
      <c r="G397" s="4" t="str">
        <f t="shared" si="29"/>
        <v/>
      </c>
      <c r="H397" s="4" t="str">
        <f t="shared" si="30"/>
        <v/>
      </c>
    </row>
    <row r="398" spans="1:8">
      <c r="A398" s="6" t="str">
        <f t="shared" si="31"/>
        <v/>
      </c>
      <c r="B398" s="6" t="str">
        <f t="shared" si="27"/>
        <v/>
      </c>
      <c r="C398" s="9" t="str" cm="1">
        <f t="array" ref="C398">IF(ISNUMBER(A398),INDEX(BackgroundCalcs!$AV$2:$AV$500,'Grading Formulas'!$A398),"")</f>
        <v/>
      </c>
      <c r="D398" s="9" t="str" cm="1">
        <f t="array" ref="D398">IF(ISNUMBER($A398),INDEX(BackgroundCalcs!$AW$2:$AW$500,'Grading Formulas'!$A398),"")</f>
        <v/>
      </c>
      <c r="E398" s="4" t="str" cm="1">
        <f t="array" ref="E398">IF(ISNUMBER($A398),IF(A398=A397,"Reference2(False,True,"&amp;INDEX(BackgroundCalcs!$AX$2:$AX$500,'Grading Formulas'!$A398)&amp;")","Reference() AND MOEValue(.0001)"),"")</f>
        <v/>
      </c>
      <c r="F398" s="4" t="str">
        <f t="shared" si="28"/>
        <v/>
      </c>
      <c r="G398" s="4" t="str">
        <f t="shared" si="29"/>
        <v/>
      </c>
      <c r="H398" s="4" t="str">
        <f t="shared" si="30"/>
        <v/>
      </c>
    </row>
    <row r="399" spans="1:8">
      <c r="A399" s="6" t="str">
        <f t="shared" si="31"/>
        <v/>
      </c>
      <c r="B399" s="6" t="str">
        <f t="shared" si="27"/>
        <v/>
      </c>
      <c r="C399" s="9" t="str" cm="1">
        <f t="array" ref="C399">IF(ISNUMBER(A399),INDEX(BackgroundCalcs!$AV$2:$AV$500,'Grading Formulas'!$A399),"")</f>
        <v/>
      </c>
      <c r="D399" s="9" t="str" cm="1">
        <f t="array" ref="D399">IF(ISNUMBER($A399),INDEX(BackgroundCalcs!$AW$2:$AW$500,'Grading Formulas'!$A399),"")</f>
        <v/>
      </c>
      <c r="E399" s="4" t="str" cm="1">
        <f t="array" ref="E399">IF(ISNUMBER($A399),IF(A399=A398,"Reference2(False,True,"&amp;INDEX(BackgroundCalcs!$AX$2:$AX$500,'Grading Formulas'!$A399)&amp;")","Reference() AND MOEValue(.0001)"),"")</f>
        <v/>
      </c>
      <c r="F399" s="4" t="str">
        <f t="shared" si="28"/>
        <v/>
      </c>
      <c r="G399" s="4" t="str">
        <f t="shared" si="29"/>
        <v/>
      </c>
      <c r="H399" s="4" t="str">
        <f t="shared" si="30"/>
        <v/>
      </c>
    </row>
    <row r="400" spans="1:8">
      <c r="A400" s="6" t="str">
        <f t="shared" si="31"/>
        <v/>
      </c>
      <c r="B400" s="6" t="str">
        <f t="shared" si="27"/>
        <v/>
      </c>
      <c r="C400" s="9" t="str" cm="1">
        <f t="array" ref="C400">IF(ISNUMBER(A400),INDEX(BackgroundCalcs!$AV$2:$AV$500,'Grading Formulas'!$A400),"")</f>
        <v/>
      </c>
      <c r="D400" s="9" t="str" cm="1">
        <f t="array" ref="D400">IF(ISNUMBER($A400),INDEX(BackgroundCalcs!$AW$2:$AW$500,'Grading Formulas'!$A400),"")</f>
        <v/>
      </c>
      <c r="E400" s="4" t="str" cm="1">
        <f t="array" ref="E400">IF(ISNUMBER($A400),IF(A400=A399,"Reference2(False,True,"&amp;INDEX(BackgroundCalcs!$AX$2:$AX$500,'Grading Formulas'!$A400)&amp;")","Reference() AND MOEValue(.0001)"),"")</f>
        <v/>
      </c>
      <c r="F400" s="4" t="str">
        <f t="shared" si="28"/>
        <v/>
      </c>
      <c r="G400" s="4" t="str">
        <f t="shared" si="29"/>
        <v/>
      </c>
      <c r="H400" s="4" t="str">
        <f t="shared" si="30"/>
        <v/>
      </c>
    </row>
    <row r="401" spans="1:8">
      <c r="A401" s="6" t="str">
        <f t="shared" si="31"/>
        <v/>
      </c>
      <c r="B401" s="6" t="str">
        <f t="shared" si="27"/>
        <v/>
      </c>
      <c r="C401" s="9" t="str" cm="1">
        <f t="array" ref="C401">IF(ISNUMBER(A401),INDEX(BackgroundCalcs!$AV$2:$AV$500,'Grading Formulas'!$A401),"")</f>
        <v/>
      </c>
      <c r="D401" s="9" t="str" cm="1">
        <f t="array" ref="D401">IF(ISNUMBER($A401),INDEX(BackgroundCalcs!$AW$2:$AW$500,'Grading Formulas'!$A401),"")</f>
        <v/>
      </c>
      <c r="E401" s="4" t="str" cm="1">
        <f t="array" ref="E401">IF(ISNUMBER($A401),IF(A401=A400,"Reference2(False,True,"&amp;INDEX(BackgroundCalcs!$AX$2:$AX$500,'Grading Formulas'!$A401)&amp;")","Reference() AND MOEValue(.0001)"),"")</f>
        <v/>
      </c>
      <c r="F401" s="4" t="str">
        <f t="shared" si="28"/>
        <v/>
      </c>
      <c r="G401" s="4" t="str">
        <f t="shared" si="29"/>
        <v/>
      </c>
      <c r="H401" s="4" t="str">
        <f t="shared" si="30"/>
        <v/>
      </c>
    </row>
    <row r="402" spans="1:8">
      <c r="A402" s="6" t="str">
        <f t="shared" si="31"/>
        <v/>
      </c>
      <c r="B402" s="6" t="str">
        <f t="shared" si="27"/>
        <v/>
      </c>
      <c r="C402" s="9" t="str" cm="1">
        <f t="array" ref="C402">IF(ISNUMBER(A402),INDEX(BackgroundCalcs!$AV$2:$AV$500,'Grading Formulas'!$A402),"")</f>
        <v/>
      </c>
      <c r="D402" s="9" t="str" cm="1">
        <f t="array" ref="D402">IF(ISNUMBER($A402),INDEX(BackgroundCalcs!$AW$2:$AW$500,'Grading Formulas'!$A402),"")</f>
        <v/>
      </c>
      <c r="E402" s="4" t="str" cm="1">
        <f t="array" ref="E402">IF(ISNUMBER($A402),IF(A402=A401,"Reference2(False,True,"&amp;INDEX(BackgroundCalcs!$AX$2:$AX$500,'Grading Formulas'!$A402)&amp;")","Reference() AND MOEValue(.0001)"),"")</f>
        <v/>
      </c>
      <c r="F402" s="4" t="str">
        <f t="shared" si="28"/>
        <v/>
      </c>
      <c r="G402" s="4" t="str">
        <f t="shared" si="29"/>
        <v/>
      </c>
      <c r="H402" s="4" t="str">
        <f t="shared" si="30"/>
        <v/>
      </c>
    </row>
    <row r="403" spans="1:8">
      <c r="A403" s="6" t="str">
        <f t="shared" si="31"/>
        <v/>
      </c>
      <c r="B403" s="6" t="str">
        <f t="shared" si="27"/>
        <v/>
      </c>
      <c r="C403" s="9" t="str" cm="1">
        <f t="array" ref="C403">IF(ISNUMBER(A403),INDEX(BackgroundCalcs!$AV$2:$AV$500,'Grading Formulas'!$A403),"")</f>
        <v/>
      </c>
      <c r="D403" s="9" t="str" cm="1">
        <f t="array" ref="D403">IF(ISNUMBER($A403),INDEX(BackgroundCalcs!$AW$2:$AW$500,'Grading Formulas'!$A403),"")</f>
        <v/>
      </c>
      <c r="E403" s="4" t="str" cm="1">
        <f t="array" ref="E403">IF(ISNUMBER($A403),IF(A403=A402,"Reference2(False,True,"&amp;INDEX(BackgroundCalcs!$AX$2:$AX$500,'Grading Formulas'!$A403)&amp;")","Reference() AND MOEValue(.0001)"),"")</f>
        <v/>
      </c>
      <c r="F403" s="4" t="str">
        <f t="shared" si="28"/>
        <v/>
      </c>
      <c r="G403" s="4" t="str">
        <f t="shared" si="29"/>
        <v/>
      </c>
      <c r="H403" s="4" t="str">
        <f t="shared" si="30"/>
        <v/>
      </c>
    </row>
    <row r="404" spans="1:8">
      <c r="A404" s="6" t="str">
        <f t="shared" si="31"/>
        <v/>
      </c>
      <c r="B404" s="6" t="str">
        <f t="shared" si="27"/>
        <v/>
      </c>
      <c r="C404" s="9" t="str" cm="1">
        <f t="array" ref="C404">IF(ISNUMBER(A404),INDEX(BackgroundCalcs!$AV$2:$AV$500,'Grading Formulas'!$A404),"")</f>
        <v/>
      </c>
      <c r="D404" s="9" t="str" cm="1">
        <f t="array" ref="D404">IF(ISNUMBER($A404),INDEX(BackgroundCalcs!$AW$2:$AW$500,'Grading Formulas'!$A404),"")</f>
        <v/>
      </c>
      <c r="E404" s="4" t="str" cm="1">
        <f t="array" ref="E404">IF(ISNUMBER($A404),IF(A404=A403,"Reference2(False,True,"&amp;INDEX(BackgroundCalcs!$AX$2:$AX$500,'Grading Formulas'!$A404)&amp;")","Reference() AND MOEValue(.0001)"),"")</f>
        <v/>
      </c>
      <c r="F404" s="4" t="str">
        <f t="shared" si="28"/>
        <v/>
      </c>
      <c r="G404" s="4" t="str">
        <f t="shared" si="29"/>
        <v/>
      </c>
      <c r="H404" s="4" t="str">
        <f t="shared" si="30"/>
        <v/>
      </c>
    </row>
    <row r="405" spans="1:8">
      <c r="A405" s="6" t="str">
        <f t="shared" si="31"/>
        <v/>
      </c>
      <c r="B405" s="6" t="str">
        <f t="shared" si="27"/>
        <v/>
      </c>
      <c r="C405" s="9" t="str" cm="1">
        <f t="array" ref="C405">IF(ISNUMBER(A405),INDEX(BackgroundCalcs!$AV$2:$AV$500,'Grading Formulas'!$A405),"")</f>
        <v/>
      </c>
      <c r="D405" s="9" t="str" cm="1">
        <f t="array" ref="D405">IF(ISNUMBER($A405),INDEX(BackgroundCalcs!$AW$2:$AW$500,'Grading Formulas'!$A405),"")</f>
        <v/>
      </c>
      <c r="E405" s="4" t="str" cm="1">
        <f t="array" ref="E405">IF(ISNUMBER($A405),IF(A405=A404,"Reference2(False,True,"&amp;INDEX(BackgroundCalcs!$AX$2:$AX$500,'Grading Formulas'!$A405)&amp;")","Reference() AND MOEValue(.0001)"),"")</f>
        <v/>
      </c>
      <c r="F405" s="4" t="str">
        <f t="shared" si="28"/>
        <v/>
      </c>
      <c r="G405" s="4" t="str">
        <f t="shared" si="29"/>
        <v/>
      </c>
      <c r="H405" s="4" t="str">
        <f t="shared" si="30"/>
        <v/>
      </c>
    </row>
    <row r="406" spans="1:8">
      <c r="A406" s="6" t="str">
        <f t="shared" si="31"/>
        <v/>
      </c>
      <c r="B406" s="6" t="str">
        <f t="shared" si="27"/>
        <v/>
      </c>
      <c r="C406" s="9" t="str" cm="1">
        <f t="array" ref="C406">IF(ISNUMBER(A406),INDEX(BackgroundCalcs!$AV$2:$AV$500,'Grading Formulas'!$A406),"")</f>
        <v/>
      </c>
      <c r="D406" s="9" t="str" cm="1">
        <f t="array" ref="D406">IF(ISNUMBER($A406),INDEX(BackgroundCalcs!$AW$2:$AW$500,'Grading Formulas'!$A406),"")</f>
        <v/>
      </c>
      <c r="E406" s="4" t="str" cm="1">
        <f t="array" ref="E406">IF(ISNUMBER($A406),IF(A406=A405,"Reference2(False,True,"&amp;INDEX(BackgroundCalcs!$AX$2:$AX$500,'Grading Formulas'!$A406)&amp;")","Reference() AND MOEValue(.0001)"),"")</f>
        <v/>
      </c>
      <c r="F406" s="4" t="str">
        <f t="shared" si="28"/>
        <v/>
      </c>
      <c r="G406" s="4" t="str">
        <f t="shared" si="29"/>
        <v/>
      </c>
      <c r="H406" s="4" t="str">
        <f t="shared" si="30"/>
        <v/>
      </c>
    </row>
    <row r="407" spans="1:8">
      <c r="A407" s="6" t="str">
        <f t="shared" si="31"/>
        <v/>
      </c>
      <c r="B407" s="6" t="str">
        <f t="shared" si="27"/>
        <v/>
      </c>
      <c r="C407" s="9" t="str" cm="1">
        <f t="array" ref="C407">IF(ISNUMBER(A407),INDEX(BackgroundCalcs!$AV$2:$AV$500,'Grading Formulas'!$A407),"")</f>
        <v/>
      </c>
      <c r="D407" s="9" t="str" cm="1">
        <f t="array" ref="D407">IF(ISNUMBER($A407),INDEX(BackgroundCalcs!$AW$2:$AW$500,'Grading Formulas'!$A407),"")</f>
        <v/>
      </c>
      <c r="E407" s="4" t="str" cm="1">
        <f t="array" ref="E407">IF(ISNUMBER($A407),IF(A407=A406,"Reference2(False,True,"&amp;INDEX(BackgroundCalcs!$AX$2:$AX$500,'Grading Formulas'!$A407)&amp;")","Reference() AND MOEValue(.0001)"),"")</f>
        <v/>
      </c>
      <c r="F407" s="4" t="str">
        <f t="shared" si="28"/>
        <v/>
      </c>
      <c r="G407" s="4" t="str">
        <f t="shared" si="29"/>
        <v/>
      </c>
      <c r="H407" s="4" t="str">
        <f t="shared" si="30"/>
        <v/>
      </c>
    </row>
    <row r="408" spans="1:8">
      <c r="A408" s="6" t="str">
        <f t="shared" si="31"/>
        <v/>
      </c>
      <c r="B408" s="6" t="str">
        <f t="shared" si="27"/>
        <v/>
      </c>
      <c r="C408" s="9" t="str" cm="1">
        <f t="array" ref="C408">IF(ISNUMBER(A408),INDEX(BackgroundCalcs!$AV$2:$AV$500,'Grading Formulas'!$A408),"")</f>
        <v/>
      </c>
      <c r="D408" s="9" t="str" cm="1">
        <f t="array" ref="D408">IF(ISNUMBER($A408),INDEX(BackgroundCalcs!$AW$2:$AW$500,'Grading Formulas'!$A408),"")</f>
        <v/>
      </c>
      <c r="E408" s="4" t="str" cm="1">
        <f t="array" ref="E408">IF(ISNUMBER($A408),IF(A408=A407,"Reference2(False,True,"&amp;INDEX(BackgroundCalcs!$AX$2:$AX$500,'Grading Formulas'!$A408)&amp;")","Reference() AND MOEValue(.0001)"),"")</f>
        <v/>
      </c>
      <c r="F408" s="4" t="str">
        <f t="shared" si="28"/>
        <v/>
      </c>
      <c r="G408" s="4" t="str">
        <f t="shared" si="29"/>
        <v/>
      </c>
      <c r="H408" s="4" t="str">
        <f t="shared" si="30"/>
        <v/>
      </c>
    </row>
    <row r="409" spans="1:8">
      <c r="A409" s="6" t="str">
        <f t="shared" si="31"/>
        <v/>
      </c>
      <c r="B409" s="6" t="str">
        <f t="shared" si="27"/>
        <v/>
      </c>
      <c r="C409" s="9" t="str" cm="1">
        <f t="array" ref="C409">IF(ISNUMBER(A409),INDEX(BackgroundCalcs!$AV$2:$AV$500,'Grading Formulas'!$A409),"")</f>
        <v/>
      </c>
      <c r="D409" s="9" t="str" cm="1">
        <f t="array" ref="D409">IF(ISNUMBER($A409),INDEX(BackgroundCalcs!$AW$2:$AW$500,'Grading Formulas'!$A409),"")</f>
        <v/>
      </c>
      <c r="E409" s="4" t="str" cm="1">
        <f t="array" ref="E409">IF(ISNUMBER($A409),IF(A409=A408,"Reference2(False,True,"&amp;INDEX(BackgroundCalcs!$AX$2:$AX$500,'Grading Formulas'!$A409)&amp;")","Reference() AND MOEValue(.0001)"),"")</f>
        <v/>
      </c>
      <c r="F409" s="4" t="str">
        <f t="shared" si="28"/>
        <v/>
      </c>
      <c r="G409" s="4" t="str">
        <f t="shared" si="29"/>
        <v/>
      </c>
      <c r="H409" s="4" t="str">
        <f t="shared" si="30"/>
        <v/>
      </c>
    </row>
    <row r="410" spans="1:8">
      <c r="A410" s="6" t="str">
        <f t="shared" si="31"/>
        <v/>
      </c>
      <c r="B410" s="6" t="str">
        <f t="shared" si="27"/>
        <v/>
      </c>
      <c r="C410" s="9" t="str" cm="1">
        <f t="array" ref="C410">IF(ISNUMBER(A410),INDEX(BackgroundCalcs!$AV$2:$AV$500,'Grading Formulas'!$A410),"")</f>
        <v/>
      </c>
      <c r="D410" s="9" t="str" cm="1">
        <f t="array" ref="D410">IF(ISNUMBER($A410),INDEX(BackgroundCalcs!$AW$2:$AW$500,'Grading Formulas'!$A410),"")</f>
        <v/>
      </c>
      <c r="E410" s="4" t="str" cm="1">
        <f t="array" ref="E410">IF(ISNUMBER($A410),IF(A410=A409,"Reference2(False,True,"&amp;INDEX(BackgroundCalcs!$AX$2:$AX$500,'Grading Formulas'!$A410)&amp;")","Reference() AND MOEValue(.0001)"),"")</f>
        <v/>
      </c>
      <c r="F410" s="4" t="str">
        <f t="shared" si="28"/>
        <v/>
      </c>
      <c r="G410" s="4" t="str">
        <f t="shared" si="29"/>
        <v/>
      </c>
      <c r="H410" s="4" t="str">
        <f t="shared" si="30"/>
        <v/>
      </c>
    </row>
    <row r="411" spans="1:8">
      <c r="A411" s="6" t="str">
        <f t="shared" si="31"/>
        <v/>
      </c>
      <c r="B411" s="6" t="str">
        <f t="shared" si="27"/>
        <v/>
      </c>
      <c r="C411" s="9" t="str" cm="1">
        <f t="array" ref="C411">IF(ISNUMBER(A411),INDEX(BackgroundCalcs!$AV$2:$AV$500,'Grading Formulas'!$A411),"")</f>
        <v/>
      </c>
      <c r="D411" s="9" t="str" cm="1">
        <f t="array" ref="D411">IF(ISNUMBER($A411),INDEX(BackgroundCalcs!$AW$2:$AW$500,'Grading Formulas'!$A411),"")</f>
        <v/>
      </c>
      <c r="E411" s="4" t="str" cm="1">
        <f t="array" ref="E411">IF(ISNUMBER($A411),IF(A411=A410,"Reference2(False,True,"&amp;INDEX(BackgroundCalcs!$AX$2:$AX$500,'Grading Formulas'!$A411)&amp;")","Reference() AND MOEValue(.0001)"),"")</f>
        <v/>
      </c>
      <c r="F411" s="4" t="str">
        <f t="shared" si="28"/>
        <v/>
      </c>
      <c r="G411" s="4" t="str">
        <f t="shared" si="29"/>
        <v/>
      </c>
      <c r="H411" s="4" t="str">
        <f t="shared" si="30"/>
        <v/>
      </c>
    </row>
    <row r="412" spans="1:8">
      <c r="A412" s="6" t="str">
        <f t="shared" si="31"/>
        <v/>
      </c>
      <c r="B412" s="6" t="str">
        <f t="shared" si="27"/>
        <v/>
      </c>
      <c r="C412" s="9" t="str" cm="1">
        <f t="array" ref="C412">IF(ISNUMBER(A412),INDEX(BackgroundCalcs!$AV$2:$AV$500,'Grading Formulas'!$A412),"")</f>
        <v/>
      </c>
      <c r="D412" s="9" t="str" cm="1">
        <f t="array" ref="D412">IF(ISNUMBER($A412),INDEX(BackgroundCalcs!$AW$2:$AW$500,'Grading Formulas'!$A412),"")</f>
        <v/>
      </c>
      <c r="E412" s="4" t="str" cm="1">
        <f t="array" ref="E412">IF(ISNUMBER($A412),IF(A412=A411,"Reference2(False,True,"&amp;INDEX(BackgroundCalcs!$AX$2:$AX$500,'Grading Formulas'!$A412)&amp;")","Reference() AND MOEValue(.0001)"),"")</f>
        <v/>
      </c>
      <c r="F412" s="4" t="str">
        <f t="shared" si="28"/>
        <v/>
      </c>
      <c r="G412" s="4" t="str">
        <f t="shared" si="29"/>
        <v/>
      </c>
      <c r="H412" s="4" t="str">
        <f t="shared" si="30"/>
        <v/>
      </c>
    </row>
    <row r="413" spans="1:8">
      <c r="A413" s="6" t="str">
        <f t="shared" si="31"/>
        <v/>
      </c>
      <c r="B413" s="6" t="str">
        <f t="shared" si="27"/>
        <v/>
      </c>
      <c r="C413" s="9" t="str" cm="1">
        <f t="array" ref="C413">IF(ISNUMBER(A413),INDEX(BackgroundCalcs!$AV$2:$AV$500,'Grading Formulas'!$A413),"")</f>
        <v/>
      </c>
      <c r="D413" s="9" t="str" cm="1">
        <f t="array" ref="D413">IF(ISNUMBER($A413),INDEX(BackgroundCalcs!$AW$2:$AW$500,'Grading Formulas'!$A413),"")</f>
        <v/>
      </c>
      <c r="E413" s="4" t="str" cm="1">
        <f t="array" ref="E413">IF(ISNUMBER($A413),IF(A413=A412,"Reference2(False,True,"&amp;INDEX(BackgroundCalcs!$AX$2:$AX$500,'Grading Formulas'!$A413)&amp;")","Reference() AND MOEValue(.0001)"),"")</f>
        <v/>
      </c>
      <c r="F413" s="4" t="str">
        <f t="shared" si="28"/>
        <v/>
      </c>
      <c r="G413" s="4" t="str">
        <f t="shared" si="29"/>
        <v/>
      </c>
      <c r="H413" s="4" t="str">
        <f t="shared" si="30"/>
        <v/>
      </c>
    </row>
    <row r="414" spans="1:8">
      <c r="A414" s="6" t="str">
        <f t="shared" si="31"/>
        <v/>
      </c>
      <c r="B414" s="6" t="str">
        <f t="shared" si="27"/>
        <v/>
      </c>
      <c r="C414" s="9" t="str" cm="1">
        <f t="array" ref="C414">IF(ISNUMBER(A414),INDEX(BackgroundCalcs!$AV$2:$AV$500,'Grading Formulas'!$A414),"")</f>
        <v/>
      </c>
      <c r="D414" s="9" t="str" cm="1">
        <f t="array" ref="D414">IF(ISNUMBER($A414),INDEX(BackgroundCalcs!$AW$2:$AW$500,'Grading Formulas'!$A414),"")</f>
        <v/>
      </c>
      <c r="E414" s="4" t="str" cm="1">
        <f t="array" ref="E414">IF(ISNUMBER($A414),IF(A414=A413,"Reference2(False,True,"&amp;INDEX(BackgroundCalcs!$AX$2:$AX$500,'Grading Formulas'!$A414)&amp;")","Reference() AND MOEValue(.0001)"),"")</f>
        <v/>
      </c>
      <c r="F414" s="4" t="str">
        <f t="shared" si="28"/>
        <v/>
      </c>
      <c r="G414" s="4" t="str">
        <f t="shared" si="29"/>
        <v/>
      </c>
      <c r="H414" s="4" t="str">
        <f t="shared" si="30"/>
        <v/>
      </c>
    </row>
    <row r="415" spans="1:8">
      <c r="A415" s="6" t="str">
        <f t="shared" si="31"/>
        <v/>
      </c>
      <c r="B415" s="6" t="str">
        <f t="shared" si="27"/>
        <v/>
      </c>
      <c r="C415" s="9" t="str" cm="1">
        <f t="array" ref="C415">IF(ISNUMBER(A415),INDEX(BackgroundCalcs!$AV$2:$AV$500,'Grading Formulas'!$A415),"")</f>
        <v/>
      </c>
      <c r="D415" s="9" t="str" cm="1">
        <f t="array" ref="D415">IF(ISNUMBER($A415),INDEX(BackgroundCalcs!$AW$2:$AW$500,'Grading Formulas'!$A415),"")</f>
        <v/>
      </c>
      <c r="E415" s="4" t="str" cm="1">
        <f t="array" ref="E415">IF(ISNUMBER($A415),IF(A415=A414,"Reference2(False,True,"&amp;INDEX(BackgroundCalcs!$AX$2:$AX$500,'Grading Formulas'!$A415)&amp;")","Reference() AND MOEValue(.0001)"),"")</f>
        <v/>
      </c>
      <c r="F415" s="4" t="str">
        <f t="shared" si="28"/>
        <v/>
      </c>
      <c r="G415" s="4" t="str">
        <f t="shared" si="29"/>
        <v/>
      </c>
      <c r="H415" s="4" t="str">
        <f t="shared" si="30"/>
        <v/>
      </c>
    </row>
    <row r="416" spans="1:8">
      <c r="A416" s="6" t="str">
        <f t="shared" si="31"/>
        <v/>
      </c>
      <c r="B416" s="6" t="str">
        <f t="shared" si="27"/>
        <v/>
      </c>
      <c r="C416" s="9" t="str" cm="1">
        <f t="array" ref="C416">IF(ISNUMBER(A416),INDEX(BackgroundCalcs!$AV$2:$AV$500,'Grading Formulas'!$A416),"")</f>
        <v/>
      </c>
      <c r="D416" s="9" t="str" cm="1">
        <f t="array" ref="D416">IF(ISNUMBER($A416),INDEX(BackgroundCalcs!$AW$2:$AW$500,'Grading Formulas'!$A416),"")</f>
        <v/>
      </c>
      <c r="E416" s="4" t="str" cm="1">
        <f t="array" ref="E416">IF(ISNUMBER($A416),IF(A416=A415,"Reference2(False,True,"&amp;INDEX(BackgroundCalcs!$AX$2:$AX$500,'Grading Formulas'!$A416)&amp;")","Reference() AND MOEValue(.0001)"),"")</f>
        <v/>
      </c>
      <c r="F416" s="4" t="str">
        <f t="shared" si="28"/>
        <v/>
      </c>
      <c r="G416" s="4" t="str">
        <f t="shared" si="29"/>
        <v/>
      </c>
      <c r="H416" s="4" t="str">
        <f t="shared" si="30"/>
        <v/>
      </c>
    </row>
    <row r="417" spans="1:8">
      <c r="A417" s="6" t="str">
        <f t="shared" si="31"/>
        <v/>
      </c>
      <c r="B417" s="6" t="str">
        <f t="shared" si="27"/>
        <v/>
      </c>
      <c r="C417" s="9" t="str" cm="1">
        <f t="array" ref="C417">IF(ISNUMBER(A417),INDEX(BackgroundCalcs!$AV$2:$AV$500,'Grading Formulas'!$A417),"")</f>
        <v/>
      </c>
      <c r="D417" s="9" t="str" cm="1">
        <f t="array" ref="D417">IF(ISNUMBER($A417),INDEX(BackgroundCalcs!$AW$2:$AW$500,'Grading Formulas'!$A417),"")</f>
        <v/>
      </c>
      <c r="E417" s="4" t="str" cm="1">
        <f t="array" ref="E417">IF(ISNUMBER($A417),IF(A417=A416,"Reference2(False,True,"&amp;INDEX(BackgroundCalcs!$AX$2:$AX$500,'Grading Formulas'!$A417)&amp;")","Reference() AND MOEValue(.0001)"),"")</f>
        <v/>
      </c>
      <c r="F417" s="4" t="str">
        <f t="shared" si="28"/>
        <v/>
      </c>
      <c r="G417" s="4" t="str">
        <f t="shared" si="29"/>
        <v/>
      </c>
      <c r="H417" s="4" t="str">
        <f t="shared" si="30"/>
        <v/>
      </c>
    </row>
    <row r="418" spans="1:8">
      <c r="A418" s="6" t="str">
        <f t="shared" si="31"/>
        <v/>
      </c>
      <c r="B418" s="6" t="str">
        <f t="shared" si="27"/>
        <v/>
      </c>
      <c r="C418" s="9" t="str" cm="1">
        <f t="array" ref="C418">IF(ISNUMBER(A418),INDEX(BackgroundCalcs!$AV$2:$AV$500,'Grading Formulas'!$A418),"")</f>
        <v/>
      </c>
      <c r="D418" s="9" t="str" cm="1">
        <f t="array" ref="D418">IF(ISNUMBER($A418),INDEX(BackgroundCalcs!$AW$2:$AW$500,'Grading Formulas'!$A418),"")</f>
        <v/>
      </c>
      <c r="E418" s="4" t="str" cm="1">
        <f t="array" ref="E418">IF(ISNUMBER($A418),IF(A418=A417,"Reference2(False,True,"&amp;INDEX(BackgroundCalcs!$AX$2:$AX$500,'Grading Formulas'!$A418)&amp;")","Reference() AND MOEValue(.0001)"),"")</f>
        <v/>
      </c>
      <c r="F418" s="4" t="str">
        <f t="shared" si="28"/>
        <v/>
      </c>
      <c r="G418" s="4" t="str">
        <f t="shared" si="29"/>
        <v/>
      </c>
      <c r="H418" s="4" t="str">
        <f t="shared" si="30"/>
        <v/>
      </c>
    </row>
    <row r="419" spans="1:8">
      <c r="A419" s="6" t="str">
        <f t="shared" si="31"/>
        <v/>
      </c>
      <c r="B419" s="6" t="str">
        <f t="shared" si="27"/>
        <v/>
      </c>
      <c r="C419" s="9" t="str" cm="1">
        <f t="array" ref="C419">IF(ISNUMBER(A419),INDEX(BackgroundCalcs!$AV$2:$AV$500,'Grading Formulas'!$A419),"")</f>
        <v/>
      </c>
      <c r="D419" s="9" t="str" cm="1">
        <f t="array" ref="D419">IF(ISNUMBER($A419),INDEX(BackgroundCalcs!$AW$2:$AW$500,'Grading Formulas'!$A419),"")</f>
        <v/>
      </c>
      <c r="E419" s="4" t="str" cm="1">
        <f t="array" ref="E419">IF(ISNUMBER($A419),IF(A419=A418,"Reference2(False,True,"&amp;INDEX(BackgroundCalcs!$AX$2:$AX$500,'Grading Formulas'!$A419)&amp;")","Reference() AND MOEValue(.0001)"),"")</f>
        <v/>
      </c>
      <c r="F419" s="4" t="str">
        <f t="shared" si="28"/>
        <v/>
      </c>
      <c r="G419" s="4" t="str">
        <f t="shared" si="29"/>
        <v/>
      </c>
      <c r="H419" s="4" t="str">
        <f t="shared" si="30"/>
        <v/>
      </c>
    </row>
    <row r="420" spans="1:8">
      <c r="A420" s="6" t="str">
        <f t="shared" si="31"/>
        <v/>
      </c>
      <c r="B420" s="6" t="str">
        <f t="shared" si="27"/>
        <v/>
      </c>
      <c r="C420" s="9" t="str" cm="1">
        <f t="array" ref="C420">IF(ISNUMBER(A420),INDEX(BackgroundCalcs!$AV$2:$AV$500,'Grading Formulas'!$A420),"")</f>
        <v/>
      </c>
      <c r="D420" s="9" t="str" cm="1">
        <f t="array" ref="D420">IF(ISNUMBER($A420),INDEX(BackgroundCalcs!$AW$2:$AW$500,'Grading Formulas'!$A420),"")</f>
        <v/>
      </c>
      <c r="E420" s="4" t="str" cm="1">
        <f t="array" ref="E420">IF(ISNUMBER($A420),IF(A420=A419,"Reference2(False,True,"&amp;INDEX(BackgroundCalcs!$AX$2:$AX$500,'Grading Formulas'!$A420)&amp;")","Reference() AND MOEValue(.0001)"),"")</f>
        <v/>
      </c>
      <c r="F420" s="4" t="str">
        <f t="shared" si="28"/>
        <v/>
      </c>
      <c r="G420" s="4" t="str">
        <f t="shared" si="29"/>
        <v/>
      </c>
      <c r="H420" s="4" t="str">
        <f t="shared" si="30"/>
        <v/>
      </c>
    </row>
    <row r="421" spans="1:8">
      <c r="A421" s="6" t="str">
        <f t="shared" si="31"/>
        <v/>
      </c>
      <c r="B421" s="6" t="str">
        <f t="shared" si="27"/>
        <v/>
      </c>
      <c r="C421" s="9" t="str" cm="1">
        <f t="array" ref="C421">IF(ISNUMBER(A421),INDEX(BackgroundCalcs!$AV$2:$AV$500,'Grading Formulas'!$A421),"")</f>
        <v/>
      </c>
      <c r="D421" s="9" t="str" cm="1">
        <f t="array" ref="D421">IF(ISNUMBER($A421),INDEX(BackgroundCalcs!$AW$2:$AW$500,'Grading Formulas'!$A421),"")</f>
        <v/>
      </c>
      <c r="E421" s="4" t="str" cm="1">
        <f t="array" ref="E421">IF(ISNUMBER($A421),IF(A421=A420,"Reference2(False,True,"&amp;INDEX(BackgroundCalcs!$AX$2:$AX$500,'Grading Formulas'!$A421)&amp;")","Reference() AND MOEValue(.0001)"),"")</f>
        <v/>
      </c>
      <c r="F421" s="4" t="str">
        <f t="shared" si="28"/>
        <v/>
      </c>
      <c r="G421" s="4" t="str">
        <f t="shared" si="29"/>
        <v/>
      </c>
      <c r="H421" s="4" t="str">
        <f t="shared" si="30"/>
        <v/>
      </c>
    </row>
    <row r="422" spans="1:8">
      <c r="A422" s="6" t="str">
        <f t="shared" si="31"/>
        <v/>
      </c>
      <c r="B422" s="6" t="str">
        <f t="shared" si="27"/>
        <v/>
      </c>
      <c r="C422" s="9" t="str" cm="1">
        <f t="array" ref="C422">IF(ISNUMBER(A422),INDEX(BackgroundCalcs!$AV$2:$AV$500,'Grading Formulas'!$A422),"")</f>
        <v/>
      </c>
      <c r="D422" s="9" t="str" cm="1">
        <f t="array" ref="D422">IF(ISNUMBER($A422),INDEX(BackgroundCalcs!$AW$2:$AW$500,'Grading Formulas'!$A422),"")</f>
        <v/>
      </c>
      <c r="E422" s="4" t="str" cm="1">
        <f t="array" ref="E422">IF(ISNUMBER($A422),IF(A422=A421,"Reference2(False,True,"&amp;INDEX(BackgroundCalcs!$AX$2:$AX$500,'Grading Formulas'!$A422)&amp;")","Reference() AND MOEValue(.0001)"),"")</f>
        <v/>
      </c>
      <c r="F422" s="4" t="str">
        <f t="shared" si="28"/>
        <v/>
      </c>
      <c r="G422" s="4" t="str">
        <f t="shared" si="29"/>
        <v/>
      </c>
      <c r="H422" s="4" t="str">
        <f t="shared" si="30"/>
        <v/>
      </c>
    </row>
    <row r="423" spans="1:8">
      <c r="A423" s="6" t="str">
        <f t="shared" si="31"/>
        <v/>
      </c>
      <c r="B423" s="6" t="str">
        <f t="shared" si="27"/>
        <v/>
      </c>
      <c r="C423" s="9" t="str" cm="1">
        <f t="array" ref="C423">IF(ISNUMBER(A423),INDEX(BackgroundCalcs!$AV$2:$AV$500,'Grading Formulas'!$A423),"")</f>
        <v/>
      </c>
      <c r="D423" s="9" t="str" cm="1">
        <f t="array" ref="D423">IF(ISNUMBER($A423),INDEX(BackgroundCalcs!$AW$2:$AW$500,'Grading Formulas'!$A423),"")</f>
        <v/>
      </c>
      <c r="E423" s="4" t="str" cm="1">
        <f t="array" ref="E423">IF(ISNUMBER($A423),IF(A423=A422,"Reference2(False,True,"&amp;INDEX(BackgroundCalcs!$AX$2:$AX$500,'Grading Formulas'!$A423)&amp;")","Reference() AND MOEValue(.0001)"),"")</f>
        <v/>
      </c>
      <c r="F423" s="4" t="str">
        <f t="shared" si="28"/>
        <v/>
      </c>
      <c r="G423" s="4" t="str">
        <f t="shared" si="29"/>
        <v/>
      </c>
      <c r="H423" s="4" t="str">
        <f t="shared" si="30"/>
        <v/>
      </c>
    </row>
    <row r="424" spans="1:8">
      <c r="A424" s="6" t="str">
        <f t="shared" si="31"/>
        <v/>
      </c>
      <c r="B424" s="6" t="str">
        <f t="shared" si="27"/>
        <v/>
      </c>
      <c r="C424" s="9" t="str" cm="1">
        <f t="array" ref="C424">IF(ISNUMBER(A424),INDEX(BackgroundCalcs!$AV$2:$AV$500,'Grading Formulas'!$A424),"")</f>
        <v/>
      </c>
      <c r="D424" s="9" t="str" cm="1">
        <f t="array" ref="D424">IF(ISNUMBER($A424),INDEX(BackgroundCalcs!$AW$2:$AW$500,'Grading Formulas'!$A424),"")</f>
        <v/>
      </c>
      <c r="E424" s="4" t="str" cm="1">
        <f t="array" ref="E424">IF(ISNUMBER($A424),IF(A424=A423,"Reference2(False,True,"&amp;INDEX(BackgroundCalcs!$AX$2:$AX$500,'Grading Formulas'!$A424)&amp;")","Reference() AND MOEValue(.0001)"),"")</f>
        <v/>
      </c>
      <c r="F424" s="4" t="str">
        <f t="shared" si="28"/>
        <v/>
      </c>
      <c r="G424" s="4" t="str">
        <f t="shared" si="29"/>
        <v/>
      </c>
      <c r="H424" s="4" t="str">
        <f t="shared" si="30"/>
        <v/>
      </c>
    </row>
    <row r="425" spans="1:8">
      <c r="A425" s="6" t="str">
        <f t="shared" si="31"/>
        <v/>
      </c>
      <c r="B425" s="6" t="str">
        <f t="shared" si="27"/>
        <v/>
      </c>
      <c r="C425" s="9" t="str" cm="1">
        <f t="array" ref="C425">IF(ISNUMBER(A425),INDEX(BackgroundCalcs!$AV$2:$AV$500,'Grading Formulas'!$A425),"")</f>
        <v/>
      </c>
      <c r="D425" s="9" t="str" cm="1">
        <f t="array" ref="D425">IF(ISNUMBER($A425),INDEX(BackgroundCalcs!$AW$2:$AW$500,'Grading Formulas'!$A425),"")</f>
        <v/>
      </c>
      <c r="E425" s="4" t="str" cm="1">
        <f t="array" ref="E425">IF(ISNUMBER($A425),IF(A425=A424,"Reference2(False,True,"&amp;INDEX(BackgroundCalcs!$AX$2:$AX$500,'Grading Formulas'!$A425)&amp;")","Reference() AND MOEValue(.0001)"),"")</f>
        <v/>
      </c>
      <c r="F425" s="4" t="str">
        <f t="shared" si="28"/>
        <v/>
      </c>
      <c r="G425" s="4" t="str">
        <f t="shared" si="29"/>
        <v/>
      </c>
      <c r="H425" s="4" t="str">
        <f t="shared" si="30"/>
        <v/>
      </c>
    </row>
    <row r="426" spans="1:8">
      <c r="A426" s="6" t="str">
        <f t="shared" si="31"/>
        <v/>
      </c>
      <c r="B426" s="6" t="str">
        <f t="shared" si="27"/>
        <v/>
      </c>
      <c r="C426" s="9" t="str" cm="1">
        <f t="array" ref="C426">IF(ISNUMBER(A426),INDEX(BackgroundCalcs!$AV$2:$AV$500,'Grading Formulas'!$A426),"")</f>
        <v/>
      </c>
      <c r="D426" s="9" t="str" cm="1">
        <f t="array" ref="D426">IF(ISNUMBER($A426),INDEX(BackgroundCalcs!$AW$2:$AW$500,'Grading Formulas'!$A426),"")</f>
        <v/>
      </c>
      <c r="E426" s="4" t="str" cm="1">
        <f t="array" ref="E426">IF(ISNUMBER($A426),IF(A426=A425,"Reference2(False,True,"&amp;INDEX(BackgroundCalcs!$AX$2:$AX$500,'Grading Formulas'!$A426)&amp;")","Reference() AND MOEValue(.0001)"),"")</f>
        <v/>
      </c>
      <c r="F426" s="4" t="str">
        <f t="shared" si="28"/>
        <v/>
      </c>
      <c r="G426" s="4" t="str">
        <f t="shared" si="29"/>
        <v/>
      </c>
      <c r="H426" s="4" t="str">
        <f t="shared" si="30"/>
        <v/>
      </c>
    </row>
    <row r="427" spans="1:8">
      <c r="A427" s="6" t="str">
        <f t="shared" si="31"/>
        <v/>
      </c>
      <c r="B427" s="6" t="str">
        <f t="shared" si="27"/>
        <v/>
      </c>
      <c r="C427" s="9" t="str" cm="1">
        <f t="array" ref="C427">IF(ISNUMBER(A427),INDEX(BackgroundCalcs!$AV$2:$AV$500,'Grading Formulas'!$A427),"")</f>
        <v/>
      </c>
      <c r="D427" s="9" t="str" cm="1">
        <f t="array" ref="D427">IF(ISNUMBER($A427),INDEX(BackgroundCalcs!$AW$2:$AW$500,'Grading Formulas'!$A427),"")</f>
        <v/>
      </c>
      <c r="E427" s="4" t="str" cm="1">
        <f t="array" ref="E427">IF(ISNUMBER($A427),IF(A427=A426,"Reference2(False,True,"&amp;INDEX(BackgroundCalcs!$AX$2:$AX$500,'Grading Formulas'!$A427)&amp;")","Reference() AND MOEValue(.0001)"),"")</f>
        <v/>
      </c>
      <c r="F427" s="4" t="str">
        <f t="shared" si="28"/>
        <v/>
      </c>
      <c r="G427" s="4" t="str">
        <f t="shared" si="29"/>
        <v/>
      </c>
      <c r="H427" s="4" t="str">
        <f t="shared" si="30"/>
        <v/>
      </c>
    </row>
    <row r="428" spans="1:8">
      <c r="A428" s="6" t="str">
        <f t="shared" si="31"/>
        <v/>
      </c>
      <c r="B428" s="6" t="str">
        <f t="shared" si="27"/>
        <v/>
      </c>
      <c r="C428" s="9" t="str" cm="1">
        <f t="array" ref="C428">IF(ISNUMBER(A428),INDEX(BackgroundCalcs!$AV$2:$AV$500,'Grading Formulas'!$A428),"")</f>
        <v/>
      </c>
      <c r="D428" s="9" t="str" cm="1">
        <f t="array" ref="D428">IF(ISNUMBER($A428),INDEX(BackgroundCalcs!$AW$2:$AW$500,'Grading Formulas'!$A428),"")</f>
        <v/>
      </c>
      <c r="E428" s="4" t="str" cm="1">
        <f t="array" ref="E428">IF(ISNUMBER($A428),IF(A428=A427,"Reference2(False,True,"&amp;INDEX(BackgroundCalcs!$AX$2:$AX$500,'Grading Formulas'!$A428)&amp;")","Reference() AND MOEValue(.0001)"),"")</f>
        <v/>
      </c>
      <c r="F428" s="4" t="str">
        <f t="shared" si="28"/>
        <v/>
      </c>
      <c r="G428" s="4" t="str">
        <f t="shared" si="29"/>
        <v/>
      </c>
      <c r="H428" s="4" t="str">
        <f t="shared" si="30"/>
        <v/>
      </c>
    </row>
    <row r="429" spans="1:8">
      <c r="A429" s="6" t="str">
        <f t="shared" si="31"/>
        <v/>
      </c>
      <c r="B429" s="6" t="str">
        <f t="shared" si="27"/>
        <v/>
      </c>
      <c r="C429" s="9" t="str" cm="1">
        <f t="array" ref="C429">IF(ISNUMBER(A429),INDEX(BackgroundCalcs!$AV$2:$AV$500,'Grading Formulas'!$A429),"")</f>
        <v/>
      </c>
      <c r="D429" s="9" t="str" cm="1">
        <f t="array" ref="D429">IF(ISNUMBER($A429),INDEX(BackgroundCalcs!$AW$2:$AW$500,'Grading Formulas'!$A429),"")</f>
        <v/>
      </c>
      <c r="E429" s="4" t="str" cm="1">
        <f t="array" ref="E429">IF(ISNUMBER($A429),IF(A429=A428,"Reference2(False,True,"&amp;INDEX(BackgroundCalcs!$AX$2:$AX$500,'Grading Formulas'!$A429)&amp;")","Reference() AND MOEValue(.0001)"),"")</f>
        <v/>
      </c>
      <c r="F429" s="4" t="str">
        <f t="shared" si="28"/>
        <v/>
      </c>
      <c r="G429" s="4" t="str">
        <f t="shared" si="29"/>
        <v/>
      </c>
      <c r="H429" s="4" t="str">
        <f t="shared" si="30"/>
        <v/>
      </c>
    </row>
    <row r="430" spans="1:8">
      <c r="A430" s="6" t="str">
        <f t="shared" si="31"/>
        <v/>
      </c>
      <c r="B430" s="6" t="str">
        <f t="shared" si="27"/>
        <v/>
      </c>
      <c r="C430" s="9" t="str" cm="1">
        <f t="array" ref="C430">IF(ISNUMBER(A430),INDEX(BackgroundCalcs!$AV$2:$AV$500,'Grading Formulas'!$A430),"")</f>
        <v/>
      </c>
      <c r="D430" s="9" t="str" cm="1">
        <f t="array" ref="D430">IF(ISNUMBER($A430),INDEX(BackgroundCalcs!$AW$2:$AW$500,'Grading Formulas'!$A430),"")</f>
        <v/>
      </c>
      <c r="E430" s="4" t="str" cm="1">
        <f t="array" ref="E430">IF(ISNUMBER($A430),IF(A430=A429,"Reference2(False,True,"&amp;INDEX(BackgroundCalcs!$AX$2:$AX$500,'Grading Formulas'!$A430)&amp;")","Reference() AND MOEValue(.0001)"),"")</f>
        <v/>
      </c>
      <c r="F430" s="4" t="str">
        <f t="shared" si="28"/>
        <v/>
      </c>
      <c r="G430" s="4" t="str">
        <f t="shared" si="29"/>
        <v/>
      </c>
      <c r="H430" s="4" t="str">
        <f t="shared" si="30"/>
        <v/>
      </c>
    </row>
    <row r="431" spans="1:8">
      <c r="A431" s="6" t="str">
        <f t="shared" si="31"/>
        <v/>
      </c>
      <c r="B431" s="6" t="str">
        <f t="shared" si="27"/>
        <v/>
      </c>
      <c r="C431" s="9" t="str" cm="1">
        <f t="array" ref="C431">IF(ISNUMBER(A431),INDEX(BackgroundCalcs!$AV$2:$AV$500,'Grading Formulas'!$A431),"")</f>
        <v/>
      </c>
      <c r="D431" s="9" t="str" cm="1">
        <f t="array" ref="D431">IF(ISNUMBER($A431),INDEX(BackgroundCalcs!$AW$2:$AW$500,'Grading Formulas'!$A431),"")</f>
        <v/>
      </c>
      <c r="E431" s="4" t="str" cm="1">
        <f t="array" ref="E431">IF(ISNUMBER($A431),IF(A431=A430,"Reference2(False,True,"&amp;INDEX(BackgroundCalcs!$AX$2:$AX$500,'Grading Formulas'!$A431)&amp;")","Reference() AND MOEValue(.0001)"),"")</f>
        <v/>
      </c>
      <c r="F431" s="4" t="str">
        <f t="shared" si="28"/>
        <v/>
      </c>
      <c r="G431" s="4" t="str">
        <f t="shared" si="29"/>
        <v/>
      </c>
      <c r="H431" s="4" t="str">
        <f t="shared" si="30"/>
        <v/>
      </c>
    </row>
    <row r="432" spans="1:8">
      <c r="A432" s="6" t="str">
        <f t="shared" si="31"/>
        <v/>
      </c>
      <c r="B432" s="6" t="str">
        <f t="shared" si="27"/>
        <v/>
      </c>
      <c r="C432" s="9" t="str" cm="1">
        <f t="array" ref="C432">IF(ISNUMBER(A432),INDEX(BackgroundCalcs!$AV$2:$AV$500,'Grading Formulas'!$A432),"")</f>
        <v/>
      </c>
      <c r="D432" s="9" t="str" cm="1">
        <f t="array" ref="D432">IF(ISNUMBER($A432),INDEX(BackgroundCalcs!$AW$2:$AW$500,'Grading Formulas'!$A432),"")</f>
        <v/>
      </c>
      <c r="E432" s="4" t="str" cm="1">
        <f t="array" ref="E432">IF(ISNUMBER($A432),IF(A432=A431,"Reference2(False,True,"&amp;INDEX(BackgroundCalcs!$AX$2:$AX$500,'Grading Formulas'!$A432)&amp;")","Reference() AND MOEValue(.0001)"),"")</f>
        <v/>
      </c>
      <c r="F432" s="4" t="str">
        <f t="shared" si="28"/>
        <v/>
      </c>
      <c r="G432" s="4" t="str">
        <f t="shared" si="29"/>
        <v/>
      </c>
      <c r="H432" s="4" t="str">
        <f t="shared" si="30"/>
        <v/>
      </c>
    </row>
    <row r="433" spans="1:8">
      <c r="A433" s="6" t="str">
        <f t="shared" si="31"/>
        <v/>
      </c>
      <c r="B433" s="6" t="str">
        <f t="shared" si="27"/>
        <v/>
      </c>
      <c r="C433" s="9" t="str" cm="1">
        <f t="array" ref="C433">IF(ISNUMBER(A433),INDEX(BackgroundCalcs!$AV$2:$AV$500,'Grading Formulas'!$A433),"")</f>
        <v/>
      </c>
      <c r="D433" s="9" t="str" cm="1">
        <f t="array" ref="D433">IF(ISNUMBER($A433),INDEX(BackgroundCalcs!$AW$2:$AW$500,'Grading Formulas'!$A433),"")</f>
        <v/>
      </c>
      <c r="E433" s="4" t="str" cm="1">
        <f t="array" ref="E433">IF(ISNUMBER($A433),IF(A433=A432,"Reference2(False,True,"&amp;INDEX(BackgroundCalcs!$AX$2:$AX$500,'Grading Formulas'!$A433)&amp;")","Reference() AND MOEValue(.0001)"),"")</f>
        <v/>
      </c>
      <c r="F433" s="4" t="str">
        <f t="shared" si="28"/>
        <v/>
      </c>
      <c r="G433" s="4" t="str">
        <f t="shared" si="29"/>
        <v/>
      </c>
      <c r="H433" s="4" t="str">
        <f t="shared" si="30"/>
        <v/>
      </c>
    </row>
    <row r="434" spans="1:8">
      <c r="A434" s="6" t="str">
        <f t="shared" si="31"/>
        <v/>
      </c>
      <c r="B434" s="6" t="str">
        <f t="shared" si="27"/>
        <v/>
      </c>
      <c r="C434" s="9" t="str" cm="1">
        <f t="array" ref="C434">IF(ISNUMBER(A434),INDEX(BackgroundCalcs!$AV$2:$AV$500,'Grading Formulas'!$A434),"")</f>
        <v/>
      </c>
      <c r="D434" s="9" t="str" cm="1">
        <f t="array" ref="D434">IF(ISNUMBER($A434),INDEX(BackgroundCalcs!$AW$2:$AW$500,'Grading Formulas'!$A434),"")</f>
        <v/>
      </c>
      <c r="E434" s="4" t="str" cm="1">
        <f t="array" ref="E434">IF(ISNUMBER($A434),IF(A434=A433,"Reference2(False,True,"&amp;INDEX(BackgroundCalcs!$AX$2:$AX$500,'Grading Formulas'!$A434)&amp;")","Reference() AND MOEValue(.0001)"),"")</f>
        <v/>
      </c>
      <c r="F434" s="4" t="str">
        <f t="shared" si="28"/>
        <v/>
      </c>
      <c r="G434" s="4" t="str">
        <f t="shared" si="29"/>
        <v/>
      </c>
      <c r="H434" s="4" t="str">
        <f t="shared" si="30"/>
        <v/>
      </c>
    </row>
    <row r="435" spans="1:8">
      <c r="A435" s="6" t="str">
        <f t="shared" si="31"/>
        <v/>
      </c>
      <c r="B435" s="6" t="str">
        <f t="shared" si="27"/>
        <v/>
      </c>
      <c r="C435" s="9" t="str" cm="1">
        <f t="array" ref="C435">IF(ISNUMBER(A435),INDEX(BackgroundCalcs!$AV$2:$AV$500,'Grading Formulas'!$A435),"")</f>
        <v/>
      </c>
      <c r="D435" s="9" t="str" cm="1">
        <f t="array" ref="D435">IF(ISNUMBER($A435),INDEX(BackgroundCalcs!$AW$2:$AW$500,'Grading Formulas'!$A435),"")</f>
        <v/>
      </c>
      <c r="E435" s="4" t="str" cm="1">
        <f t="array" ref="E435">IF(ISNUMBER($A435),IF(A435=A434,"Reference2(False,True,"&amp;INDEX(BackgroundCalcs!$AX$2:$AX$500,'Grading Formulas'!$A435)&amp;")","Reference() AND MOEValue(.0001)"),"")</f>
        <v/>
      </c>
      <c r="F435" s="4" t="str">
        <f t="shared" si="28"/>
        <v/>
      </c>
      <c r="G435" s="4" t="str">
        <f t="shared" si="29"/>
        <v/>
      </c>
      <c r="H435" s="4" t="str">
        <f t="shared" si="30"/>
        <v/>
      </c>
    </row>
    <row r="436" spans="1:8">
      <c r="A436" s="6" t="str">
        <f t="shared" si="31"/>
        <v/>
      </c>
      <c r="B436" s="6" t="str">
        <f t="shared" si="27"/>
        <v/>
      </c>
      <c r="C436" s="9" t="str" cm="1">
        <f t="array" ref="C436">IF(ISNUMBER(A436),INDEX(BackgroundCalcs!$AV$2:$AV$500,'Grading Formulas'!$A436),"")</f>
        <v/>
      </c>
      <c r="D436" s="9" t="str" cm="1">
        <f t="array" ref="D436">IF(ISNUMBER($A436),INDEX(BackgroundCalcs!$AW$2:$AW$500,'Grading Formulas'!$A436),"")</f>
        <v/>
      </c>
      <c r="E436" s="4" t="str" cm="1">
        <f t="array" ref="E436">IF(ISNUMBER($A436),IF(A436=A435,"Reference2(False,True,"&amp;INDEX(BackgroundCalcs!$AX$2:$AX$500,'Grading Formulas'!$A436)&amp;")","Reference() AND MOEValue(.0001)"),"")</f>
        <v/>
      </c>
      <c r="F436" s="4" t="str">
        <f t="shared" si="28"/>
        <v/>
      </c>
      <c r="G436" s="4" t="str">
        <f t="shared" si="29"/>
        <v/>
      </c>
      <c r="H436" s="4" t="str">
        <f t="shared" si="30"/>
        <v/>
      </c>
    </row>
    <row r="437" spans="1:8">
      <c r="A437" s="6" t="str">
        <f t="shared" si="31"/>
        <v/>
      </c>
      <c r="B437" s="6" t="str">
        <f t="shared" si="27"/>
        <v/>
      </c>
      <c r="C437" s="9" t="str" cm="1">
        <f t="array" ref="C437">IF(ISNUMBER(A437),INDEX(BackgroundCalcs!$AV$2:$AV$500,'Grading Formulas'!$A437),"")</f>
        <v/>
      </c>
      <c r="D437" s="9" t="str" cm="1">
        <f t="array" ref="D437">IF(ISNUMBER($A437),INDEX(BackgroundCalcs!$AW$2:$AW$500,'Grading Formulas'!$A437),"")</f>
        <v/>
      </c>
      <c r="E437" s="4" t="str" cm="1">
        <f t="array" ref="E437">IF(ISNUMBER($A437),IF(A437=A436,"Reference2(False,True,"&amp;INDEX(BackgroundCalcs!$AX$2:$AX$500,'Grading Formulas'!$A437)&amp;")","Reference() AND MOEValue(.0001)"),"")</f>
        <v/>
      </c>
      <c r="F437" s="4" t="str">
        <f t="shared" si="28"/>
        <v/>
      </c>
      <c r="G437" s="4" t="str">
        <f t="shared" si="29"/>
        <v/>
      </c>
      <c r="H437" s="4" t="str">
        <f t="shared" si="30"/>
        <v/>
      </c>
    </row>
    <row r="438" spans="1:8">
      <c r="A438" s="6" t="str">
        <f t="shared" si="31"/>
        <v/>
      </c>
      <c r="B438" s="6" t="str">
        <f t="shared" si="27"/>
        <v/>
      </c>
      <c r="C438" s="9" t="str" cm="1">
        <f t="array" ref="C438">IF(ISNUMBER(A438),INDEX(BackgroundCalcs!$AV$2:$AV$500,'Grading Formulas'!$A438),"")</f>
        <v/>
      </c>
      <c r="D438" s="9" t="str" cm="1">
        <f t="array" ref="D438">IF(ISNUMBER($A438),INDEX(BackgroundCalcs!$AW$2:$AW$500,'Grading Formulas'!$A438),"")</f>
        <v/>
      </c>
      <c r="E438" s="4" t="str" cm="1">
        <f t="array" ref="E438">IF(ISNUMBER($A438),IF(A438=A437,"Reference2(False,True,"&amp;INDEX(BackgroundCalcs!$AX$2:$AX$500,'Grading Formulas'!$A438)&amp;")","Reference() AND MOEValue(.0001)"),"")</f>
        <v/>
      </c>
      <c r="F438" s="4" t="str">
        <f t="shared" si="28"/>
        <v/>
      </c>
      <c r="G438" s="4" t="str">
        <f t="shared" si="29"/>
        <v/>
      </c>
      <c r="H438" s="4" t="str">
        <f t="shared" si="30"/>
        <v/>
      </c>
    </row>
    <row r="439" spans="1:8">
      <c r="A439" s="6" t="str">
        <f t="shared" si="31"/>
        <v/>
      </c>
      <c r="B439" s="6" t="str">
        <f t="shared" si="27"/>
        <v/>
      </c>
      <c r="C439" s="9" t="str" cm="1">
        <f t="array" ref="C439">IF(ISNUMBER(A439),INDEX(BackgroundCalcs!$AV$2:$AV$500,'Grading Formulas'!$A439),"")</f>
        <v/>
      </c>
      <c r="D439" s="9" t="str" cm="1">
        <f t="array" ref="D439">IF(ISNUMBER($A439),INDEX(BackgroundCalcs!$AW$2:$AW$500,'Grading Formulas'!$A439),"")</f>
        <v/>
      </c>
      <c r="E439" s="4" t="str" cm="1">
        <f t="array" ref="E439">IF(ISNUMBER($A439),IF(A439=A438,"Reference2(False,True,"&amp;INDEX(BackgroundCalcs!$AX$2:$AX$500,'Grading Formulas'!$A439)&amp;")","Reference() AND MOEValue(.0001)"),"")</f>
        <v/>
      </c>
      <c r="F439" s="4" t="str">
        <f t="shared" si="28"/>
        <v/>
      </c>
      <c r="G439" s="4" t="str">
        <f t="shared" si="29"/>
        <v/>
      </c>
      <c r="H439" s="4" t="str">
        <f t="shared" si="30"/>
        <v/>
      </c>
    </row>
    <row r="440" spans="1:8">
      <c r="A440" s="6" t="str">
        <f t="shared" si="31"/>
        <v/>
      </c>
      <c r="B440" s="6" t="str">
        <f t="shared" si="27"/>
        <v/>
      </c>
      <c r="C440" s="9" t="str" cm="1">
        <f t="array" ref="C440">IF(ISNUMBER(A440),INDEX(BackgroundCalcs!$AV$2:$AV$500,'Grading Formulas'!$A440),"")</f>
        <v/>
      </c>
      <c r="D440" s="9" t="str" cm="1">
        <f t="array" ref="D440">IF(ISNUMBER($A440),INDEX(BackgroundCalcs!$AW$2:$AW$500,'Grading Formulas'!$A440),"")</f>
        <v/>
      </c>
      <c r="E440" s="4" t="str" cm="1">
        <f t="array" ref="E440">IF(ISNUMBER($A440),IF(A440=A439,"Reference2(False,True,"&amp;INDEX(BackgroundCalcs!$AX$2:$AX$500,'Grading Formulas'!$A440)&amp;")","Reference() AND MOEValue(.0001)"),"")</f>
        <v/>
      </c>
      <c r="F440" s="4" t="str">
        <f t="shared" si="28"/>
        <v/>
      </c>
      <c r="G440" s="4" t="str">
        <f t="shared" si="29"/>
        <v/>
      </c>
      <c r="H440" s="4" t="str">
        <f t="shared" si="30"/>
        <v/>
      </c>
    </row>
    <row r="441" spans="1:8">
      <c r="A441" s="6" t="str">
        <f t="shared" si="31"/>
        <v/>
      </c>
      <c r="B441" s="6" t="str">
        <f t="shared" si="27"/>
        <v/>
      </c>
      <c r="C441" s="9" t="str" cm="1">
        <f t="array" ref="C441">IF(ISNUMBER(A441),INDEX(BackgroundCalcs!$AV$2:$AV$500,'Grading Formulas'!$A441),"")</f>
        <v/>
      </c>
      <c r="D441" s="9" t="str" cm="1">
        <f t="array" ref="D441">IF(ISNUMBER($A441),INDEX(BackgroundCalcs!$AW$2:$AW$500,'Grading Formulas'!$A441),"")</f>
        <v/>
      </c>
      <c r="E441" s="4" t="str" cm="1">
        <f t="array" ref="E441">IF(ISNUMBER($A441),IF(A441=A440,"Reference2(False,True,"&amp;INDEX(BackgroundCalcs!$AX$2:$AX$500,'Grading Formulas'!$A441)&amp;")","Reference() AND MOEValue(.0001)"),"")</f>
        <v/>
      </c>
      <c r="F441" s="4" t="str">
        <f t="shared" si="28"/>
        <v/>
      </c>
      <c r="G441" s="4" t="str">
        <f t="shared" si="29"/>
        <v/>
      </c>
      <c r="H441" s="4" t="str">
        <f t="shared" si="30"/>
        <v/>
      </c>
    </row>
    <row r="442" spans="1:8">
      <c r="A442" s="6" t="str">
        <f t="shared" si="31"/>
        <v/>
      </c>
      <c r="B442" s="6" t="str">
        <f t="shared" si="27"/>
        <v/>
      </c>
      <c r="C442" s="9" t="str" cm="1">
        <f t="array" ref="C442">IF(ISNUMBER(A442),INDEX(BackgroundCalcs!$AV$2:$AV$500,'Grading Formulas'!$A442),"")</f>
        <v/>
      </c>
      <c r="D442" s="9" t="str" cm="1">
        <f t="array" ref="D442">IF(ISNUMBER($A442),INDEX(BackgroundCalcs!$AW$2:$AW$500,'Grading Formulas'!$A442),"")</f>
        <v/>
      </c>
      <c r="E442" s="4" t="str" cm="1">
        <f t="array" ref="E442">IF(ISNUMBER($A442),IF(A442=A441,"Reference2(False,True,"&amp;INDEX(BackgroundCalcs!$AX$2:$AX$500,'Grading Formulas'!$A442)&amp;")","Reference() AND MOEValue(.0001)"),"")</f>
        <v/>
      </c>
      <c r="F442" s="4" t="str">
        <f t="shared" si="28"/>
        <v/>
      </c>
      <c r="G442" s="4" t="str">
        <f t="shared" si="29"/>
        <v/>
      </c>
      <c r="H442" s="4" t="str">
        <f t="shared" si="30"/>
        <v/>
      </c>
    </row>
    <row r="443" spans="1:8">
      <c r="A443" s="6" t="str">
        <f t="shared" si="31"/>
        <v/>
      </c>
      <c r="B443" s="6" t="str">
        <f t="shared" si="27"/>
        <v/>
      </c>
      <c r="C443" s="9" t="str" cm="1">
        <f t="array" ref="C443">IF(ISNUMBER(A443),INDEX(BackgroundCalcs!$AV$2:$AV$500,'Grading Formulas'!$A443),"")</f>
        <v/>
      </c>
      <c r="D443" s="9" t="str" cm="1">
        <f t="array" ref="D443">IF(ISNUMBER($A443),INDEX(BackgroundCalcs!$AW$2:$AW$500,'Grading Formulas'!$A443),"")</f>
        <v/>
      </c>
      <c r="E443" s="4" t="str" cm="1">
        <f t="array" ref="E443">IF(ISNUMBER($A443),IF(A443=A442,"Reference2(False,True,"&amp;INDEX(BackgroundCalcs!$AX$2:$AX$500,'Grading Formulas'!$A443)&amp;")","Reference() AND MOEValue(.0001)"),"")</f>
        <v/>
      </c>
      <c r="F443" s="4" t="str">
        <f t="shared" si="28"/>
        <v/>
      </c>
      <c r="G443" s="4" t="str">
        <f t="shared" si="29"/>
        <v/>
      </c>
      <c r="H443" s="4" t="str">
        <f t="shared" si="30"/>
        <v/>
      </c>
    </row>
    <row r="444" spans="1:8">
      <c r="A444" s="6" t="str">
        <f t="shared" si="31"/>
        <v/>
      </c>
      <c r="B444" s="6" t="str">
        <f t="shared" si="27"/>
        <v/>
      </c>
      <c r="C444" s="9" t="str" cm="1">
        <f t="array" ref="C444">IF(ISNUMBER(A444),INDEX(BackgroundCalcs!$AV$2:$AV$500,'Grading Formulas'!$A444),"")</f>
        <v/>
      </c>
      <c r="D444" s="9" t="str" cm="1">
        <f t="array" ref="D444">IF(ISNUMBER($A444),INDEX(BackgroundCalcs!$AW$2:$AW$500,'Grading Formulas'!$A444),"")</f>
        <v/>
      </c>
      <c r="E444" s="4" t="str" cm="1">
        <f t="array" ref="E444">IF(ISNUMBER($A444),IF(A444=A443,"Reference2(False,True,"&amp;INDEX(BackgroundCalcs!$AX$2:$AX$500,'Grading Formulas'!$A444)&amp;")","Reference() AND MOEValue(.0001)"),"")</f>
        <v/>
      </c>
      <c r="F444" s="4" t="str">
        <f t="shared" si="28"/>
        <v/>
      </c>
      <c r="G444" s="4" t="str">
        <f t="shared" si="29"/>
        <v/>
      </c>
      <c r="H444" s="4" t="str">
        <f t="shared" si="30"/>
        <v/>
      </c>
    </row>
    <row r="445" spans="1:8">
      <c r="A445" s="6" t="str">
        <f t="shared" si="31"/>
        <v/>
      </c>
      <c r="B445" s="6" t="str">
        <f t="shared" si="27"/>
        <v/>
      </c>
      <c r="C445" s="9" t="str" cm="1">
        <f t="array" ref="C445">IF(ISNUMBER(A445),INDEX(BackgroundCalcs!$AV$2:$AV$500,'Grading Formulas'!$A445),"")</f>
        <v/>
      </c>
      <c r="D445" s="9" t="str" cm="1">
        <f t="array" ref="D445">IF(ISNUMBER($A445),INDEX(BackgroundCalcs!$AW$2:$AW$500,'Grading Formulas'!$A445),"")</f>
        <v/>
      </c>
      <c r="E445" s="4" t="str" cm="1">
        <f t="array" ref="E445">IF(ISNUMBER($A445),IF(A445=A444,"Reference2(False,True,"&amp;INDEX(BackgroundCalcs!$AX$2:$AX$500,'Grading Formulas'!$A445)&amp;")","Reference() AND MOEValue(.0001)"),"")</f>
        <v/>
      </c>
      <c r="F445" s="4" t="str">
        <f t="shared" si="28"/>
        <v/>
      </c>
      <c r="G445" s="4" t="str">
        <f t="shared" si="29"/>
        <v/>
      </c>
      <c r="H445" s="4" t="str">
        <f t="shared" si="30"/>
        <v/>
      </c>
    </row>
    <row r="446" spans="1:8">
      <c r="A446" s="6" t="str">
        <f t="shared" si="31"/>
        <v/>
      </c>
      <c r="B446" s="6" t="str">
        <f t="shared" si="27"/>
        <v/>
      </c>
      <c r="C446" s="9" t="str" cm="1">
        <f t="array" ref="C446">IF(ISNUMBER(A446),INDEX(BackgroundCalcs!$AV$2:$AV$500,'Grading Formulas'!$A446),"")</f>
        <v/>
      </c>
      <c r="D446" s="9" t="str" cm="1">
        <f t="array" ref="D446">IF(ISNUMBER($A446),INDEX(BackgroundCalcs!$AW$2:$AW$500,'Grading Formulas'!$A446),"")</f>
        <v/>
      </c>
      <c r="E446" s="4" t="str" cm="1">
        <f t="array" ref="E446">IF(ISNUMBER($A446),IF(A446=A445,"Reference2(False,True,"&amp;INDEX(BackgroundCalcs!$AX$2:$AX$500,'Grading Formulas'!$A446)&amp;")","Reference() AND MOEValue(.0001)"),"")</f>
        <v/>
      </c>
      <c r="F446" s="4" t="str">
        <f t="shared" si="28"/>
        <v/>
      </c>
      <c r="G446" s="4" t="str">
        <f t="shared" si="29"/>
        <v/>
      </c>
      <c r="H446" s="4" t="str">
        <f t="shared" si="30"/>
        <v/>
      </c>
    </row>
    <row r="447" spans="1:8">
      <c r="A447" s="6" t="str">
        <f t="shared" si="31"/>
        <v/>
      </c>
      <c r="B447" s="6" t="str">
        <f t="shared" si="27"/>
        <v/>
      </c>
      <c r="C447" s="9" t="str" cm="1">
        <f t="array" ref="C447">IF(ISNUMBER(A447),INDEX(BackgroundCalcs!$AV$2:$AV$500,'Grading Formulas'!$A447),"")</f>
        <v/>
      </c>
      <c r="D447" s="9" t="str" cm="1">
        <f t="array" ref="D447">IF(ISNUMBER($A447),INDEX(BackgroundCalcs!$AW$2:$AW$500,'Grading Formulas'!$A447),"")</f>
        <v/>
      </c>
      <c r="E447" s="4" t="str" cm="1">
        <f t="array" ref="E447">IF(ISNUMBER($A447),IF(A447=A446,"Reference2(False,True,"&amp;INDEX(BackgroundCalcs!$AX$2:$AX$500,'Grading Formulas'!$A447)&amp;")","Reference() AND MOEValue(.0001)"),"")</f>
        <v/>
      </c>
      <c r="F447" s="4" t="str">
        <f t="shared" si="28"/>
        <v/>
      </c>
      <c r="G447" s="4" t="str">
        <f t="shared" si="29"/>
        <v/>
      </c>
      <c r="H447" s="4" t="str">
        <f t="shared" si="30"/>
        <v/>
      </c>
    </row>
    <row r="448" spans="1:8">
      <c r="A448" s="6" t="str">
        <f t="shared" si="31"/>
        <v/>
      </c>
      <c r="B448" s="6" t="str">
        <f t="shared" si="27"/>
        <v/>
      </c>
      <c r="C448" s="9" t="str" cm="1">
        <f t="array" ref="C448">IF(ISNUMBER(A448),INDEX(BackgroundCalcs!$AV$2:$AV$500,'Grading Formulas'!$A448),"")</f>
        <v/>
      </c>
      <c r="D448" s="9" t="str" cm="1">
        <f t="array" ref="D448">IF(ISNUMBER($A448),INDEX(BackgroundCalcs!$AW$2:$AW$500,'Grading Formulas'!$A448),"")</f>
        <v/>
      </c>
      <c r="E448" s="4" t="str" cm="1">
        <f t="array" ref="E448">IF(ISNUMBER($A448),IF(A448=A447,"Reference2(False,True,"&amp;INDEX(BackgroundCalcs!$AX$2:$AX$500,'Grading Formulas'!$A448)&amp;")","Reference() AND MOEValue(.0001)"),"")</f>
        <v/>
      </c>
      <c r="F448" s="4" t="str">
        <f t="shared" si="28"/>
        <v/>
      </c>
      <c r="G448" s="4" t="str">
        <f t="shared" si="29"/>
        <v/>
      </c>
      <c r="H448" s="4" t="str">
        <f t="shared" si="30"/>
        <v/>
      </c>
    </row>
    <row r="449" spans="1:8">
      <c r="A449" s="6" t="str">
        <f t="shared" si="31"/>
        <v/>
      </c>
      <c r="B449" s="6" t="str">
        <f t="shared" si="27"/>
        <v/>
      </c>
      <c r="C449" s="9" t="str" cm="1">
        <f t="array" ref="C449">IF(ISNUMBER(A449),INDEX(BackgroundCalcs!$AV$2:$AV$500,'Grading Formulas'!$A449),"")</f>
        <v/>
      </c>
      <c r="D449" s="9" t="str" cm="1">
        <f t="array" ref="D449">IF(ISNUMBER($A449),INDEX(BackgroundCalcs!$AW$2:$AW$500,'Grading Formulas'!$A449),"")</f>
        <v/>
      </c>
      <c r="E449" s="4" t="str" cm="1">
        <f t="array" ref="E449">IF(ISNUMBER($A449),IF(A449=A448,"Reference2(False,True,"&amp;INDEX(BackgroundCalcs!$AX$2:$AX$500,'Grading Formulas'!$A449)&amp;")","Reference() AND MOEValue(.0001)"),"")</f>
        <v/>
      </c>
      <c r="F449" s="4" t="str">
        <f t="shared" si="28"/>
        <v/>
      </c>
      <c r="G449" s="4" t="str">
        <f t="shared" si="29"/>
        <v/>
      </c>
      <c r="H449" s="4" t="str">
        <f t="shared" si="30"/>
        <v/>
      </c>
    </row>
    <row r="450" spans="1:8">
      <c r="A450" s="6" t="str">
        <f t="shared" si="31"/>
        <v/>
      </c>
      <c r="B450" s="6" t="str">
        <f t="shared" ref="B450:B500" si="32">IF(ISNUMBER(A450),"CELL","")</f>
        <v/>
      </c>
      <c r="C450" s="9" t="str" cm="1">
        <f t="array" ref="C450">IF(ISNUMBER(A450),INDEX(BackgroundCalcs!$AV$2:$AV$500,'Grading Formulas'!$A450),"")</f>
        <v/>
      </c>
      <c r="D450" s="9" t="str" cm="1">
        <f t="array" ref="D450">IF(ISNUMBER($A450),INDEX(BackgroundCalcs!$AW$2:$AW$500,'Grading Formulas'!$A450),"")</f>
        <v/>
      </c>
      <c r="E450" s="4" t="str" cm="1">
        <f t="array" ref="E450">IF(ISNUMBER($A450),IF(A450=A449,"Reference2(False,True,"&amp;INDEX(BackgroundCalcs!$AX$2:$AX$500,'Grading Formulas'!$A450)&amp;")","Reference() AND MOEValue(.0001)"),"")</f>
        <v/>
      </c>
      <c r="F450" s="4" t="str">
        <f t="shared" si="28"/>
        <v/>
      </c>
      <c r="G450" s="4" t="str">
        <f t="shared" si="29"/>
        <v/>
      </c>
      <c r="H450" s="4" t="str">
        <f t="shared" si="30"/>
        <v/>
      </c>
    </row>
    <row r="451" spans="1:8">
      <c r="A451" s="6" t="str">
        <f t="shared" si="31"/>
        <v/>
      </c>
      <c r="B451" s="6" t="str">
        <f t="shared" si="32"/>
        <v/>
      </c>
      <c r="C451" s="9" t="str" cm="1">
        <f t="array" ref="C451">IF(ISNUMBER(A451),INDEX(BackgroundCalcs!$AV$2:$AV$500,'Grading Formulas'!$A451),"")</f>
        <v/>
      </c>
      <c r="D451" s="9" t="str" cm="1">
        <f t="array" ref="D451">IF(ISNUMBER($A451),INDEX(BackgroundCalcs!$AW$2:$AW$500,'Grading Formulas'!$A451),"")</f>
        <v/>
      </c>
      <c r="E451" s="4" t="str" cm="1">
        <f t="array" ref="E451">IF(ISNUMBER($A451),IF(A451=A450,"Reference2(False,True,"&amp;INDEX(BackgroundCalcs!$AX$2:$AX$500,'Grading Formulas'!$A451)&amp;")","Reference() AND MOEValue(.0001)"),"")</f>
        <v/>
      </c>
      <c r="F451" s="4" t="str">
        <f t="shared" ref="F451:F500" si="33">IF(ISNUMBER($A451),IF(A451=A450,-1000,1),"")</f>
        <v/>
      </c>
      <c r="G451" s="4" t="str">
        <f t="shared" ref="G451:G500" si="34">IF(ISNUMBER($A451),IF(A451=A450,"You should not be referencing the answer cell","Correct"),"")</f>
        <v/>
      </c>
      <c r="H451" s="4" t="str">
        <f t="shared" ref="H451:H500" si="35">IF(ISNUMBER($A451),IF(A451=A450,"N/A","Incorrect"),"")</f>
        <v/>
      </c>
    </row>
    <row r="452" spans="1:8">
      <c r="A452" s="6" t="str">
        <f t="shared" ref="A452:A500" si="36">IF(A450&lt;NumAnswers,A450+1,"")</f>
        <v/>
      </c>
      <c r="B452" s="6" t="str">
        <f t="shared" si="32"/>
        <v/>
      </c>
      <c r="C452" s="9" t="str" cm="1">
        <f t="array" ref="C452">IF(ISNUMBER(A452),INDEX(BackgroundCalcs!$AV$2:$AV$500,'Grading Formulas'!$A452),"")</f>
        <v/>
      </c>
      <c r="D452" s="9" t="str" cm="1">
        <f t="array" ref="D452">IF(ISNUMBER($A452),INDEX(BackgroundCalcs!$AW$2:$AW$500,'Grading Formulas'!$A452),"")</f>
        <v/>
      </c>
      <c r="E452" s="4" t="str" cm="1">
        <f t="array" ref="E452">IF(ISNUMBER($A452),IF(A452=A451,"Reference2(False,True,"&amp;INDEX(BackgroundCalcs!$AX$2:$AX$500,'Grading Formulas'!$A452)&amp;")","Reference() AND MOEValue(.0001)"),"")</f>
        <v/>
      </c>
      <c r="F452" s="4" t="str">
        <f t="shared" si="33"/>
        <v/>
      </c>
      <c r="G452" s="4" t="str">
        <f t="shared" si="34"/>
        <v/>
      </c>
      <c r="H452" s="4" t="str">
        <f t="shared" si="35"/>
        <v/>
      </c>
    </row>
    <row r="453" spans="1:8">
      <c r="A453" s="6" t="str">
        <f t="shared" si="36"/>
        <v/>
      </c>
      <c r="B453" s="6" t="str">
        <f t="shared" si="32"/>
        <v/>
      </c>
      <c r="C453" s="9" t="str" cm="1">
        <f t="array" ref="C453">IF(ISNUMBER(A453),INDEX(BackgroundCalcs!$AV$2:$AV$500,'Grading Formulas'!$A453),"")</f>
        <v/>
      </c>
      <c r="D453" s="9" t="str" cm="1">
        <f t="array" ref="D453">IF(ISNUMBER($A453),INDEX(BackgroundCalcs!$AW$2:$AW$500,'Grading Formulas'!$A453),"")</f>
        <v/>
      </c>
      <c r="E453" s="4" t="str" cm="1">
        <f t="array" ref="E453">IF(ISNUMBER($A453),IF(A453=A452,"Reference2(False,True,"&amp;INDEX(BackgroundCalcs!$AX$2:$AX$500,'Grading Formulas'!$A453)&amp;")","Reference() AND MOEValue(.0001)"),"")</f>
        <v/>
      </c>
      <c r="F453" s="4" t="str">
        <f t="shared" si="33"/>
        <v/>
      </c>
      <c r="G453" s="4" t="str">
        <f t="shared" si="34"/>
        <v/>
      </c>
      <c r="H453" s="4" t="str">
        <f t="shared" si="35"/>
        <v/>
      </c>
    </row>
    <row r="454" spans="1:8">
      <c r="A454" s="6" t="str">
        <f t="shared" si="36"/>
        <v/>
      </c>
      <c r="B454" s="6" t="str">
        <f t="shared" si="32"/>
        <v/>
      </c>
      <c r="C454" s="9" t="str" cm="1">
        <f t="array" ref="C454">IF(ISNUMBER(A454),INDEX(BackgroundCalcs!$AV$2:$AV$500,'Grading Formulas'!$A454),"")</f>
        <v/>
      </c>
      <c r="D454" s="9" t="str" cm="1">
        <f t="array" ref="D454">IF(ISNUMBER($A454),INDEX(BackgroundCalcs!$AW$2:$AW$500,'Grading Formulas'!$A454),"")</f>
        <v/>
      </c>
      <c r="E454" s="4" t="str" cm="1">
        <f t="array" ref="E454">IF(ISNUMBER($A454),IF(A454=A453,"Reference2(False,True,"&amp;INDEX(BackgroundCalcs!$AX$2:$AX$500,'Grading Formulas'!$A454)&amp;")","Reference() AND MOEValue(.0001)"),"")</f>
        <v/>
      </c>
      <c r="F454" s="4" t="str">
        <f t="shared" si="33"/>
        <v/>
      </c>
      <c r="G454" s="4" t="str">
        <f t="shared" si="34"/>
        <v/>
      </c>
      <c r="H454" s="4" t="str">
        <f t="shared" si="35"/>
        <v/>
      </c>
    </row>
    <row r="455" spans="1:8">
      <c r="A455" s="6" t="str">
        <f t="shared" si="36"/>
        <v/>
      </c>
      <c r="B455" s="6" t="str">
        <f t="shared" si="32"/>
        <v/>
      </c>
      <c r="C455" s="9" t="str" cm="1">
        <f t="array" ref="C455">IF(ISNUMBER(A455),INDEX(BackgroundCalcs!$AV$2:$AV$500,'Grading Formulas'!$A455),"")</f>
        <v/>
      </c>
      <c r="D455" s="9" t="str" cm="1">
        <f t="array" ref="D455">IF(ISNUMBER($A455),INDEX(BackgroundCalcs!$AW$2:$AW$500,'Grading Formulas'!$A455),"")</f>
        <v/>
      </c>
      <c r="E455" s="4" t="str" cm="1">
        <f t="array" ref="E455">IF(ISNUMBER($A455),IF(A455=A454,"Reference2(False,True,"&amp;INDEX(BackgroundCalcs!$AX$2:$AX$500,'Grading Formulas'!$A455)&amp;")","Reference() AND MOEValue(.0001)"),"")</f>
        <v/>
      </c>
      <c r="F455" s="4" t="str">
        <f t="shared" si="33"/>
        <v/>
      </c>
      <c r="G455" s="4" t="str">
        <f t="shared" si="34"/>
        <v/>
      </c>
      <c r="H455" s="4" t="str">
        <f t="shared" si="35"/>
        <v/>
      </c>
    </row>
    <row r="456" spans="1:8">
      <c r="A456" s="6" t="str">
        <f t="shared" si="36"/>
        <v/>
      </c>
      <c r="B456" s="6" t="str">
        <f t="shared" si="32"/>
        <v/>
      </c>
      <c r="C456" s="9" t="str" cm="1">
        <f t="array" ref="C456">IF(ISNUMBER(A456),INDEX(BackgroundCalcs!$AV$2:$AV$500,'Grading Formulas'!$A456),"")</f>
        <v/>
      </c>
      <c r="D456" s="9" t="str" cm="1">
        <f t="array" ref="D456">IF(ISNUMBER($A456),INDEX(BackgroundCalcs!$AW$2:$AW$500,'Grading Formulas'!$A456),"")</f>
        <v/>
      </c>
      <c r="E456" s="4" t="str" cm="1">
        <f t="array" ref="E456">IF(ISNUMBER($A456),IF(A456=A455,"Reference2(False,True,"&amp;INDEX(BackgroundCalcs!$AX$2:$AX$500,'Grading Formulas'!$A456)&amp;")","Reference() AND MOEValue(.0001)"),"")</f>
        <v/>
      </c>
      <c r="F456" s="4" t="str">
        <f t="shared" si="33"/>
        <v/>
      </c>
      <c r="G456" s="4" t="str">
        <f t="shared" si="34"/>
        <v/>
      </c>
      <c r="H456" s="4" t="str">
        <f t="shared" si="35"/>
        <v/>
      </c>
    </row>
    <row r="457" spans="1:8">
      <c r="A457" s="6" t="str">
        <f t="shared" si="36"/>
        <v/>
      </c>
      <c r="B457" s="6" t="str">
        <f t="shared" si="32"/>
        <v/>
      </c>
      <c r="C457" s="9" t="str" cm="1">
        <f t="array" ref="C457">IF(ISNUMBER(A457),INDEX(BackgroundCalcs!$AV$2:$AV$500,'Grading Formulas'!$A457),"")</f>
        <v/>
      </c>
      <c r="D457" s="9" t="str" cm="1">
        <f t="array" ref="D457">IF(ISNUMBER($A457),INDEX(BackgroundCalcs!$AW$2:$AW$500,'Grading Formulas'!$A457),"")</f>
        <v/>
      </c>
      <c r="E457" s="4" t="str" cm="1">
        <f t="array" ref="E457">IF(ISNUMBER($A457),IF(A457=A456,"Reference2(False,True,"&amp;INDEX(BackgroundCalcs!$AX$2:$AX$500,'Grading Formulas'!$A457)&amp;")","Reference() AND MOEValue(.0001)"),"")</f>
        <v/>
      </c>
      <c r="F457" s="4" t="str">
        <f t="shared" si="33"/>
        <v/>
      </c>
      <c r="G457" s="4" t="str">
        <f t="shared" si="34"/>
        <v/>
      </c>
      <c r="H457" s="4" t="str">
        <f t="shared" si="35"/>
        <v/>
      </c>
    </row>
    <row r="458" spans="1:8">
      <c r="A458" s="6" t="str">
        <f t="shared" si="36"/>
        <v/>
      </c>
      <c r="B458" s="6" t="str">
        <f t="shared" si="32"/>
        <v/>
      </c>
      <c r="C458" s="9" t="str" cm="1">
        <f t="array" ref="C458">IF(ISNUMBER(A458),INDEX(BackgroundCalcs!$AV$2:$AV$500,'Grading Formulas'!$A458),"")</f>
        <v/>
      </c>
      <c r="D458" s="9" t="str" cm="1">
        <f t="array" ref="D458">IF(ISNUMBER($A458),INDEX(BackgroundCalcs!$AW$2:$AW$500,'Grading Formulas'!$A458),"")</f>
        <v/>
      </c>
      <c r="E458" s="4" t="str" cm="1">
        <f t="array" ref="E458">IF(ISNUMBER($A458),IF(A458=A457,"Reference2(False,True,"&amp;INDEX(BackgroundCalcs!$AX$2:$AX$500,'Grading Formulas'!$A458)&amp;")","Reference() AND MOEValue(.0001)"),"")</f>
        <v/>
      </c>
      <c r="F458" s="4" t="str">
        <f t="shared" si="33"/>
        <v/>
      </c>
      <c r="G458" s="4" t="str">
        <f t="shared" si="34"/>
        <v/>
      </c>
      <c r="H458" s="4" t="str">
        <f t="shared" si="35"/>
        <v/>
      </c>
    </row>
    <row r="459" spans="1:8">
      <c r="A459" s="6" t="str">
        <f t="shared" si="36"/>
        <v/>
      </c>
      <c r="B459" s="6" t="str">
        <f t="shared" si="32"/>
        <v/>
      </c>
      <c r="C459" s="9" t="str" cm="1">
        <f t="array" ref="C459">IF(ISNUMBER(A459),INDEX(BackgroundCalcs!$AV$2:$AV$500,'Grading Formulas'!$A459),"")</f>
        <v/>
      </c>
      <c r="D459" s="9" t="str" cm="1">
        <f t="array" ref="D459">IF(ISNUMBER($A459),INDEX(BackgroundCalcs!$AW$2:$AW$500,'Grading Formulas'!$A459),"")</f>
        <v/>
      </c>
      <c r="E459" s="4" t="str" cm="1">
        <f t="array" ref="E459">IF(ISNUMBER($A459),IF(A459=A458,"Reference2(False,True,"&amp;INDEX(BackgroundCalcs!$AX$2:$AX$500,'Grading Formulas'!$A459)&amp;")","Reference() AND MOEValue(.0001)"),"")</f>
        <v/>
      </c>
      <c r="F459" s="4" t="str">
        <f t="shared" si="33"/>
        <v/>
      </c>
      <c r="G459" s="4" t="str">
        <f t="shared" si="34"/>
        <v/>
      </c>
      <c r="H459" s="4" t="str">
        <f t="shared" si="35"/>
        <v/>
      </c>
    </row>
    <row r="460" spans="1:8">
      <c r="A460" s="6" t="str">
        <f t="shared" si="36"/>
        <v/>
      </c>
      <c r="B460" s="6" t="str">
        <f t="shared" si="32"/>
        <v/>
      </c>
      <c r="C460" s="9" t="str" cm="1">
        <f t="array" ref="C460">IF(ISNUMBER(A460),INDEX(BackgroundCalcs!$AV$2:$AV$500,'Grading Formulas'!$A460),"")</f>
        <v/>
      </c>
      <c r="D460" s="9" t="str" cm="1">
        <f t="array" ref="D460">IF(ISNUMBER($A460),INDEX(BackgroundCalcs!$AW$2:$AW$500,'Grading Formulas'!$A460),"")</f>
        <v/>
      </c>
      <c r="E460" s="4" t="str" cm="1">
        <f t="array" ref="E460">IF(ISNUMBER($A460),IF(A460=A459,"Reference2(False,True,"&amp;INDEX(BackgroundCalcs!$AX$2:$AX$500,'Grading Formulas'!$A460)&amp;")","Reference() AND MOEValue(.0001)"),"")</f>
        <v/>
      </c>
      <c r="F460" s="4" t="str">
        <f t="shared" si="33"/>
        <v/>
      </c>
      <c r="G460" s="4" t="str">
        <f t="shared" si="34"/>
        <v/>
      </c>
      <c r="H460" s="4" t="str">
        <f t="shared" si="35"/>
        <v/>
      </c>
    </row>
    <row r="461" spans="1:8">
      <c r="A461" s="6" t="str">
        <f t="shared" si="36"/>
        <v/>
      </c>
      <c r="B461" s="6" t="str">
        <f t="shared" si="32"/>
        <v/>
      </c>
      <c r="C461" s="9" t="str" cm="1">
        <f t="array" ref="C461">IF(ISNUMBER(A461),INDEX(BackgroundCalcs!$AV$2:$AV$500,'Grading Formulas'!$A461),"")</f>
        <v/>
      </c>
      <c r="D461" s="9" t="str" cm="1">
        <f t="array" ref="D461">IF(ISNUMBER($A461),INDEX(BackgroundCalcs!$AW$2:$AW$500,'Grading Formulas'!$A461),"")</f>
        <v/>
      </c>
      <c r="E461" s="4" t="str" cm="1">
        <f t="array" ref="E461">IF(ISNUMBER($A461),IF(A461=A460,"Reference2(False,True,"&amp;INDEX(BackgroundCalcs!$AX$2:$AX$500,'Grading Formulas'!$A461)&amp;")","Reference() AND MOEValue(.0001)"),"")</f>
        <v/>
      </c>
      <c r="F461" s="4" t="str">
        <f t="shared" si="33"/>
        <v/>
      </c>
      <c r="G461" s="4" t="str">
        <f t="shared" si="34"/>
        <v/>
      </c>
      <c r="H461" s="4" t="str">
        <f t="shared" si="35"/>
        <v/>
      </c>
    </row>
    <row r="462" spans="1:8">
      <c r="A462" s="6" t="str">
        <f t="shared" si="36"/>
        <v/>
      </c>
      <c r="B462" s="6" t="str">
        <f t="shared" si="32"/>
        <v/>
      </c>
      <c r="C462" s="9" t="str" cm="1">
        <f t="array" ref="C462">IF(ISNUMBER(A462),INDEX(BackgroundCalcs!$AV$2:$AV$500,'Grading Formulas'!$A462),"")</f>
        <v/>
      </c>
      <c r="D462" s="9" t="str" cm="1">
        <f t="array" ref="D462">IF(ISNUMBER($A462),INDEX(BackgroundCalcs!$AW$2:$AW$500,'Grading Formulas'!$A462),"")</f>
        <v/>
      </c>
      <c r="E462" s="4" t="str" cm="1">
        <f t="array" ref="E462">IF(ISNUMBER($A462),IF(A462=A461,"Reference2(False,True,"&amp;INDEX(BackgroundCalcs!$AX$2:$AX$500,'Grading Formulas'!$A462)&amp;")","Reference() AND MOEValue(.0001)"),"")</f>
        <v/>
      </c>
      <c r="F462" s="4" t="str">
        <f t="shared" si="33"/>
        <v/>
      </c>
      <c r="G462" s="4" t="str">
        <f t="shared" si="34"/>
        <v/>
      </c>
      <c r="H462" s="4" t="str">
        <f t="shared" si="35"/>
        <v/>
      </c>
    </row>
    <row r="463" spans="1:8">
      <c r="A463" s="6" t="str">
        <f t="shared" si="36"/>
        <v/>
      </c>
      <c r="B463" s="6" t="str">
        <f t="shared" si="32"/>
        <v/>
      </c>
      <c r="C463" s="9" t="str" cm="1">
        <f t="array" ref="C463">IF(ISNUMBER(A463),INDEX(BackgroundCalcs!$AV$2:$AV$500,'Grading Formulas'!$A463),"")</f>
        <v/>
      </c>
      <c r="D463" s="9" t="str" cm="1">
        <f t="array" ref="D463">IF(ISNUMBER($A463),INDEX(BackgroundCalcs!$AW$2:$AW$500,'Grading Formulas'!$A463),"")</f>
        <v/>
      </c>
      <c r="E463" s="4" t="str" cm="1">
        <f t="array" ref="E463">IF(ISNUMBER($A463),IF(A463=A462,"Reference2(False,True,"&amp;INDEX(BackgroundCalcs!$AX$2:$AX$500,'Grading Formulas'!$A463)&amp;")","Reference() AND MOEValue(.0001)"),"")</f>
        <v/>
      </c>
      <c r="F463" s="4" t="str">
        <f t="shared" si="33"/>
        <v/>
      </c>
      <c r="G463" s="4" t="str">
        <f t="shared" si="34"/>
        <v/>
      </c>
      <c r="H463" s="4" t="str">
        <f t="shared" si="35"/>
        <v/>
      </c>
    </row>
    <row r="464" spans="1:8">
      <c r="A464" s="6" t="str">
        <f t="shared" si="36"/>
        <v/>
      </c>
      <c r="B464" s="6" t="str">
        <f t="shared" si="32"/>
        <v/>
      </c>
      <c r="C464" s="9" t="str" cm="1">
        <f t="array" ref="C464">IF(ISNUMBER(A464),INDEX(BackgroundCalcs!$AV$2:$AV$500,'Grading Formulas'!$A464),"")</f>
        <v/>
      </c>
      <c r="D464" s="9" t="str" cm="1">
        <f t="array" ref="D464">IF(ISNUMBER($A464),INDEX(BackgroundCalcs!$AW$2:$AW$500,'Grading Formulas'!$A464),"")</f>
        <v/>
      </c>
      <c r="E464" s="4" t="str" cm="1">
        <f t="array" ref="E464">IF(ISNUMBER($A464),IF(A464=A463,"Reference2(False,True,"&amp;INDEX(BackgroundCalcs!$AX$2:$AX$500,'Grading Formulas'!$A464)&amp;")","Reference() AND MOEValue(.0001)"),"")</f>
        <v/>
      </c>
      <c r="F464" s="4" t="str">
        <f t="shared" si="33"/>
        <v/>
      </c>
      <c r="G464" s="4" t="str">
        <f t="shared" si="34"/>
        <v/>
      </c>
      <c r="H464" s="4" t="str">
        <f t="shared" si="35"/>
        <v/>
      </c>
    </row>
    <row r="465" spans="1:8">
      <c r="A465" s="6" t="str">
        <f t="shared" si="36"/>
        <v/>
      </c>
      <c r="B465" s="6" t="str">
        <f t="shared" si="32"/>
        <v/>
      </c>
      <c r="C465" s="9" t="str" cm="1">
        <f t="array" ref="C465">IF(ISNUMBER(A465),INDEX(BackgroundCalcs!$AV$2:$AV$500,'Grading Formulas'!$A465),"")</f>
        <v/>
      </c>
      <c r="D465" s="9" t="str" cm="1">
        <f t="array" ref="D465">IF(ISNUMBER($A465),INDEX(BackgroundCalcs!$AW$2:$AW$500,'Grading Formulas'!$A465),"")</f>
        <v/>
      </c>
      <c r="E465" s="4" t="str" cm="1">
        <f t="array" ref="E465">IF(ISNUMBER($A465),IF(A465=A464,"Reference2(False,True,"&amp;INDEX(BackgroundCalcs!$AX$2:$AX$500,'Grading Formulas'!$A465)&amp;")","Reference() AND MOEValue(.0001)"),"")</f>
        <v/>
      </c>
      <c r="F465" s="4" t="str">
        <f t="shared" si="33"/>
        <v/>
      </c>
      <c r="G465" s="4" t="str">
        <f t="shared" si="34"/>
        <v/>
      </c>
      <c r="H465" s="4" t="str">
        <f t="shared" si="35"/>
        <v/>
      </c>
    </row>
    <row r="466" spans="1:8">
      <c r="A466" s="6" t="str">
        <f t="shared" si="36"/>
        <v/>
      </c>
      <c r="B466" s="6" t="str">
        <f t="shared" si="32"/>
        <v/>
      </c>
      <c r="C466" s="9" t="str" cm="1">
        <f t="array" ref="C466">IF(ISNUMBER(A466),INDEX(BackgroundCalcs!$AV$2:$AV$500,'Grading Formulas'!$A466),"")</f>
        <v/>
      </c>
      <c r="D466" s="9" t="str" cm="1">
        <f t="array" ref="D466">IF(ISNUMBER($A466),INDEX(BackgroundCalcs!$AW$2:$AW$500,'Grading Formulas'!$A466),"")</f>
        <v/>
      </c>
      <c r="E466" s="4" t="str" cm="1">
        <f t="array" ref="E466">IF(ISNUMBER($A466),IF(A466=A465,"Reference2(False,True,"&amp;INDEX(BackgroundCalcs!$AX$2:$AX$500,'Grading Formulas'!$A466)&amp;")","Reference() AND MOEValue(.0001)"),"")</f>
        <v/>
      </c>
      <c r="F466" s="4" t="str">
        <f t="shared" si="33"/>
        <v/>
      </c>
      <c r="G466" s="4" t="str">
        <f t="shared" si="34"/>
        <v/>
      </c>
      <c r="H466" s="4" t="str">
        <f t="shared" si="35"/>
        <v/>
      </c>
    </row>
    <row r="467" spans="1:8">
      <c r="A467" s="6" t="str">
        <f t="shared" si="36"/>
        <v/>
      </c>
      <c r="B467" s="6" t="str">
        <f t="shared" si="32"/>
        <v/>
      </c>
      <c r="C467" s="9" t="str" cm="1">
        <f t="array" ref="C467">IF(ISNUMBER(A467),INDEX(BackgroundCalcs!$AV$2:$AV$500,'Grading Formulas'!$A467),"")</f>
        <v/>
      </c>
      <c r="D467" s="9" t="str" cm="1">
        <f t="array" ref="D467">IF(ISNUMBER($A467),INDEX(BackgroundCalcs!$AW$2:$AW$500,'Grading Formulas'!$A467),"")</f>
        <v/>
      </c>
      <c r="E467" s="4" t="str" cm="1">
        <f t="array" ref="E467">IF(ISNUMBER($A467),IF(A467=A466,"Reference2(False,True,"&amp;INDEX(BackgroundCalcs!$AX$2:$AX$500,'Grading Formulas'!$A467)&amp;")","Reference() AND MOEValue(.0001)"),"")</f>
        <v/>
      </c>
      <c r="F467" s="4" t="str">
        <f t="shared" si="33"/>
        <v/>
      </c>
      <c r="G467" s="4" t="str">
        <f t="shared" si="34"/>
        <v/>
      </c>
      <c r="H467" s="4" t="str">
        <f t="shared" si="35"/>
        <v/>
      </c>
    </row>
    <row r="468" spans="1:8">
      <c r="A468" s="6" t="str">
        <f t="shared" si="36"/>
        <v/>
      </c>
      <c r="B468" s="6" t="str">
        <f t="shared" si="32"/>
        <v/>
      </c>
      <c r="C468" s="9" t="str" cm="1">
        <f t="array" ref="C468">IF(ISNUMBER(A468),INDEX(BackgroundCalcs!$AV$2:$AV$500,'Grading Formulas'!$A468),"")</f>
        <v/>
      </c>
      <c r="D468" s="9" t="str" cm="1">
        <f t="array" ref="D468">IF(ISNUMBER($A468),INDEX(BackgroundCalcs!$AW$2:$AW$500,'Grading Formulas'!$A468),"")</f>
        <v/>
      </c>
      <c r="E468" s="4" t="str" cm="1">
        <f t="array" ref="E468">IF(ISNUMBER($A468),IF(A468=A467,"Reference2(False,True,"&amp;INDEX(BackgroundCalcs!$AX$2:$AX$500,'Grading Formulas'!$A468)&amp;")","Reference() AND MOEValue(.0001)"),"")</f>
        <v/>
      </c>
      <c r="F468" s="4" t="str">
        <f t="shared" si="33"/>
        <v/>
      </c>
      <c r="G468" s="4" t="str">
        <f t="shared" si="34"/>
        <v/>
      </c>
      <c r="H468" s="4" t="str">
        <f t="shared" si="35"/>
        <v/>
      </c>
    </row>
    <row r="469" spans="1:8">
      <c r="A469" s="6" t="str">
        <f t="shared" si="36"/>
        <v/>
      </c>
      <c r="B469" s="6" t="str">
        <f t="shared" si="32"/>
        <v/>
      </c>
      <c r="C469" s="9" t="str" cm="1">
        <f t="array" ref="C469">IF(ISNUMBER(A469),INDEX(BackgroundCalcs!$AV$2:$AV$500,'Grading Formulas'!$A469),"")</f>
        <v/>
      </c>
      <c r="D469" s="9" t="str" cm="1">
        <f t="array" ref="D469">IF(ISNUMBER($A469),INDEX(BackgroundCalcs!$AW$2:$AW$500,'Grading Formulas'!$A469),"")</f>
        <v/>
      </c>
      <c r="E469" s="4" t="str" cm="1">
        <f t="array" ref="E469">IF(ISNUMBER($A469),IF(A469=A468,"Reference2(False,True,"&amp;INDEX(BackgroundCalcs!$AX$2:$AX$500,'Grading Formulas'!$A469)&amp;")","Reference() AND MOEValue(.0001)"),"")</f>
        <v/>
      </c>
      <c r="F469" s="4" t="str">
        <f t="shared" si="33"/>
        <v/>
      </c>
      <c r="G469" s="4" t="str">
        <f t="shared" si="34"/>
        <v/>
      </c>
      <c r="H469" s="4" t="str">
        <f t="shared" si="35"/>
        <v/>
      </c>
    </row>
    <row r="470" spans="1:8">
      <c r="A470" s="6" t="str">
        <f t="shared" si="36"/>
        <v/>
      </c>
      <c r="B470" s="6" t="str">
        <f t="shared" si="32"/>
        <v/>
      </c>
      <c r="C470" s="9" t="str" cm="1">
        <f t="array" ref="C470">IF(ISNUMBER(A470),INDEX(BackgroundCalcs!$AV$2:$AV$500,'Grading Formulas'!$A470),"")</f>
        <v/>
      </c>
      <c r="D470" s="9" t="str" cm="1">
        <f t="array" ref="D470">IF(ISNUMBER($A470),INDEX(BackgroundCalcs!$AW$2:$AW$500,'Grading Formulas'!$A470),"")</f>
        <v/>
      </c>
      <c r="E470" s="4" t="str" cm="1">
        <f t="array" ref="E470">IF(ISNUMBER($A470),IF(A470=A469,"Reference2(False,True,"&amp;INDEX(BackgroundCalcs!$AX$2:$AX$500,'Grading Formulas'!$A470)&amp;")","Reference() AND MOEValue(.0001)"),"")</f>
        <v/>
      </c>
      <c r="F470" s="4" t="str">
        <f t="shared" si="33"/>
        <v/>
      </c>
      <c r="G470" s="4" t="str">
        <f t="shared" si="34"/>
        <v/>
      </c>
      <c r="H470" s="4" t="str">
        <f t="shared" si="35"/>
        <v/>
      </c>
    </row>
    <row r="471" spans="1:8">
      <c r="A471" s="6" t="str">
        <f t="shared" si="36"/>
        <v/>
      </c>
      <c r="B471" s="6" t="str">
        <f t="shared" si="32"/>
        <v/>
      </c>
      <c r="C471" s="9" t="str" cm="1">
        <f t="array" ref="C471">IF(ISNUMBER(A471),INDEX(BackgroundCalcs!$AV$2:$AV$500,'Grading Formulas'!$A471),"")</f>
        <v/>
      </c>
      <c r="D471" s="9" t="str" cm="1">
        <f t="array" ref="D471">IF(ISNUMBER($A471),INDEX(BackgroundCalcs!$AW$2:$AW$500,'Grading Formulas'!$A471),"")</f>
        <v/>
      </c>
      <c r="E471" s="4" t="str" cm="1">
        <f t="array" ref="E471">IF(ISNUMBER($A471),IF(A471=A470,"Reference2(False,True,"&amp;INDEX(BackgroundCalcs!$AX$2:$AX$500,'Grading Formulas'!$A471)&amp;")","Reference() AND MOEValue(.0001)"),"")</f>
        <v/>
      </c>
      <c r="F471" s="4" t="str">
        <f t="shared" si="33"/>
        <v/>
      </c>
      <c r="G471" s="4" t="str">
        <f t="shared" si="34"/>
        <v/>
      </c>
      <c r="H471" s="4" t="str">
        <f t="shared" si="35"/>
        <v/>
      </c>
    </row>
    <row r="472" spans="1:8">
      <c r="A472" s="6" t="str">
        <f t="shared" si="36"/>
        <v/>
      </c>
      <c r="B472" s="6" t="str">
        <f t="shared" si="32"/>
        <v/>
      </c>
      <c r="C472" s="9" t="str" cm="1">
        <f t="array" ref="C472">IF(ISNUMBER(A472),INDEX(BackgroundCalcs!$AV$2:$AV$500,'Grading Formulas'!$A472),"")</f>
        <v/>
      </c>
      <c r="D472" s="9" t="str" cm="1">
        <f t="array" ref="D472">IF(ISNUMBER($A472),INDEX(BackgroundCalcs!$AW$2:$AW$500,'Grading Formulas'!$A472),"")</f>
        <v/>
      </c>
      <c r="E472" s="4" t="str" cm="1">
        <f t="array" ref="E472">IF(ISNUMBER($A472),IF(A472=A471,"Reference2(False,True,"&amp;INDEX(BackgroundCalcs!$AX$2:$AX$500,'Grading Formulas'!$A472)&amp;")","Reference() AND MOEValue(.0001)"),"")</f>
        <v/>
      </c>
      <c r="F472" s="4" t="str">
        <f t="shared" si="33"/>
        <v/>
      </c>
      <c r="G472" s="4" t="str">
        <f t="shared" si="34"/>
        <v/>
      </c>
      <c r="H472" s="4" t="str">
        <f t="shared" si="35"/>
        <v/>
      </c>
    </row>
    <row r="473" spans="1:8">
      <c r="A473" s="6" t="str">
        <f t="shared" si="36"/>
        <v/>
      </c>
      <c r="B473" s="6" t="str">
        <f t="shared" si="32"/>
        <v/>
      </c>
      <c r="C473" s="9" t="str" cm="1">
        <f t="array" ref="C473">IF(ISNUMBER(A473),INDEX(BackgroundCalcs!$AV$2:$AV$500,'Grading Formulas'!$A473),"")</f>
        <v/>
      </c>
      <c r="D473" s="9" t="str" cm="1">
        <f t="array" ref="D473">IF(ISNUMBER($A473),INDEX(BackgroundCalcs!$AW$2:$AW$500,'Grading Formulas'!$A473),"")</f>
        <v/>
      </c>
      <c r="E473" s="4" t="str" cm="1">
        <f t="array" ref="E473">IF(ISNUMBER($A473),IF(A473=A472,"Reference2(False,True,"&amp;INDEX(BackgroundCalcs!$AX$2:$AX$500,'Grading Formulas'!$A473)&amp;")","Reference() AND MOEValue(.0001)"),"")</f>
        <v/>
      </c>
      <c r="F473" s="4" t="str">
        <f t="shared" si="33"/>
        <v/>
      </c>
      <c r="G473" s="4" t="str">
        <f t="shared" si="34"/>
        <v/>
      </c>
      <c r="H473" s="4" t="str">
        <f t="shared" si="35"/>
        <v/>
      </c>
    </row>
    <row r="474" spans="1:8">
      <c r="A474" s="6" t="str">
        <f t="shared" si="36"/>
        <v/>
      </c>
      <c r="B474" s="6" t="str">
        <f t="shared" si="32"/>
        <v/>
      </c>
      <c r="C474" s="9" t="str" cm="1">
        <f t="array" ref="C474">IF(ISNUMBER(A474),INDEX(BackgroundCalcs!$AV$2:$AV$500,'Grading Formulas'!$A474),"")</f>
        <v/>
      </c>
      <c r="D474" s="9" t="str" cm="1">
        <f t="array" ref="D474">IF(ISNUMBER($A474),INDEX(BackgroundCalcs!$AW$2:$AW$500,'Grading Formulas'!$A474),"")</f>
        <v/>
      </c>
      <c r="E474" s="4" t="str" cm="1">
        <f t="array" ref="E474">IF(ISNUMBER($A474),IF(A474=A473,"Reference2(False,True,"&amp;INDEX(BackgroundCalcs!$AX$2:$AX$500,'Grading Formulas'!$A474)&amp;")","Reference() AND MOEValue(.0001)"),"")</f>
        <v/>
      </c>
      <c r="F474" s="4" t="str">
        <f t="shared" si="33"/>
        <v/>
      </c>
      <c r="G474" s="4" t="str">
        <f t="shared" si="34"/>
        <v/>
      </c>
      <c r="H474" s="4" t="str">
        <f t="shared" si="35"/>
        <v/>
      </c>
    </row>
    <row r="475" spans="1:8">
      <c r="A475" s="6" t="str">
        <f t="shared" si="36"/>
        <v/>
      </c>
      <c r="B475" s="6" t="str">
        <f t="shared" si="32"/>
        <v/>
      </c>
      <c r="C475" s="9" t="str" cm="1">
        <f t="array" ref="C475">IF(ISNUMBER(A475),INDEX(BackgroundCalcs!$AV$2:$AV$500,'Grading Formulas'!$A475),"")</f>
        <v/>
      </c>
      <c r="D475" s="9" t="str" cm="1">
        <f t="array" ref="D475">IF(ISNUMBER($A475),INDEX(BackgroundCalcs!$AW$2:$AW$500,'Grading Formulas'!$A475),"")</f>
        <v/>
      </c>
      <c r="E475" s="4" t="str" cm="1">
        <f t="array" ref="E475">IF(ISNUMBER($A475),IF(A475=A474,"Reference2(False,True,"&amp;INDEX(BackgroundCalcs!$AX$2:$AX$500,'Grading Formulas'!$A475)&amp;")","Reference() AND MOEValue(.0001)"),"")</f>
        <v/>
      </c>
      <c r="F475" s="4" t="str">
        <f t="shared" si="33"/>
        <v/>
      </c>
      <c r="G475" s="4" t="str">
        <f t="shared" si="34"/>
        <v/>
      </c>
      <c r="H475" s="4" t="str">
        <f t="shared" si="35"/>
        <v/>
      </c>
    </row>
    <row r="476" spans="1:8">
      <c r="A476" s="6" t="str">
        <f t="shared" si="36"/>
        <v/>
      </c>
      <c r="B476" s="6" t="str">
        <f t="shared" si="32"/>
        <v/>
      </c>
      <c r="C476" s="9" t="str" cm="1">
        <f t="array" ref="C476">IF(ISNUMBER(A476),INDEX(BackgroundCalcs!$AV$2:$AV$500,'Grading Formulas'!$A476),"")</f>
        <v/>
      </c>
      <c r="D476" s="9" t="str" cm="1">
        <f t="array" ref="D476">IF(ISNUMBER($A476),INDEX(BackgroundCalcs!$AW$2:$AW$500,'Grading Formulas'!$A476),"")</f>
        <v/>
      </c>
      <c r="E476" s="4" t="str" cm="1">
        <f t="array" ref="E476">IF(ISNUMBER($A476),IF(A476=A475,"Reference2(False,True,"&amp;INDEX(BackgroundCalcs!$AX$2:$AX$500,'Grading Formulas'!$A476)&amp;")","Reference() AND MOEValue(.0001)"),"")</f>
        <v/>
      </c>
      <c r="F476" s="4" t="str">
        <f t="shared" si="33"/>
        <v/>
      </c>
      <c r="G476" s="4" t="str">
        <f t="shared" si="34"/>
        <v/>
      </c>
      <c r="H476" s="4" t="str">
        <f t="shared" si="35"/>
        <v/>
      </c>
    </row>
    <row r="477" spans="1:8">
      <c r="A477" s="6" t="str">
        <f t="shared" si="36"/>
        <v/>
      </c>
      <c r="B477" s="6" t="str">
        <f t="shared" si="32"/>
        <v/>
      </c>
      <c r="C477" s="9" t="str" cm="1">
        <f t="array" ref="C477">IF(ISNUMBER(A477),INDEX(BackgroundCalcs!$AV$2:$AV$500,'Grading Formulas'!$A477),"")</f>
        <v/>
      </c>
      <c r="D477" s="9" t="str" cm="1">
        <f t="array" ref="D477">IF(ISNUMBER($A477),INDEX(BackgroundCalcs!$AW$2:$AW$500,'Grading Formulas'!$A477),"")</f>
        <v/>
      </c>
      <c r="E477" s="4" t="str" cm="1">
        <f t="array" ref="E477">IF(ISNUMBER($A477),IF(A477=A476,"Reference2(False,True,"&amp;INDEX(BackgroundCalcs!$AX$2:$AX$500,'Grading Formulas'!$A477)&amp;")","Reference() AND MOEValue(.0001)"),"")</f>
        <v/>
      </c>
      <c r="F477" s="4" t="str">
        <f t="shared" si="33"/>
        <v/>
      </c>
      <c r="G477" s="4" t="str">
        <f t="shared" si="34"/>
        <v/>
      </c>
      <c r="H477" s="4" t="str">
        <f t="shared" si="35"/>
        <v/>
      </c>
    </row>
    <row r="478" spans="1:8">
      <c r="A478" s="6" t="str">
        <f t="shared" si="36"/>
        <v/>
      </c>
      <c r="B478" s="6" t="str">
        <f t="shared" si="32"/>
        <v/>
      </c>
      <c r="C478" s="9" t="str" cm="1">
        <f t="array" ref="C478">IF(ISNUMBER(A478),INDEX(BackgroundCalcs!$AV$2:$AV$500,'Grading Formulas'!$A478),"")</f>
        <v/>
      </c>
      <c r="D478" s="9" t="str" cm="1">
        <f t="array" ref="D478">IF(ISNUMBER($A478),INDEX(BackgroundCalcs!$AW$2:$AW$500,'Grading Formulas'!$A478),"")</f>
        <v/>
      </c>
      <c r="E478" s="4" t="str" cm="1">
        <f t="array" ref="E478">IF(ISNUMBER($A478),IF(A478=A477,"Reference2(False,True,"&amp;INDEX(BackgroundCalcs!$AX$2:$AX$500,'Grading Formulas'!$A478)&amp;")","Reference() AND MOEValue(.0001)"),"")</f>
        <v/>
      </c>
      <c r="F478" s="4" t="str">
        <f t="shared" si="33"/>
        <v/>
      </c>
      <c r="G478" s="4" t="str">
        <f t="shared" si="34"/>
        <v/>
      </c>
      <c r="H478" s="4" t="str">
        <f t="shared" si="35"/>
        <v/>
      </c>
    </row>
    <row r="479" spans="1:8">
      <c r="A479" s="6" t="str">
        <f t="shared" si="36"/>
        <v/>
      </c>
      <c r="B479" s="6" t="str">
        <f t="shared" si="32"/>
        <v/>
      </c>
      <c r="C479" s="9" t="str" cm="1">
        <f t="array" ref="C479">IF(ISNUMBER(A479),INDEX(BackgroundCalcs!$AV$2:$AV$500,'Grading Formulas'!$A479),"")</f>
        <v/>
      </c>
      <c r="D479" s="9" t="str" cm="1">
        <f t="array" ref="D479">IF(ISNUMBER($A479),INDEX(BackgroundCalcs!$AW$2:$AW$500,'Grading Formulas'!$A479),"")</f>
        <v/>
      </c>
      <c r="E479" s="4" t="str" cm="1">
        <f t="array" ref="E479">IF(ISNUMBER($A479),IF(A479=A478,"Reference2(False,True,"&amp;INDEX(BackgroundCalcs!$AX$2:$AX$500,'Grading Formulas'!$A479)&amp;")","Reference() AND MOEValue(.0001)"),"")</f>
        <v/>
      </c>
      <c r="F479" s="4" t="str">
        <f t="shared" si="33"/>
        <v/>
      </c>
      <c r="G479" s="4" t="str">
        <f t="shared" si="34"/>
        <v/>
      </c>
      <c r="H479" s="4" t="str">
        <f t="shared" si="35"/>
        <v/>
      </c>
    </row>
    <row r="480" spans="1:8">
      <c r="A480" s="6" t="str">
        <f t="shared" si="36"/>
        <v/>
      </c>
      <c r="B480" s="6" t="str">
        <f t="shared" si="32"/>
        <v/>
      </c>
      <c r="C480" s="9" t="str" cm="1">
        <f t="array" ref="C480">IF(ISNUMBER(A480),INDEX(BackgroundCalcs!$AV$2:$AV$500,'Grading Formulas'!$A480),"")</f>
        <v/>
      </c>
      <c r="D480" s="9" t="str" cm="1">
        <f t="array" ref="D480">IF(ISNUMBER($A480),INDEX(BackgroundCalcs!$AW$2:$AW$500,'Grading Formulas'!$A480),"")</f>
        <v/>
      </c>
      <c r="E480" s="4" t="str" cm="1">
        <f t="array" ref="E480">IF(ISNUMBER($A480),IF(A480=A479,"Reference2(False,True,"&amp;INDEX(BackgroundCalcs!$AX$2:$AX$500,'Grading Formulas'!$A480)&amp;")","Reference() AND MOEValue(.0001)"),"")</f>
        <v/>
      </c>
      <c r="F480" s="4" t="str">
        <f t="shared" si="33"/>
        <v/>
      </c>
      <c r="G480" s="4" t="str">
        <f t="shared" si="34"/>
        <v/>
      </c>
      <c r="H480" s="4" t="str">
        <f t="shared" si="35"/>
        <v/>
      </c>
    </row>
    <row r="481" spans="1:8">
      <c r="A481" s="6" t="str">
        <f t="shared" si="36"/>
        <v/>
      </c>
      <c r="B481" s="6" t="str">
        <f t="shared" si="32"/>
        <v/>
      </c>
      <c r="C481" s="9" t="str" cm="1">
        <f t="array" ref="C481">IF(ISNUMBER(A481),INDEX(BackgroundCalcs!$AV$2:$AV$500,'Grading Formulas'!$A481),"")</f>
        <v/>
      </c>
      <c r="D481" s="9" t="str" cm="1">
        <f t="array" ref="D481">IF(ISNUMBER($A481),INDEX(BackgroundCalcs!$AW$2:$AW$500,'Grading Formulas'!$A481),"")</f>
        <v/>
      </c>
      <c r="E481" s="4" t="str" cm="1">
        <f t="array" ref="E481">IF(ISNUMBER($A481),IF(A481=A480,"Reference2(False,True,"&amp;INDEX(BackgroundCalcs!$AX$2:$AX$500,'Grading Formulas'!$A481)&amp;")","Reference() AND MOEValue(.0001)"),"")</f>
        <v/>
      </c>
      <c r="F481" s="4" t="str">
        <f t="shared" si="33"/>
        <v/>
      </c>
      <c r="G481" s="4" t="str">
        <f t="shared" si="34"/>
        <v/>
      </c>
      <c r="H481" s="4" t="str">
        <f t="shared" si="35"/>
        <v/>
      </c>
    </row>
    <row r="482" spans="1:8">
      <c r="A482" s="6" t="str">
        <f t="shared" si="36"/>
        <v/>
      </c>
      <c r="B482" s="6" t="str">
        <f t="shared" si="32"/>
        <v/>
      </c>
      <c r="C482" s="9" t="str" cm="1">
        <f t="array" ref="C482">IF(ISNUMBER(A482),INDEX(BackgroundCalcs!$AV$2:$AV$500,'Grading Formulas'!$A482),"")</f>
        <v/>
      </c>
      <c r="D482" s="9" t="str" cm="1">
        <f t="array" ref="D482">IF(ISNUMBER($A482),INDEX(BackgroundCalcs!$AW$2:$AW$500,'Grading Formulas'!$A482),"")</f>
        <v/>
      </c>
      <c r="E482" s="4" t="str" cm="1">
        <f t="array" ref="E482">IF(ISNUMBER($A482),IF(A482=A481,"Reference2(False,True,"&amp;INDEX(BackgroundCalcs!$AX$2:$AX$500,'Grading Formulas'!$A482)&amp;")","Reference() AND MOEValue(.0001)"),"")</f>
        <v/>
      </c>
      <c r="F482" s="4" t="str">
        <f t="shared" si="33"/>
        <v/>
      </c>
      <c r="G482" s="4" t="str">
        <f t="shared" si="34"/>
        <v/>
      </c>
      <c r="H482" s="4" t="str">
        <f t="shared" si="35"/>
        <v/>
      </c>
    </row>
    <row r="483" spans="1:8">
      <c r="A483" s="6" t="str">
        <f t="shared" si="36"/>
        <v/>
      </c>
      <c r="B483" s="6" t="str">
        <f t="shared" si="32"/>
        <v/>
      </c>
      <c r="C483" s="9" t="str" cm="1">
        <f t="array" ref="C483">IF(ISNUMBER(A483),INDEX(BackgroundCalcs!$AV$2:$AV$500,'Grading Formulas'!$A483),"")</f>
        <v/>
      </c>
      <c r="D483" s="9" t="str" cm="1">
        <f t="array" ref="D483">IF(ISNUMBER($A483),INDEX(BackgroundCalcs!$AW$2:$AW$500,'Grading Formulas'!$A483),"")</f>
        <v/>
      </c>
      <c r="E483" s="4" t="str" cm="1">
        <f t="array" ref="E483">IF(ISNUMBER($A483),IF(A483=A482,"Reference2(False,True,"&amp;INDEX(BackgroundCalcs!$AX$2:$AX$500,'Grading Formulas'!$A483)&amp;")","Reference() AND MOEValue(.0001)"),"")</f>
        <v/>
      </c>
      <c r="F483" s="4" t="str">
        <f t="shared" si="33"/>
        <v/>
      </c>
      <c r="G483" s="4" t="str">
        <f t="shared" si="34"/>
        <v/>
      </c>
      <c r="H483" s="4" t="str">
        <f t="shared" si="35"/>
        <v/>
      </c>
    </row>
    <row r="484" spans="1:8">
      <c r="A484" s="6" t="str">
        <f t="shared" si="36"/>
        <v/>
      </c>
      <c r="B484" s="6" t="str">
        <f t="shared" si="32"/>
        <v/>
      </c>
      <c r="C484" s="9" t="str" cm="1">
        <f t="array" ref="C484">IF(ISNUMBER(A484),INDEX(BackgroundCalcs!$AV$2:$AV$500,'Grading Formulas'!$A484),"")</f>
        <v/>
      </c>
      <c r="D484" s="9" t="str" cm="1">
        <f t="array" ref="D484">IF(ISNUMBER($A484),INDEX(BackgroundCalcs!$AW$2:$AW$500,'Grading Formulas'!$A484),"")</f>
        <v/>
      </c>
      <c r="E484" s="4" t="str" cm="1">
        <f t="array" ref="E484">IF(ISNUMBER($A484),IF(A484=A483,"Reference2(False,True,"&amp;INDEX(BackgroundCalcs!$AX$2:$AX$500,'Grading Formulas'!$A484)&amp;")","Reference() AND MOEValue(.0001)"),"")</f>
        <v/>
      </c>
      <c r="F484" s="4" t="str">
        <f t="shared" si="33"/>
        <v/>
      </c>
      <c r="G484" s="4" t="str">
        <f t="shared" si="34"/>
        <v/>
      </c>
      <c r="H484" s="4" t="str">
        <f t="shared" si="35"/>
        <v/>
      </c>
    </row>
    <row r="485" spans="1:8">
      <c r="A485" s="6" t="str">
        <f t="shared" si="36"/>
        <v/>
      </c>
      <c r="B485" s="6" t="str">
        <f t="shared" si="32"/>
        <v/>
      </c>
      <c r="C485" s="9" t="str" cm="1">
        <f t="array" ref="C485">IF(ISNUMBER(A485),INDEX(BackgroundCalcs!$AV$2:$AV$500,'Grading Formulas'!$A485),"")</f>
        <v/>
      </c>
      <c r="D485" s="9" t="str" cm="1">
        <f t="array" ref="D485">IF(ISNUMBER($A485),INDEX(BackgroundCalcs!$AW$2:$AW$500,'Grading Formulas'!$A485),"")</f>
        <v/>
      </c>
      <c r="E485" s="4" t="str" cm="1">
        <f t="array" ref="E485">IF(ISNUMBER($A485),IF(A485=A484,"Reference2(False,True,"&amp;INDEX(BackgroundCalcs!$AX$2:$AX$500,'Grading Formulas'!$A485)&amp;")","Reference() AND MOEValue(.0001)"),"")</f>
        <v/>
      </c>
      <c r="F485" s="4" t="str">
        <f t="shared" si="33"/>
        <v/>
      </c>
      <c r="G485" s="4" t="str">
        <f t="shared" si="34"/>
        <v/>
      </c>
      <c r="H485" s="4" t="str">
        <f t="shared" si="35"/>
        <v/>
      </c>
    </row>
    <row r="486" spans="1:8">
      <c r="A486" s="6" t="str">
        <f t="shared" si="36"/>
        <v/>
      </c>
      <c r="B486" s="6" t="str">
        <f t="shared" si="32"/>
        <v/>
      </c>
      <c r="C486" s="9" t="str" cm="1">
        <f t="array" ref="C486">IF(ISNUMBER(A486),INDEX(BackgroundCalcs!$AV$2:$AV$500,'Grading Formulas'!$A486),"")</f>
        <v/>
      </c>
      <c r="D486" s="9" t="str" cm="1">
        <f t="array" ref="D486">IF(ISNUMBER($A486),INDEX(BackgroundCalcs!$AW$2:$AW$500,'Grading Formulas'!$A486),"")</f>
        <v/>
      </c>
      <c r="E486" s="4" t="str" cm="1">
        <f t="array" ref="E486">IF(ISNUMBER($A486),IF(A486=A485,"Reference2(False,True,"&amp;INDEX(BackgroundCalcs!$AX$2:$AX$500,'Grading Formulas'!$A486)&amp;")","Reference() AND MOEValue(.0001)"),"")</f>
        <v/>
      </c>
      <c r="F486" s="4" t="str">
        <f t="shared" si="33"/>
        <v/>
      </c>
      <c r="G486" s="4" t="str">
        <f t="shared" si="34"/>
        <v/>
      </c>
      <c r="H486" s="4" t="str">
        <f t="shared" si="35"/>
        <v/>
      </c>
    </row>
    <row r="487" spans="1:8">
      <c r="A487" s="6" t="str">
        <f t="shared" si="36"/>
        <v/>
      </c>
      <c r="B487" s="6" t="str">
        <f t="shared" si="32"/>
        <v/>
      </c>
      <c r="C487" s="9" t="str" cm="1">
        <f t="array" ref="C487">IF(ISNUMBER(A487),INDEX(BackgroundCalcs!$AV$2:$AV$500,'Grading Formulas'!$A487),"")</f>
        <v/>
      </c>
      <c r="D487" s="9" t="str" cm="1">
        <f t="array" ref="D487">IF(ISNUMBER($A487),INDEX(BackgroundCalcs!$AW$2:$AW$500,'Grading Formulas'!$A487),"")</f>
        <v/>
      </c>
      <c r="E487" s="4" t="str" cm="1">
        <f t="array" ref="E487">IF(ISNUMBER($A487),IF(A487=A486,"Reference2(False,True,"&amp;INDEX(BackgroundCalcs!$AX$2:$AX$500,'Grading Formulas'!$A487)&amp;")","Reference() AND MOEValue(.0001)"),"")</f>
        <v/>
      </c>
      <c r="F487" s="4" t="str">
        <f t="shared" si="33"/>
        <v/>
      </c>
      <c r="G487" s="4" t="str">
        <f t="shared" si="34"/>
        <v/>
      </c>
      <c r="H487" s="4" t="str">
        <f t="shared" si="35"/>
        <v/>
      </c>
    </row>
    <row r="488" spans="1:8">
      <c r="A488" s="6" t="str">
        <f t="shared" si="36"/>
        <v/>
      </c>
      <c r="B488" s="6" t="str">
        <f t="shared" si="32"/>
        <v/>
      </c>
      <c r="C488" s="9" t="str" cm="1">
        <f t="array" ref="C488">IF(ISNUMBER(A488),INDEX(BackgroundCalcs!$AV$2:$AV$500,'Grading Formulas'!$A488),"")</f>
        <v/>
      </c>
      <c r="D488" s="9" t="str" cm="1">
        <f t="array" ref="D488">IF(ISNUMBER($A488),INDEX(BackgroundCalcs!$AW$2:$AW$500,'Grading Formulas'!$A488),"")</f>
        <v/>
      </c>
      <c r="E488" s="4" t="str" cm="1">
        <f t="array" ref="E488">IF(ISNUMBER($A488),IF(A488=A487,"Reference2(False,True,"&amp;INDEX(BackgroundCalcs!$AX$2:$AX$500,'Grading Formulas'!$A488)&amp;")","Reference() AND MOEValue(.0001)"),"")</f>
        <v/>
      </c>
      <c r="F488" s="4" t="str">
        <f t="shared" si="33"/>
        <v/>
      </c>
      <c r="G488" s="4" t="str">
        <f t="shared" si="34"/>
        <v/>
      </c>
      <c r="H488" s="4" t="str">
        <f t="shared" si="35"/>
        <v/>
      </c>
    </row>
    <row r="489" spans="1:8">
      <c r="A489" s="6" t="str">
        <f t="shared" si="36"/>
        <v/>
      </c>
      <c r="B489" s="6" t="str">
        <f t="shared" si="32"/>
        <v/>
      </c>
      <c r="C489" s="9" t="str" cm="1">
        <f t="array" ref="C489">IF(ISNUMBER(A489),INDEX(BackgroundCalcs!$AV$2:$AV$500,'Grading Formulas'!$A489),"")</f>
        <v/>
      </c>
      <c r="D489" s="9" t="str" cm="1">
        <f t="array" ref="D489">IF(ISNUMBER($A489),INDEX(BackgroundCalcs!$AW$2:$AW$500,'Grading Formulas'!$A489),"")</f>
        <v/>
      </c>
      <c r="E489" s="4" t="str" cm="1">
        <f t="array" ref="E489">IF(ISNUMBER($A489),IF(A489=A488,"Reference2(False,True,"&amp;INDEX(BackgroundCalcs!$AX$2:$AX$500,'Grading Formulas'!$A489)&amp;")","Reference() AND MOEValue(.0001)"),"")</f>
        <v/>
      </c>
      <c r="F489" s="4" t="str">
        <f t="shared" si="33"/>
        <v/>
      </c>
      <c r="G489" s="4" t="str">
        <f t="shared" si="34"/>
        <v/>
      </c>
      <c r="H489" s="4" t="str">
        <f t="shared" si="35"/>
        <v/>
      </c>
    </row>
    <row r="490" spans="1:8">
      <c r="A490" s="6" t="str">
        <f t="shared" si="36"/>
        <v/>
      </c>
      <c r="B490" s="6" t="str">
        <f t="shared" si="32"/>
        <v/>
      </c>
      <c r="C490" s="9" t="str" cm="1">
        <f t="array" ref="C490">IF(ISNUMBER(A490),INDEX(BackgroundCalcs!$AV$2:$AV$500,'Grading Formulas'!$A490),"")</f>
        <v/>
      </c>
      <c r="D490" s="9" t="str" cm="1">
        <f t="array" ref="D490">IF(ISNUMBER($A490),INDEX(BackgroundCalcs!$AW$2:$AW$500,'Grading Formulas'!$A490),"")</f>
        <v/>
      </c>
      <c r="E490" s="4" t="str" cm="1">
        <f t="array" ref="E490">IF(ISNUMBER($A490),IF(A490=A489,"Reference2(False,True,"&amp;INDEX(BackgroundCalcs!$AX$2:$AX$500,'Grading Formulas'!$A490)&amp;")","Reference() AND MOEValue(.0001)"),"")</f>
        <v/>
      </c>
      <c r="F490" s="4" t="str">
        <f t="shared" si="33"/>
        <v/>
      </c>
      <c r="G490" s="4" t="str">
        <f t="shared" si="34"/>
        <v/>
      </c>
      <c r="H490" s="4" t="str">
        <f t="shared" si="35"/>
        <v/>
      </c>
    </row>
    <row r="491" spans="1:8">
      <c r="A491" s="6" t="str">
        <f t="shared" si="36"/>
        <v/>
      </c>
      <c r="B491" s="6" t="str">
        <f t="shared" si="32"/>
        <v/>
      </c>
      <c r="C491" s="9" t="str" cm="1">
        <f t="array" ref="C491">IF(ISNUMBER(A491),INDEX(BackgroundCalcs!$AV$2:$AV$500,'Grading Formulas'!$A491),"")</f>
        <v/>
      </c>
      <c r="D491" s="9" t="str" cm="1">
        <f t="array" ref="D491">IF(ISNUMBER($A491),INDEX(BackgroundCalcs!$AW$2:$AW$500,'Grading Formulas'!$A491),"")</f>
        <v/>
      </c>
      <c r="E491" s="4" t="str" cm="1">
        <f t="array" ref="E491">IF(ISNUMBER($A491),IF(A491=A490,"Reference2(False,True,"&amp;INDEX(BackgroundCalcs!$AX$2:$AX$500,'Grading Formulas'!$A491)&amp;")","Reference() AND MOEValue(.0001)"),"")</f>
        <v/>
      </c>
      <c r="F491" s="4" t="str">
        <f t="shared" si="33"/>
        <v/>
      </c>
      <c r="G491" s="4" t="str">
        <f t="shared" si="34"/>
        <v/>
      </c>
      <c r="H491" s="4" t="str">
        <f t="shared" si="35"/>
        <v/>
      </c>
    </row>
    <row r="492" spans="1:8">
      <c r="A492" s="6" t="str">
        <f t="shared" si="36"/>
        <v/>
      </c>
      <c r="B492" s="6" t="str">
        <f t="shared" si="32"/>
        <v/>
      </c>
      <c r="C492" s="9" t="str" cm="1">
        <f t="array" ref="C492">IF(ISNUMBER(A492),INDEX(BackgroundCalcs!$AV$2:$AV$500,'Grading Formulas'!$A492),"")</f>
        <v/>
      </c>
      <c r="D492" s="9" t="str" cm="1">
        <f t="array" ref="D492">IF(ISNUMBER($A492),INDEX(BackgroundCalcs!$AW$2:$AW$500,'Grading Formulas'!$A492),"")</f>
        <v/>
      </c>
      <c r="E492" s="4" t="str" cm="1">
        <f t="array" ref="E492">IF(ISNUMBER($A492),IF(A492=A491,"Reference2(False,True,"&amp;INDEX(BackgroundCalcs!$AX$2:$AX$500,'Grading Formulas'!$A492)&amp;")","Reference() AND MOEValue(.0001)"),"")</f>
        <v/>
      </c>
      <c r="F492" s="4" t="str">
        <f t="shared" si="33"/>
        <v/>
      </c>
      <c r="G492" s="4" t="str">
        <f t="shared" si="34"/>
        <v/>
      </c>
      <c r="H492" s="4" t="str">
        <f t="shared" si="35"/>
        <v/>
      </c>
    </row>
    <row r="493" spans="1:8">
      <c r="A493" s="6" t="str">
        <f t="shared" si="36"/>
        <v/>
      </c>
      <c r="B493" s="6" t="str">
        <f t="shared" si="32"/>
        <v/>
      </c>
      <c r="C493" s="9" t="str" cm="1">
        <f t="array" ref="C493">IF(ISNUMBER(A493),INDEX(BackgroundCalcs!$AV$2:$AV$500,'Grading Formulas'!$A493),"")</f>
        <v/>
      </c>
      <c r="D493" s="9" t="str" cm="1">
        <f t="array" ref="D493">IF(ISNUMBER($A493),INDEX(BackgroundCalcs!$AW$2:$AW$500,'Grading Formulas'!$A493),"")</f>
        <v/>
      </c>
      <c r="E493" s="4" t="str" cm="1">
        <f t="array" ref="E493">IF(ISNUMBER($A493),IF(A493=A492,"Reference2(False,True,"&amp;INDEX(BackgroundCalcs!$AX$2:$AX$500,'Grading Formulas'!$A493)&amp;")","Reference() AND MOEValue(.0001)"),"")</f>
        <v/>
      </c>
      <c r="F493" s="4" t="str">
        <f t="shared" si="33"/>
        <v/>
      </c>
      <c r="G493" s="4" t="str">
        <f t="shared" si="34"/>
        <v/>
      </c>
      <c r="H493" s="4" t="str">
        <f t="shared" si="35"/>
        <v/>
      </c>
    </row>
    <row r="494" spans="1:8">
      <c r="A494" s="6" t="str">
        <f t="shared" si="36"/>
        <v/>
      </c>
      <c r="B494" s="6" t="str">
        <f t="shared" si="32"/>
        <v/>
      </c>
      <c r="C494" s="9" t="str" cm="1">
        <f t="array" ref="C494">IF(ISNUMBER(A494),INDEX(BackgroundCalcs!$AV$2:$AV$500,'Grading Formulas'!$A494),"")</f>
        <v/>
      </c>
      <c r="D494" s="9" t="str" cm="1">
        <f t="array" ref="D494">IF(ISNUMBER($A494),INDEX(BackgroundCalcs!$AW$2:$AW$500,'Grading Formulas'!$A494),"")</f>
        <v/>
      </c>
      <c r="E494" s="4" t="str" cm="1">
        <f t="array" ref="E494">IF(ISNUMBER($A494),IF(A494=A493,"Reference2(False,True,"&amp;INDEX(BackgroundCalcs!$AX$2:$AX$500,'Grading Formulas'!$A494)&amp;")","Reference() AND MOEValue(.0001)"),"")</f>
        <v/>
      </c>
      <c r="F494" s="4" t="str">
        <f t="shared" si="33"/>
        <v/>
      </c>
      <c r="G494" s="4" t="str">
        <f t="shared" si="34"/>
        <v/>
      </c>
      <c r="H494" s="4" t="str">
        <f t="shared" si="35"/>
        <v/>
      </c>
    </row>
    <row r="495" spans="1:8">
      <c r="A495" s="6" t="str">
        <f t="shared" si="36"/>
        <v/>
      </c>
      <c r="B495" s="6" t="str">
        <f t="shared" si="32"/>
        <v/>
      </c>
      <c r="C495" s="9" t="str" cm="1">
        <f t="array" ref="C495">IF(ISNUMBER(A495),INDEX(BackgroundCalcs!$AV$2:$AV$500,'Grading Formulas'!$A495),"")</f>
        <v/>
      </c>
      <c r="D495" s="9" t="str" cm="1">
        <f t="array" ref="D495">IF(ISNUMBER($A495),INDEX(BackgroundCalcs!$AW$2:$AW$500,'Grading Formulas'!$A495),"")</f>
        <v/>
      </c>
      <c r="E495" s="4" t="str" cm="1">
        <f t="array" ref="E495">IF(ISNUMBER($A495),IF(A495=A494,"Reference2(False,True,"&amp;INDEX(BackgroundCalcs!$AX$2:$AX$500,'Grading Formulas'!$A495)&amp;")","Reference() AND MOEValue(.0001)"),"")</f>
        <v/>
      </c>
      <c r="F495" s="4" t="str">
        <f t="shared" si="33"/>
        <v/>
      </c>
      <c r="G495" s="4" t="str">
        <f t="shared" si="34"/>
        <v/>
      </c>
      <c r="H495" s="4" t="str">
        <f t="shared" si="35"/>
        <v/>
      </c>
    </row>
    <row r="496" spans="1:8">
      <c r="A496" s="6" t="str">
        <f t="shared" si="36"/>
        <v/>
      </c>
      <c r="B496" s="6" t="str">
        <f t="shared" si="32"/>
        <v/>
      </c>
      <c r="C496" s="9" t="str" cm="1">
        <f t="array" ref="C496">IF(ISNUMBER(A496),INDEX(BackgroundCalcs!$AV$2:$AV$500,'Grading Formulas'!$A496),"")</f>
        <v/>
      </c>
      <c r="D496" s="9" t="str" cm="1">
        <f t="array" ref="D496">IF(ISNUMBER($A496),INDEX(BackgroundCalcs!$AW$2:$AW$500,'Grading Formulas'!$A496),"")</f>
        <v/>
      </c>
      <c r="E496" s="4" t="str" cm="1">
        <f t="array" ref="E496">IF(ISNUMBER($A496),IF(A496=A495,"Reference2(False,True,"&amp;INDEX(BackgroundCalcs!$AX$2:$AX$500,'Grading Formulas'!$A496)&amp;")","Reference() AND MOEValue(.0001)"),"")</f>
        <v/>
      </c>
      <c r="F496" s="4" t="str">
        <f t="shared" si="33"/>
        <v/>
      </c>
      <c r="G496" s="4" t="str">
        <f t="shared" si="34"/>
        <v/>
      </c>
      <c r="H496" s="4" t="str">
        <f t="shared" si="35"/>
        <v/>
      </c>
    </row>
    <row r="497" spans="1:8">
      <c r="A497" s="6" t="str">
        <f t="shared" si="36"/>
        <v/>
      </c>
      <c r="B497" s="6" t="str">
        <f t="shared" si="32"/>
        <v/>
      </c>
      <c r="C497" s="9" t="str" cm="1">
        <f t="array" ref="C497">IF(ISNUMBER(A497),INDEX(BackgroundCalcs!$AV$2:$AV$500,'Grading Formulas'!$A497),"")</f>
        <v/>
      </c>
      <c r="D497" s="9" t="str" cm="1">
        <f t="array" ref="D497">IF(ISNUMBER($A497),INDEX(BackgroundCalcs!$AW$2:$AW$500,'Grading Formulas'!$A497),"")</f>
        <v/>
      </c>
      <c r="E497" s="4" t="str" cm="1">
        <f t="array" ref="E497">IF(ISNUMBER($A497),IF(A497=A496,"Reference2(False,True,"&amp;INDEX(BackgroundCalcs!$AX$2:$AX$500,'Grading Formulas'!$A497)&amp;")","Reference() AND MOEValue(.0001)"),"")</f>
        <v/>
      </c>
      <c r="F497" s="4" t="str">
        <f t="shared" si="33"/>
        <v/>
      </c>
      <c r="G497" s="4" t="str">
        <f t="shared" si="34"/>
        <v/>
      </c>
      <c r="H497" s="4" t="str">
        <f t="shared" si="35"/>
        <v/>
      </c>
    </row>
    <row r="498" spans="1:8">
      <c r="A498" s="6" t="str">
        <f t="shared" si="36"/>
        <v/>
      </c>
      <c r="B498" s="6" t="str">
        <f t="shared" si="32"/>
        <v/>
      </c>
      <c r="C498" s="9" t="str" cm="1">
        <f t="array" ref="C498">IF(ISNUMBER(A498),INDEX(BackgroundCalcs!$AV$2:$AV$500,'Grading Formulas'!$A498),"")</f>
        <v/>
      </c>
      <c r="D498" s="9" t="str" cm="1">
        <f t="array" ref="D498">IF(ISNUMBER($A498),INDEX(BackgroundCalcs!$AW$2:$AW$500,'Grading Formulas'!$A498),"")</f>
        <v/>
      </c>
      <c r="E498" s="4" t="str" cm="1">
        <f t="array" ref="E498">IF(ISNUMBER($A498),IF(A498=A497,"Reference2(False,True,"&amp;INDEX(BackgroundCalcs!$AX$2:$AX$500,'Grading Formulas'!$A498)&amp;")","Reference() AND MOEValue(.0001)"),"")</f>
        <v/>
      </c>
      <c r="F498" s="4" t="str">
        <f t="shared" si="33"/>
        <v/>
      </c>
      <c r="G498" s="4" t="str">
        <f t="shared" si="34"/>
        <v/>
      </c>
      <c r="H498" s="4" t="str">
        <f t="shared" si="35"/>
        <v/>
      </c>
    </row>
    <row r="499" spans="1:8">
      <c r="A499" s="6" t="str">
        <f t="shared" si="36"/>
        <v/>
      </c>
      <c r="B499" s="6" t="str">
        <f t="shared" si="32"/>
        <v/>
      </c>
      <c r="C499" s="9" t="str" cm="1">
        <f t="array" ref="C499">IF(ISNUMBER(A499),INDEX(BackgroundCalcs!$AV$2:$AV$500,'Grading Formulas'!$A499),"")</f>
        <v/>
      </c>
      <c r="D499" s="9" t="str" cm="1">
        <f t="array" ref="D499">IF(ISNUMBER($A499),INDEX(BackgroundCalcs!$AW$2:$AW$500,'Grading Formulas'!$A499),"")</f>
        <v/>
      </c>
      <c r="E499" s="4" t="str" cm="1">
        <f t="array" ref="E499">IF(ISNUMBER($A499),IF(A499=A498,"Reference2(False,True,"&amp;INDEX(BackgroundCalcs!$AX$2:$AX$500,'Grading Formulas'!$A499)&amp;")","Reference() AND MOEValue(.0001)"),"")</f>
        <v/>
      </c>
      <c r="F499" s="4" t="str">
        <f t="shared" si="33"/>
        <v/>
      </c>
      <c r="G499" s="4" t="str">
        <f t="shared" si="34"/>
        <v/>
      </c>
      <c r="H499" s="4" t="str">
        <f t="shared" si="35"/>
        <v/>
      </c>
    </row>
    <row r="500" spans="1:8">
      <c r="A500" s="6" t="str">
        <f t="shared" si="36"/>
        <v/>
      </c>
      <c r="B500" s="6" t="str">
        <f t="shared" si="32"/>
        <v/>
      </c>
      <c r="C500" s="9" t="str" cm="1">
        <f t="array" ref="C500">IF(ISNUMBER(A500),INDEX(BackgroundCalcs!$AV$2:$AV$500,'Grading Formulas'!$A500),"")</f>
        <v/>
      </c>
      <c r="D500" s="9" t="str" cm="1">
        <f t="array" ref="D500">IF(ISNUMBER($A500),INDEX(BackgroundCalcs!$AW$2:$AW$500,'Grading Formulas'!$A500),"")</f>
        <v/>
      </c>
      <c r="E500" s="4" t="str" cm="1">
        <f t="array" ref="E500">IF(ISNUMBER($A500),IF(A500=A499,"Reference2(False,True,"&amp;INDEX(BackgroundCalcs!$AX$2:$AX$500,'Grading Formulas'!$A500)&amp;")","Reference() AND MOEValue(.0001)"),"")</f>
        <v/>
      </c>
      <c r="F500" s="4" t="str">
        <f t="shared" si="33"/>
        <v/>
      </c>
      <c r="G500" s="4" t="str">
        <f t="shared" si="34"/>
        <v/>
      </c>
      <c r="H500" s="4" t="str">
        <f t="shared" si="35"/>
        <v/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F44B5-E06D-4E89-B58A-E7B4AE5CBCC3}">
  <sheetPr codeName="Sheet2"/>
  <dimension ref="A1:G65"/>
  <sheetViews>
    <sheetView workbookViewId="0"/>
  </sheetViews>
  <sheetFormatPr defaultRowHeight="14.5"/>
  <cols>
    <col min="1" max="1" width="12.26953125" style="4" bestFit="1" customWidth="1"/>
    <col min="2" max="2" width="23" style="4" bestFit="1" customWidth="1"/>
    <col min="3" max="3" width="6" style="4" bestFit="1" customWidth="1"/>
    <col min="4" max="4" width="30.26953125" style="4" bestFit="1" customWidth="1"/>
    <col min="5" max="5" width="5.81640625" style="4" bestFit="1" customWidth="1"/>
    <col min="6" max="6" width="41.08984375" style="4" bestFit="1" customWidth="1"/>
    <col min="7" max="7" width="16.7265625" style="4" bestFit="1" customWidth="1"/>
    <col min="8" max="16384" width="8.7265625" style="4"/>
  </cols>
  <sheetData>
    <row r="1" spans="1:7">
      <c r="A1" s="4" t="s">
        <v>99</v>
      </c>
      <c r="B1" s="39" t="s">
        <v>100</v>
      </c>
      <c r="C1" s="39" t="s">
        <v>101</v>
      </c>
      <c r="D1" s="39" t="s">
        <v>102</v>
      </c>
      <c r="E1" s="4" t="s">
        <v>103</v>
      </c>
      <c r="F1" s="4" t="s">
        <v>104</v>
      </c>
      <c r="G1" s="4" t="s">
        <v>105</v>
      </c>
    </row>
    <row r="2" spans="1:7">
      <c r="A2" s="4" t="s">
        <v>106</v>
      </c>
      <c r="B2" s="55" t="s">
        <v>294</v>
      </c>
      <c r="C2" s="39" t="s">
        <v>108</v>
      </c>
      <c r="D2" s="39" t="s">
        <v>152</v>
      </c>
      <c r="E2" s="4">
        <v>1</v>
      </c>
      <c r="F2" s="4" t="s">
        <v>153</v>
      </c>
      <c r="G2" s="4" t="s">
        <v>154</v>
      </c>
    </row>
    <row r="3" spans="1:7">
      <c r="A3" s="4" t="s">
        <v>106</v>
      </c>
      <c r="B3" s="55" t="s">
        <v>294</v>
      </c>
      <c r="C3" s="39" t="s">
        <v>108</v>
      </c>
      <c r="D3" s="39" t="s">
        <v>334</v>
      </c>
      <c r="E3" s="4">
        <v>-1000</v>
      </c>
      <c r="F3" s="4" t="s">
        <v>155</v>
      </c>
      <c r="G3" s="4" t="s">
        <v>107</v>
      </c>
    </row>
    <row r="4" spans="1:7">
      <c r="A4" s="4" t="s">
        <v>106</v>
      </c>
      <c r="B4" s="39" t="s">
        <v>294</v>
      </c>
      <c r="C4" s="39" t="s">
        <v>109</v>
      </c>
      <c r="D4" s="39" t="s">
        <v>152</v>
      </c>
      <c r="E4" s="4">
        <v>1</v>
      </c>
      <c r="F4" s="4" t="s">
        <v>153</v>
      </c>
      <c r="G4" s="4" t="s">
        <v>154</v>
      </c>
    </row>
    <row r="5" spans="1:7">
      <c r="A5" s="4" t="s">
        <v>106</v>
      </c>
      <c r="B5" s="39" t="s">
        <v>294</v>
      </c>
      <c r="C5" s="39" t="s">
        <v>109</v>
      </c>
      <c r="D5" s="39" t="s">
        <v>335</v>
      </c>
      <c r="E5" s="4">
        <v>-1000</v>
      </c>
      <c r="F5" s="4" t="s">
        <v>155</v>
      </c>
      <c r="G5" s="4" t="s">
        <v>107</v>
      </c>
    </row>
    <row r="6" spans="1:7">
      <c r="A6" s="4" t="s">
        <v>106</v>
      </c>
      <c r="B6" s="39" t="s">
        <v>295</v>
      </c>
      <c r="C6" s="39" t="s">
        <v>110</v>
      </c>
      <c r="D6" s="39" t="s">
        <v>152</v>
      </c>
      <c r="E6" s="4">
        <v>1</v>
      </c>
      <c r="F6" s="4" t="s">
        <v>153</v>
      </c>
      <c r="G6" s="4" t="s">
        <v>154</v>
      </c>
    </row>
    <row r="7" spans="1:7">
      <c r="A7" s="4" t="s">
        <v>106</v>
      </c>
      <c r="B7" s="39" t="s">
        <v>295</v>
      </c>
      <c r="C7" s="39" t="s">
        <v>110</v>
      </c>
      <c r="D7" s="39" t="s">
        <v>185</v>
      </c>
      <c r="E7" s="4">
        <v>-1000</v>
      </c>
      <c r="F7" s="4" t="s">
        <v>155</v>
      </c>
      <c r="G7" s="4" t="s">
        <v>107</v>
      </c>
    </row>
    <row r="8" spans="1:7">
      <c r="A8" s="4" t="s">
        <v>106</v>
      </c>
      <c r="B8" s="39" t="s">
        <v>295</v>
      </c>
      <c r="C8" s="39" t="s">
        <v>119</v>
      </c>
      <c r="D8" s="39" t="s">
        <v>152</v>
      </c>
      <c r="E8" s="4">
        <v>1</v>
      </c>
      <c r="F8" s="4" t="s">
        <v>153</v>
      </c>
      <c r="G8" s="4" t="s">
        <v>154</v>
      </c>
    </row>
    <row r="9" spans="1:7">
      <c r="A9" s="4" t="s">
        <v>106</v>
      </c>
      <c r="B9" s="39" t="s">
        <v>295</v>
      </c>
      <c r="C9" s="39" t="s">
        <v>119</v>
      </c>
      <c r="D9" s="39" t="s">
        <v>186</v>
      </c>
      <c r="E9" s="4">
        <v>-1000</v>
      </c>
      <c r="F9" s="4" t="s">
        <v>155</v>
      </c>
      <c r="G9" s="4" t="s">
        <v>107</v>
      </c>
    </row>
    <row r="10" spans="1:7">
      <c r="A10" s="4" t="s">
        <v>106</v>
      </c>
      <c r="B10" s="39" t="s">
        <v>295</v>
      </c>
      <c r="C10" s="39" t="s">
        <v>121</v>
      </c>
      <c r="D10" s="39" t="s">
        <v>152</v>
      </c>
      <c r="E10" s="4">
        <v>1</v>
      </c>
      <c r="F10" s="4" t="s">
        <v>153</v>
      </c>
      <c r="G10" s="4" t="s">
        <v>154</v>
      </c>
    </row>
    <row r="11" spans="1:7">
      <c r="A11" s="4" t="s">
        <v>106</v>
      </c>
      <c r="B11" s="39" t="s">
        <v>295</v>
      </c>
      <c r="C11" s="39" t="s">
        <v>121</v>
      </c>
      <c r="D11" s="39" t="s">
        <v>187</v>
      </c>
      <c r="E11" s="4">
        <v>-1000</v>
      </c>
      <c r="F11" s="4" t="s">
        <v>155</v>
      </c>
      <c r="G11" s="4" t="s">
        <v>107</v>
      </c>
    </row>
    <row r="12" spans="1:7">
      <c r="A12" s="4" t="s">
        <v>106</v>
      </c>
      <c r="B12" s="39" t="s">
        <v>295</v>
      </c>
      <c r="C12" s="39" t="s">
        <v>123</v>
      </c>
      <c r="D12" s="39" t="s">
        <v>152</v>
      </c>
      <c r="E12" s="4">
        <v>1</v>
      </c>
      <c r="F12" s="4" t="s">
        <v>153</v>
      </c>
      <c r="G12" s="4" t="s">
        <v>154</v>
      </c>
    </row>
    <row r="13" spans="1:7">
      <c r="A13" s="4" t="s">
        <v>106</v>
      </c>
      <c r="B13" s="39" t="s">
        <v>295</v>
      </c>
      <c r="C13" s="39" t="s">
        <v>123</v>
      </c>
      <c r="D13" s="39" t="s">
        <v>188</v>
      </c>
      <c r="E13" s="4">
        <v>-1000</v>
      </c>
      <c r="F13" s="4" t="s">
        <v>155</v>
      </c>
      <c r="G13" s="4" t="s">
        <v>107</v>
      </c>
    </row>
    <row r="14" spans="1:7">
      <c r="A14" s="4" t="s">
        <v>106</v>
      </c>
      <c r="B14" s="39" t="s">
        <v>295</v>
      </c>
      <c r="C14" s="39" t="s">
        <v>125</v>
      </c>
      <c r="D14" s="39" t="s">
        <v>152</v>
      </c>
      <c r="E14" s="4">
        <v>1</v>
      </c>
      <c r="F14" s="4" t="s">
        <v>153</v>
      </c>
      <c r="G14" s="4" t="s">
        <v>154</v>
      </c>
    </row>
    <row r="15" spans="1:7">
      <c r="A15" s="4" t="s">
        <v>106</v>
      </c>
      <c r="B15" s="39" t="s">
        <v>295</v>
      </c>
      <c r="C15" s="39" t="s">
        <v>125</v>
      </c>
      <c r="D15" s="39" t="s">
        <v>189</v>
      </c>
      <c r="E15" s="4">
        <v>-1000</v>
      </c>
      <c r="F15" s="4" t="s">
        <v>155</v>
      </c>
      <c r="G15" s="4" t="s">
        <v>107</v>
      </c>
    </row>
    <row r="16" spans="1:7">
      <c r="A16" s="4" t="s">
        <v>106</v>
      </c>
      <c r="B16" s="39" t="s">
        <v>242</v>
      </c>
      <c r="C16" s="39" t="s">
        <v>118</v>
      </c>
      <c r="D16" s="39" t="s">
        <v>152</v>
      </c>
      <c r="E16" s="4">
        <v>1</v>
      </c>
      <c r="F16" s="4" t="s">
        <v>153</v>
      </c>
      <c r="G16" s="4" t="s">
        <v>154</v>
      </c>
    </row>
    <row r="17" spans="1:7">
      <c r="A17" s="4" t="s">
        <v>106</v>
      </c>
      <c r="B17" s="39" t="s">
        <v>242</v>
      </c>
      <c r="C17" s="39" t="s">
        <v>118</v>
      </c>
      <c r="D17" s="39" t="s">
        <v>178</v>
      </c>
      <c r="E17" s="4">
        <v>-1000</v>
      </c>
      <c r="F17" s="4" t="s">
        <v>155</v>
      </c>
      <c r="G17" s="4" t="s">
        <v>107</v>
      </c>
    </row>
    <row r="18" spans="1:7">
      <c r="A18" s="4" t="s">
        <v>106</v>
      </c>
      <c r="B18" s="39" t="s">
        <v>242</v>
      </c>
      <c r="C18" s="39" t="s">
        <v>120</v>
      </c>
      <c r="D18" s="39" t="s">
        <v>152</v>
      </c>
      <c r="E18" s="4">
        <v>1</v>
      </c>
      <c r="F18" s="4" t="s">
        <v>153</v>
      </c>
      <c r="G18" s="4" t="s">
        <v>154</v>
      </c>
    </row>
    <row r="19" spans="1:7">
      <c r="A19" s="4" t="s">
        <v>106</v>
      </c>
      <c r="B19" s="39" t="s">
        <v>242</v>
      </c>
      <c r="C19" s="39" t="s">
        <v>120</v>
      </c>
      <c r="D19" s="39" t="s">
        <v>179</v>
      </c>
      <c r="E19" s="4">
        <v>-1000</v>
      </c>
      <c r="F19" s="4" t="s">
        <v>155</v>
      </c>
      <c r="G19" s="4" t="s">
        <v>107</v>
      </c>
    </row>
    <row r="20" spans="1:7">
      <c r="A20" s="4" t="s">
        <v>106</v>
      </c>
      <c r="B20" s="39" t="s">
        <v>242</v>
      </c>
      <c r="C20" s="39" t="s">
        <v>122</v>
      </c>
      <c r="D20" s="39" t="s">
        <v>152</v>
      </c>
      <c r="E20" s="4">
        <v>1</v>
      </c>
      <c r="F20" s="4" t="s">
        <v>153</v>
      </c>
      <c r="G20" s="4" t="s">
        <v>154</v>
      </c>
    </row>
    <row r="21" spans="1:7">
      <c r="A21" s="4" t="s">
        <v>106</v>
      </c>
      <c r="B21" s="39" t="s">
        <v>242</v>
      </c>
      <c r="C21" s="39" t="s">
        <v>122</v>
      </c>
      <c r="D21" s="39" t="s">
        <v>180</v>
      </c>
      <c r="E21" s="4">
        <v>-1000</v>
      </c>
      <c r="F21" s="4" t="s">
        <v>155</v>
      </c>
      <c r="G21" s="4" t="s">
        <v>107</v>
      </c>
    </row>
    <row r="22" spans="1:7">
      <c r="A22" s="4" t="s">
        <v>106</v>
      </c>
      <c r="B22" s="39" t="s">
        <v>242</v>
      </c>
      <c r="C22" s="39" t="s">
        <v>124</v>
      </c>
      <c r="D22" s="39" t="s">
        <v>152</v>
      </c>
      <c r="E22" s="4">
        <v>1</v>
      </c>
      <c r="F22" s="4" t="s">
        <v>153</v>
      </c>
      <c r="G22" s="4" t="s">
        <v>154</v>
      </c>
    </row>
    <row r="23" spans="1:7">
      <c r="A23" s="4" t="s">
        <v>106</v>
      </c>
      <c r="B23" s="39" t="s">
        <v>242</v>
      </c>
      <c r="C23" s="39" t="s">
        <v>124</v>
      </c>
      <c r="D23" s="39" t="s">
        <v>181</v>
      </c>
      <c r="E23" s="4">
        <v>-1000</v>
      </c>
      <c r="F23" s="4" t="s">
        <v>155</v>
      </c>
      <c r="G23" s="4" t="s">
        <v>107</v>
      </c>
    </row>
    <row r="24" spans="1:7">
      <c r="A24" s="4" t="s">
        <v>106</v>
      </c>
      <c r="B24" s="39" t="s">
        <v>242</v>
      </c>
      <c r="C24" s="39" t="s">
        <v>126</v>
      </c>
      <c r="D24" s="39" t="s">
        <v>152</v>
      </c>
      <c r="E24" s="4">
        <v>1</v>
      </c>
      <c r="F24" s="4" t="s">
        <v>153</v>
      </c>
      <c r="G24" s="4" t="s">
        <v>154</v>
      </c>
    </row>
    <row r="25" spans="1:7">
      <c r="A25" s="4" t="s">
        <v>106</v>
      </c>
      <c r="B25" s="39" t="s">
        <v>242</v>
      </c>
      <c r="C25" s="39" t="s">
        <v>126</v>
      </c>
      <c r="D25" s="39" t="s">
        <v>182</v>
      </c>
      <c r="E25" s="4">
        <v>-1000</v>
      </c>
      <c r="F25" s="4" t="s">
        <v>155</v>
      </c>
      <c r="G25" s="4" t="s">
        <v>107</v>
      </c>
    </row>
    <row r="26" spans="1:7">
      <c r="A26" s="4" t="s">
        <v>106</v>
      </c>
      <c r="B26" s="39" t="s">
        <v>242</v>
      </c>
      <c r="C26" s="39" t="s">
        <v>128</v>
      </c>
      <c r="D26" s="39" t="s">
        <v>152</v>
      </c>
      <c r="E26" s="4">
        <v>1</v>
      </c>
      <c r="F26" s="4" t="s">
        <v>153</v>
      </c>
      <c r="G26" s="4" t="s">
        <v>154</v>
      </c>
    </row>
    <row r="27" spans="1:7">
      <c r="A27" s="4" t="s">
        <v>106</v>
      </c>
      <c r="B27" s="39" t="s">
        <v>242</v>
      </c>
      <c r="C27" s="39" t="s">
        <v>128</v>
      </c>
      <c r="D27" s="39" t="s">
        <v>183</v>
      </c>
      <c r="E27" s="4">
        <v>-1000</v>
      </c>
      <c r="F27" s="4" t="s">
        <v>155</v>
      </c>
      <c r="G27" s="4" t="s">
        <v>107</v>
      </c>
    </row>
    <row r="28" spans="1:7">
      <c r="A28" s="4" t="s">
        <v>106</v>
      </c>
      <c r="B28" s="39" t="s">
        <v>242</v>
      </c>
      <c r="C28" s="39" t="s">
        <v>130</v>
      </c>
      <c r="D28" s="39" t="s">
        <v>152</v>
      </c>
      <c r="E28" s="4">
        <v>1</v>
      </c>
      <c r="F28" s="4" t="s">
        <v>153</v>
      </c>
      <c r="G28" s="4" t="s">
        <v>154</v>
      </c>
    </row>
    <row r="29" spans="1:7">
      <c r="A29" s="4" t="s">
        <v>106</v>
      </c>
      <c r="B29" s="39" t="s">
        <v>242</v>
      </c>
      <c r="C29" s="39" t="s">
        <v>130</v>
      </c>
      <c r="D29" s="39" t="s">
        <v>184</v>
      </c>
      <c r="E29" s="4">
        <v>-1000</v>
      </c>
      <c r="F29" s="4" t="s">
        <v>155</v>
      </c>
      <c r="G29" s="4" t="s">
        <v>107</v>
      </c>
    </row>
    <row r="30" spans="1:7">
      <c r="A30" s="4" t="s">
        <v>106</v>
      </c>
      <c r="B30" s="39" t="s">
        <v>298</v>
      </c>
      <c r="C30" s="39" t="s">
        <v>136</v>
      </c>
      <c r="D30" s="39" t="s">
        <v>152</v>
      </c>
      <c r="E30" s="4">
        <v>1</v>
      </c>
      <c r="F30" s="4" t="s">
        <v>153</v>
      </c>
      <c r="G30" s="4" t="s">
        <v>154</v>
      </c>
    </row>
    <row r="31" spans="1:7">
      <c r="A31" s="4" t="s">
        <v>106</v>
      </c>
      <c r="B31" s="39" t="s">
        <v>298</v>
      </c>
      <c r="C31" s="39" t="s">
        <v>136</v>
      </c>
      <c r="D31" s="39" t="s">
        <v>190</v>
      </c>
      <c r="E31" s="4">
        <v>-1000</v>
      </c>
      <c r="F31" s="4" t="s">
        <v>155</v>
      </c>
      <c r="G31" s="4" t="s">
        <v>107</v>
      </c>
    </row>
    <row r="32" spans="1:7">
      <c r="A32" s="4" t="s">
        <v>106</v>
      </c>
      <c r="B32" s="39" t="s">
        <v>298</v>
      </c>
      <c r="C32" s="39" t="s">
        <v>137</v>
      </c>
      <c r="D32" s="39" t="s">
        <v>152</v>
      </c>
      <c r="E32" s="4">
        <v>1</v>
      </c>
      <c r="F32" s="4" t="s">
        <v>153</v>
      </c>
      <c r="G32" s="4" t="s">
        <v>154</v>
      </c>
    </row>
    <row r="33" spans="1:7">
      <c r="A33" s="4" t="s">
        <v>106</v>
      </c>
      <c r="B33" s="39" t="s">
        <v>298</v>
      </c>
      <c r="C33" s="39" t="s">
        <v>137</v>
      </c>
      <c r="D33" s="39" t="s">
        <v>191</v>
      </c>
      <c r="E33" s="4">
        <v>-1000</v>
      </c>
      <c r="F33" s="4" t="s">
        <v>155</v>
      </c>
      <c r="G33" s="4" t="s">
        <v>107</v>
      </c>
    </row>
    <row r="34" spans="1:7">
      <c r="A34" s="4" t="s">
        <v>106</v>
      </c>
      <c r="B34" s="4" t="s">
        <v>298</v>
      </c>
      <c r="C34" s="4" t="s">
        <v>138</v>
      </c>
      <c r="D34" s="4" t="s">
        <v>152</v>
      </c>
      <c r="E34" s="4">
        <v>1</v>
      </c>
      <c r="F34" s="4" t="s">
        <v>153</v>
      </c>
      <c r="G34" s="4" t="s">
        <v>154</v>
      </c>
    </row>
    <row r="35" spans="1:7">
      <c r="A35" s="4" t="s">
        <v>106</v>
      </c>
      <c r="B35" s="4" t="s">
        <v>298</v>
      </c>
      <c r="C35" s="4" t="s">
        <v>138</v>
      </c>
      <c r="D35" s="4" t="s">
        <v>192</v>
      </c>
      <c r="E35" s="4">
        <v>-1000</v>
      </c>
      <c r="F35" s="4" t="s">
        <v>155</v>
      </c>
      <c r="G35" s="4" t="s">
        <v>107</v>
      </c>
    </row>
    <row r="36" spans="1:7">
      <c r="A36" s="4" t="s">
        <v>106</v>
      </c>
      <c r="B36" s="4" t="s">
        <v>298</v>
      </c>
      <c r="C36" s="4" t="s">
        <v>139</v>
      </c>
      <c r="D36" s="4" t="s">
        <v>152</v>
      </c>
      <c r="E36" s="4">
        <v>1</v>
      </c>
      <c r="F36" s="4" t="s">
        <v>153</v>
      </c>
      <c r="G36" s="4" t="s">
        <v>154</v>
      </c>
    </row>
    <row r="37" spans="1:7">
      <c r="A37" s="4" t="s">
        <v>106</v>
      </c>
      <c r="B37" s="4" t="s">
        <v>298</v>
      </c>
      <c r="C37" s="4" t="s">
        <v>139</v>
      </c>
      <c r="D37" s="4" t="s">
        <v>193</v>
      </c>
      <c r="E37" s="4">
        <v>-1000</v>
      </c>
      <c r="F37" s="4" t="s">
        <v>155</v>
      </c>
      <c r="G37" s="4" t="s">
        <v>107</v>
      </c>
    </row>
    <row r="38" spans="1:7">
      <c r="A38" s="4" t="s">
        <v>106</v>
      </c>
      <c r="B38" s="4" t="s">
        <v>298</v>
      </c>
      <c r="C38" s="4" t="s">
        <v>140</v>
      </c>
      <c r="D38" s="4" t="s">
        <v>152</v>
      </c>
      <c r="E38" s="4">
        <v>1</v>
      </c>
      <c r="F38" s="4" t="s">
        <v>153</v>
      </c>
      <c r="G38" s="4" t="s">
        <v>154</v>
      </c>
    </row>
    <row r="39" spans="1:7">
      <c r="A39" s="4" t="s">
        <v>106</v>
      </c>
      <c r="B39" s="4" t="s">
        <v>298</v>
      </c>
      <c r="C39" s="4" t="s">
        <v>140</v>
      </c>
      <c r="D39" s="4" t="s">
        <v>194</v>
      </c>
      <c r="E39" s="4">
        <v>-1000</v>
      </c>
      <c r="F39" s="4" t="s">
        <v>155</v>
      </c>
      <c r="G39" s="4" t="s">
        <v>107</v>
      </c>
    </row>
    <row r="40" spans="1:7">
      <c r="A40" s="4" t="s">
        <v>106</v>
      </c>
      <c r="B40" s="4" t="s">
        <v>298</v>
      </c>
      <c r="C40" s="4" t="s">
        <v>141</v>
      </c>
      <c r="D40" s="4" t="s">
        <v>152</v>
      </c>
      <c r="E40" s="4">
        <v>1</v>
      </c>
      <c r="F40" s="4" t="s">
        <v>153</v>
      </c>
      <c r="G40" s="4" t="s">
        <v>154</v>
      </c>
    </row>
    <row r="41" spans="1:7">
      <c r="A41" s="4" t="s">
        <v>106</v>
      </c>
      <c r="B41" s="4" t="s">
        <v>298</v>
      </c>
      <c r="C41" s="4" t="s">
        <v>141</v>
      </c>
      <c r="D41" s="4" t="s">
        <v>195</v>
      </c>
      <c r="E41" s="4">
        <v>-1000</v>
      </c>
      <c r="F41" s="4" t="s">
        <v>155</v>
      </c>
      <c r="G41" s="4" t="s">
        <v>107</v>
      </c>
    </row>
    <row r="42" spans="1:7">
      <c r="A42" s="4" t="s">
        <v>106</v>
      </c>
      <c r="B42" s="4" t="s">
        <v>298</v>
      </c>
      <c r="C42" s="4" t="s">
        <v>299</v>
      </c>
      <c r="D42" s="4" t="s">
        <v>152</v>
      </c>
      <c r="E42" s="4">
        <v>1</v>
      </c>
      <c r="F42" s="4" t="s">
        <v>153</v>
      </c>
      <c r="G42" s="4" t="s">
        <v>154</v>
      </c>
    </row>
    <row r="43" spans="1:7">
      <c r="A43" s="4" t="s">
        <v>106</v>
      </c>
      <c r="B43" s="4" t="s">
        <v>298</v>
      </c>
      <c r="C43" s="4" t="s">
        <v>299</v>
      </c>
      <c r="D43" s="4" t="s">
        <v>336</v>
      </c>
      <c r="E43" s="4">
        <v>-1000</v>
      </c>
      <c r="F43" s="4" t="s">
        <v>155</v>
      </c>
      <c r="G43" s="4" t="s">
        <v>107</v>
      </c>
    </row>
    <row r="44" spans="1:7">
      <c r="A44" s="4" t="s">
        <v>106</v>
      </c>
      <c r="B44" s="4" t="s">
        <v>298</v>
      </c>
      <c r="C44" s="4" t="s">
        <v>301</v>
      </c>
      <c r="D44" s="4" t="s">
        <v>152</v>
      </c>
      <c r="E44" s="4">
        <v>1</v>
      </c>
      <c r="F44" s="4" t="s">
        <v>153</v>
      </c>
      <c r="G44" s="4" t="s">
        <v>154</v>
      </c>
    </row>
    <row r="45" spans="1:7">
      <c r="A45" s="4" t="s">
        <v>106</v>
      </c>
      <c r="B45" s="4" t="s">
        <v>298</v>
      </c>
      <c r="C45" s="4" t="s">
        <v>301</v>
      </c>
      <c r="D45" s="4" t="s">
        <v>337</v>
      </c>
      <c r="E45" s="4">
        <v>-1000</v>
      </c>
      <c r="F45" s="4" t="s">
        <v>155</v>
      </c>
      <c r="G45" s="4" t="s">
        <v>107</v>
      </c>
    </row>
    <row r="46" spans="1:7">
      <c r="A46" s="4" t="s">
        <v>106</v>
      </c>
      <c r="B46" s="4" t="s">
        <v>298</v>
      </c>
      <c r="C46" s="4" t="s">
        <v>303</v>
      </c>
      <c r="D46" s="4" t="s">
        <v>152</v>
      </c>
      <c r="E46" s="4">
        <v>1</v>
      </c>
      <c r="F46" s="4" t="s">
        <v>153</v>
      </c>
      <c r="G46" s="4" t="s">
        <v>154</v>
      </c>
    </row>
    <row r="47" spans="1:7">
      <c r="A47" s="4" t="s">
        <v>106</v>
      </c>
      <c r="B47" s="4" t="s">
        <v>298</v>
      </c>
      <c r="C47" s="4" t="s">
        <v>303</v>
      </c>
      <c r="D47" s="4" t="s">
        <v>338</v>
      </c>
      <c r="E47" s="4">
        <v>-1000</v>
      </c>
      <c r="F47" s="4" t="s">
        <v>155</v>
      </c>
      <c r="G47" s="4" t="s">
        <v>107</v>
      </c>
    </row>
    <row r="48" spans="1:7">
      <c r="A48" s="4" t="s">
        <v>106</v>
      </c>
      <c r="B48" s="4" t="s">
        <v>298</v>
      </c>
      <c r="C48" s="4" t="s">
        <v>305</v>
      </c>
      <c r="D48" s="4" t="s">
        <v>152</v>
      </c>
      <c r="E48" s="4">
        <v>1</v>
      </c>
      <c r="F48" s="4" t="s">
        <v>153</v>
      </c>
      <c r="G48" s="4" t="s">
        <v>154</v>
      </c>
    </row>
    <row r="49" spans="1:7">
      <c r="A49" s="4" t="s">
        <v>106</v>
      </c>
      <c r="B49" s="4" t="s">
        <v>298</v>
      </c>
      <c r="C49" s="4" t="s">
        <v>305</v>
      </c>
      <c r="D49" s="4" t="s">
        <v>339</v>
      </c>
      <c r="E49" s="4">
        <v>-1000</v>
      </c>
      <c r="F49" s="4" t="s">
        <v>155</v>
      </c>
      <c r="G49" s="4" t="s">
        <v>107</v>
      </c>
    </row>
    <row r="50" spans="1:7">
      <c r="A50" s="4" t="s">
        <v>106</v>
      </c>
      <c r="B50" s="4" t="s">
        <v>298</v>
      </c>
      <c r="C50" s="4" t="s">
        <v>307</v>
      </c>
      <c r="D50" s="4" t="s">
        <v>152</v>
      </c>
      <c r="E50" s="4">
        <v>1</v>
      </c>
      <c r="F50" s="4" t="s">
        <v>153</v>
      </c>
      <c r="G50" s="4" t="s">
        <v>154</v>
      </c>
    </row>
    <row r="51" spans="1:7">
      <c r="A51" s="4" t="s">
        <v>106</v>
      </c>
      <c r="B51" s="4" t="s">
        <v>298</v>
      </c>
      <c r="C51" s="4" t="s">
        <v>307</v>
      </c>
      <c r="D51" s="4" t="s">
        <v>340</v>
      </c>
      <c r="E51" s="4">
        <v>-1000</v>
      </c>
      <c r="F51" s="4" t="s">
        <v>155</v>
      </c>
      <c r="G51" s="4" t="s">
        <v>107</v>
      </c>
    </row>
    <row r="52" spans="1:7">
      <c r="A52" s="4" t="s">
        <v>106</v>
      </c>
      <c r="B52" s="4" t="s">
        <v>298</v>
      </c>
      <c r="C52" s="4" t="s">
        <v>309</v>
      </c>
      <c r="D52" s="4" t="s">
        <v>152</v>
      </c>
      <c r="E52" s="4">
        <v>1</v>
      </c>
      <c r="F52" s="4" t="s">
        <v>153</v>
      </c>
      <c r="G52" s="4" t="s">
        <v>154</v>
      </c>
    </row>
    <row r="53" spans="1:7">
      <c r="A53" s="4" t="s">
        <v>106</v>
      </c>
      <c r="B53" s="4" t="s">
        <v>298</v>
      </c>
      <c r="C53" s="4" t="s">
        <v>309</v>
      </c>
      <c r="D53" s="4" t="s">
        <v>341</v>
      </c>
      <c r="E53" s="4">
        <v>-1000</v>
      </c>
      <c r="F53" s="4" t="s">
        <v>155</v>
      </c>
      <c r="G53" s="4" t="s">
        <v>107</v>
      </c>
    </row>
    <row r="54" spans="1:7">
      <c r="A54" s="4" t="s">
        <v>106</v>
      </c>
      <c r="B54" s="4" t="s">
        <v>298</v>
      </c>
      <c r="C54" s="4" t="s">
        <v>311</v>
      </c>
      <c r="D54" s="4" t="s">
        <v>152</v>
      </c>
      <c r="E54" s="4">
        <v>1</v>
      </c>
      <c r="F54" s="4" t="s">
        <v>153</v>
      </c>
      <c r="G54" s="4" t="s">
        <v>154</v>
      </c>
    </row>
    <row r="55" spans="1:7">
      <c r="A55" s="4" t="s">
        <v>106</v>
      </c>
      <c r="B55" s="4" t="s">
        <v>298</v>
      </c>
      <c r="C55" s="4" t="s">
        <v>311</v>
      </c>
      <c r="D55" s="4" t="s">
        <v>342</v>
      </c>
      <c r="E55" s="4">
        <v>-1000</v>
      </c>
      <c r="F55" s="4" t="s">
        <v>155</v>
      </c>
      <c r="G55" s="4" t="s">
        <v>107</v>
      </c>
    </row>
    <row r="56" spans="1:7">
      <c r="A56" s="4" t="s">
        <v>106</v>
      </c>
      <c r="B56" s="4" t="s">
        <v>313</v>
      </c>
      <c r="C56" s="4" t="s">
        <v>108</v>
      </c>
      <c r="D56" s="4" t="s">
        <v>152</v>
      </c>
      <c r="E56" s="4">
        <v>1</v>
      </c>
      <c r="F56" s="4" t="s">
        <v>153</v>
      </c>
      <c r="G56" s="4" t="s">
        <v>154</v>
      </c>
    </row>
    <row r="57" spans="1:7">
      <c r="A57" s="4" t="s">
        <v>106</v>
      </c>
      <c r="B57" s="4" t="s">
        <v>313</v>
      </c>
      <c r="C57" s="4" t="s">
        <v>108</v>
      </c>
      <c r="D57" s="4" t="s">
        <v>334</v>
      </c>
      <c r="E57" s="4">
        <v>-1000</v>
      </c>
      <c r="F57" s="4" t="s">
        <v>155</v>
      </c>
      <c r="G57" s="4" t="s">
        <v>107</v>
      </c>
    </row>
    <row r="58" spans="1:7">
      <c r="A58" s="4" t="s">
        <v>106</v>
      </c>
      <c r="B58" s="4" t="s">
        <v>313</v>
      </c>
      <c r="C58" s="4" t="s">
        <v>109</v>
      </c>
      <c r="D58" s="4" t="s">
        <v>152</v>
      </c>
      <c r="E58" s="4">
        <v>1</v>
      </c>
      <c r="F58" s="4" t="s">
        <v>153</v>
      </c>
      <c r="G58" s="4" t="s">
        <v>154</v>
      </c>
    </row>
    <row r="59" spans="1:7">
      <c r="A59" s="4" t="s">
        <v>106</v>
      </c>
      <c r="B59" s="4" t="s">
        <v>313</v>
      </c>
      <c r="C59" s="4" t="s">
        <v>109</v>
      </c>
      <c r="D59" s="4" t="s">
        <v>335</v>
      </c>
      <c r="E59" s="4">
        <v>-1000</v>
      </c>
      <c r="F59" s="4" t="s">
        <v>155</v>
      </c>
      <c r="G59" s="4" t="s">
        <v>107</v>
      </c>
    </row>
    <row r="60" spans="1:7">
      <c r="A60" s="4" t="s">
        <v>106</v>
      </c>
      <c r="B60" s="4" t="s">
        <v>313</v>
      </c>
      <c r="C60" s="4" t="s">
        <v>86</v>
      </c>
      <c r="D60" s="4" t="s">
        <v>152</v>
      </c>
      <c r="E60" s="4">
        <v>1</v>
      </c>
      <c r="F60" s="4" t="s">
        <v>153</v>
      </c>
      <c r="G60" s="4" t="s">
        <v>154</v>
      </c>
    </row>
    <row r="61" spans="1:7">
      <c r="A61" s="4" t="s">
        <v>106</v>
      </c>
      <c r="B61" s="4" t="s">
        <v>313</v>
      </c>
      <c r="C61" s="4" t="s">
        <v>86</v>
      </c>
      <c r="D61" s="4" t="s">
        <v>343</v>
      </c>
      <c r="E61" s="4">
        <v>-1000</v>
      </c>
      <c r="F61" s="4" t="s">
        <v>155</v>
      </c>
      <c r="G61" s="4" t="s">
        <v>107</v>
      </c>
    </row>
    <row r="62" spans="1:7">
      <c r="A62" s="4" t="s">
        <v>106</v>
      </c>
      <c r="B62" s="4" t="s">
        <v>313</v>
      </c>
      <c r="C62" s="4" t="s">
        <v>110</v>
      </c>
      <c r="D62" s="4" t="s">
        <v>152</v>
      </c>
      <c r="E62" s="4">
        <v>1</v>
      </c>
      <c r="F62" s="4" t="s">
        <v>153</v>
      </c>
      <c r="G62" s="4" t="s">
        <v>154</v>
      </c>
    </row>
    <row r="63" spans="1:7">
      <c r="A63" s="4" t="s">
        <v>106</v>
      </c>
      <c r="B63" s="4" t="s">
        <v>313</v>
      </c>
      <c r="C63" s="4" t="s">
        <v>110</v>
      </c>
      <c r="D63" s="4" t="s">
        <v>185</v>
      </c>
      <c r="E63" s="4">
        <v>-1000</v>
      </c>
      <c r="F63" s="4" t="s">
        <v>155</v>
      </c>
      <c r="G63" s="4" t="s">
        <v>107</v>
      </c>
    </row>
    <row r="64" spans="1:7">
      <c r="A64" s="4" t="s">
        <v>106</v>
      </c>
      <c r="B64" s="4" t="s">
        <v>313</v>
      </c>
      <c r="C64" s="4" t="s">
        <v>119</v>
      </c>
      <c r="D64" s="4" t="s">
        <v>152</v>
      </c>
      <c r="E64" s="4">
        <v>1</v>
      </c>
      <c r="F64" s="4" t="s">
        <v>153</v>
      </c>
      <c r="G64" s="4" t="s">
        <v>154</v>
      </c>
    </row>
    <row r="65" spans="1:7">
      <c r="A65" s="4" t="s">
        <v>106</v>
      </c>
      <c r="B65" s="4" t="s">
        <v>313</v>
      </c>
      <c r="C65" s="4" t="s">
        <v>119</v>
      </c>
      <c r="D65" s="4" t="s">
        <v>186</v>
      </c>
      <c r="E65" s="4">
        <v>-1000</v>
      </c>
      <c r="F65" s="4" t="s">
        <v>155</v>
      </c>
      <c r="G65" s="4" t="s">
        <v>107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Instructions</vt:lpstr>
      <vt:lpstr>Rent Costs</vt:lpstr>
      <vt:lpstr>Car Loan</vt:lpstr>
      <vt:lpstr>Monthly Spending</vt:lpstr>
      <vt:lpstr>Budget</vt:lpstr>
      <vt:lpstr>Sensitivity Analysis</vt:lpstr>
      <vt:lpstr>Timed Results</vt:lpstr>
      <vt:lpstr>Question Results</vt:lpstr>
      <vt:lpstr>activateCount</vt:lpstr>
      <vt:lpstr>AllCorrect</vt:lpstr>
      <vt:lpstr>Answer1</vt:lpstr>
      <vt:lpstr>Answer2</vt:lpstr>
      <vt:lpstr>Answer3</vt:lpstr>
      <vt:lpstr>Answer4</vt:lpstr>
      <vt:lpstr>Answer5</vt:lpstr>
      <vt:lpstr>Answer6</vt:lpstr>
      <vt:lpstr>CurrentScore</vt:lpstr>
      <vt:lpstr>elapsedTime</vt:lpstr>
      <vt:lpstr>endTime</vt:lpstr>
      <vt:lpstr>FileName</vt:lpstr>
      <vt:lpstr>isGameOn</vt:lpstr>
      <vt:lpstr>lastTime</vt:lpstr>
      <vt:lpstr>liveVersion</vt:lpstr>
      <vt:lpstr>mouseMovements</vt:lpstr>
      <vt:lpstr>NumAnswers</vt:lpstr>
      <vt:lpstr>NumberExercises</vt:lpstr>
      <vt:lpstr>numRandomValues</vt:lpstr>
      <vt:lpstr>NumScenarios</vt:lpstr>
      <vt:lpstr>numToProtect</vt:lpstr>
      <vt:lpstr>RandomMethod</vt:lpstr>
      <vt:lpstr>RandomScenarioNumber</vt:lpstr>
      <vt:lpstr>ScenarioUpdate</vt:lpstr>
      <vt:lpstr>startTime</vt:lpstr>
      <vt:lpstr>totalTime</vt:lpstr>
      <vt:lpstr>xPosition</vt:lpstr>
      <vt:lpstr>yPosition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Brown</dc:creator>
  <cp:lastModifiedBy>Laura Namata</cp:lastModifiedBy>
  <dcterms:created xsi:type="dcterms:W3CDTF">2020-11-11T17:31:16Z</dcterms:created>
  <dcterms:modified xsi:type="dcterms:W3CDTF">2022-10-26T04:08:59Z</dcterms:modified>
</cp:coreProperties>
</file>