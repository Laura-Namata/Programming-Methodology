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5F65A274-324E-43C7-8E2F-8278CACB301F}" xr6:coauthVersionLast="47" xr6:coauthVersionMax="47" xr10:uidLastSave="{00000000-0000-0000-0000-000000000000}"/>
  <bookViews>
    <workbookView xWindow="-110" yWindow="-110" windowWidth="19420" windowHeight="11020" tabRatio="753" activeTab="2" xr2:uid="{44726D66-EC9A-40E9-A5CD-560EDBDBA120}"/>
  </bookViews>
  <sheets>
    <sheet name="Instructions" sheetId="9" r:id="rId1"/>
    <sheet name="Keyboarding Challenge" sheetId="19" r:id="rId2"/>
    <sheet name="Results" sheetId="11" r:id="rId3"/>
    <sheet name="BackgroundCalcs" sheetId="10" state="hidden" r:id="rId4"/>
    <sheet name="Output" sheetId="12" state="veryHidden" r:id="rId5"/>
    <sheet name="Grading" sheetId="18" state="hidden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activateCount">BackgroundCalcs!$G$23</definedName>
    <definedName name="AllCorrect">BackgroundCalcs!$F$8</definedName>
    <definedName name="AllowedCellsTab1">'[1]Keyboard Warm Up 1'!$D$7,'[1]Keyboard Warm Up 1'!$D$53,'[1]Keyboard Warm Up 1'!$AC$53,'[1]Keyboard Warm Up 1'!$AC$7,'[1]Keyboard Warm Up 1'!$AX$53,'[1]Keyboard Warm Up 1'!$AY$53,'[1]Keyboard Warm Up 1'!$AY$30,'[1]Keyboard Warm Up 1'!$AH$30,'[1]Keyboard Warm Up 1'!$AH$53,'[1]Keyboard Warm Up 1'!$BD$53,'[1]Keyboard Warm Up 1'!$BE$30,'[1]Keyboard Warm Up 1'!$BK$30,'[1]Keyboard Warm Up 1'!$BN$18,'[1]Keyboard Warm Up 1'!$BN$12,'[1]Keyboard Warm Up 1'!$BD$12,'[1]Keyboard Warm Up 1'!$BR$7,'[1]Keyboard Warm Up 1'!$BR$31,'[1]Keyboard Warm Up 1'!$BS$31,'[1]Keyboard Warm Up 1'!$BR$53,'[1]Keyboard Warm Up 1'!$BS$53,'[1]Keyboard Warm Up 1'!$CP$53,'[1]Keyboard Warm Up 1'!$CQ$53,'[1]Keyboard Warm Up 1'!$CP$31,'[1]Keyboard Warm Up 1'!$CQ$7,'[1]Keyboard Warm Up 1'!$A$1</definedName>
    <definedName name="Answer1">BackgroundCalcs!$R$2</definedName>
    <definedName name="Answer2">BackgroundCalcs!$R$3</definedName>
    <definedName name="Answer3">BackgroundCalcs!$R$4</definedName>
    <definedName name="Answer4">BackgroundCalcs!$R$5</definedName>
    <definedName name="Answer5">BackgroundCalcs!$R$6</definedName>
    <definedName name="Answer6">BackgroundCalcs!$R$7</definedName>
    <definedName name="cellNames">BackgroundCalcs!$Q$2:$Q$34</definedName>
    <definedName name="cellsInFirst" localSheetId="5">[2]First!$B$3:$J$3,[2]First!$J$3:$J$8,[2]First!$D$8:$J$8,[2]First!$D$8:$D$19,[2]First!$D$8,[2]First!$D$19:$T$19,[2]First!$T$19:$T$29,[2]First!$P$29:$T$29,[2]First!$P$23:$P$29,[2]First!$E$23:$P$23,[2]First!$E$23:$E$26,[2]First!$E$26:$K$26,[2]First!$K$26:$K$32,[2]First!$C$32:$K$32</definedName>
    <definedName name="cellsInFirst">#REF!,#REF!,#REF!,#REF!,#REF!,#REF!,#REF!,#REF!,#REF!,#REF!,#REF!,#REF!</definedName>
    <definedName name="cellsInSecond" localSheetId="5">[2]Second!$A$1:$H$1,[2]Second!$H$1:$H$26,[2]Second!$H$26:$M$26,[2]Second!$M$26:$M$33,[2]Second!$C$33:$M$33,[2]Second!$C$24:$C$33</definedName>
    <definedName name="cellsInSecond">#REF!,#REF!,#REF!,#REF!,#REF!,#REF!,#REF!,#REF!,#REF!,#REF!,#REF!,#REF!,#REF!,#REF!,#REF!,#REF!,#REF!,#REF!,#REF!,#REF!</definedName>
    <definedName name="CheckRange1">BackgroundCalcs!$T$2</definedName>
    <definedName name="CheckRange2">BackgroundCalcs!$T$3</definedName>
    <definedName name="CheckRange3">BackgroundCalcs!$T$4</definedName>
    <definedName name="CheckRange4">BackgroundCalcs!$T$5</definedName>
    <definedName name="CheckRange5">BackgroundCalcs!$T$6</definedName>
    <definedName name="CheckRange6">BackgroundCalcs!$T$7</definedName>
    <definedName name="CurrentSum" localSheetId="5">[3]BackgroundCalcs!$F$20</definedName>
    <definedName name="CurrentSum">[4]BackgroundCalcs!$F$20</definedName>
    <definedName name="CurrentTarget" localSheetId="5">[3]BackgroundCalcs!$F$17</definedName>
    <definedName name="CurrentTarget">[4]BackgroundCalcs!$F$17</definedName>
    <definedName name="CurrentTargetSum" localSheetId="5">[3]BackgroundCalcs!$G$17</definedName>
    <definedName name="CurrentTargetSum">[4]BackgroundCalcs!$G$17</definedName>
    <definedName name="eight">#REF!</definedName>
    <definedName name="eighth">'Keyboarding Challenge'!$BB$10</definedName>
    <definedName name="elapsedTime">BackgroundCalcs!$G$5</definedName>
    <definedName name="eleventh">'Keyboarding Challenge'!$BR$18</definedName>
    <definedName name="EmptyCell">BackgroundCalcs!$D$50</definedName>
    <definedName name="endTime" localSheetId="5">[2]calc!$H$3</definedName>
    <definedName name="endTime">BackgroundCalcs!$G$2</definedName>
    <definedName name="fifteenth">'Keyboarding Challenge'!$CA$18</definedName>
    <definedName name="fifth">'Keyboarding Challenge'!$AJ$20</definedName>
    <definedName name="FileName">[5]BackgroundCalcs!$B$2</definedName>
    <definedName name="finish1">#REF!</definedName>
    <definedName name="finish2">#REF!</definedName>
    <definedName name="first">'Keyboarding Challenge'!$K$11</definedName>
    <definedName name="firstVisited">BackgroundCalcs!$R$2:$R$34</definedName>
    <definedName name="five">#REF!</definedName>
    <definedName name="four">#REF!</definedName>
    <definedName name="four_2">#REF!</definedName>
    <definedName name="fourteenth">'Keyboarding Challenge'!$BY$18</definedName>
    <definedName name="fourth">'Keyboarding Challenge'!$AC$7</definedName>
    <definedName name="GoExcel">'Keyboarding Challenge'!$BF$14</definedName>
    <definedName name="instructionsOn">BackgroundCalcs!$F$46</definedName>
    <definedName name="Invalid2">BackgroundCalcs!$S$3</definedName>
    <definedName name="Invalid3">BackgroundCalcs!$S$4</definedName>
    <definedName name="Invalid4">BackgroundCalcs!$S$5</definedName>
    <definedName name="Invalid5">BackgroundCalcs!$S$6</definedName>
    <definedName name="Invalid6">BackgroundCalcs!$S$7</definedName>
    <definedName name="isGameOn">BackgroundCalcs!$F$5</definedName>
    <definedName name="lastTime">BackgroundCalcs!$G$26</definedName>
    <definedName name="liveVersion">BackgroundCalcs!$F$26</definedName>
    <definedName name="lstVisited" localSheetId="5">[2]calc!$D$4:$D$21</definedName>
    <definedName name="lstVisited">[6]calc!$D$4:$D$21</definedName>
    <definedName name="macOn">BackgroundCalcs!$F$52</definedName>
    <definedName name="mouseMovements">BackgroundCalcs!$F$14</definedName>
    <definedName name="n">'[7]Dynamic Ranges and Charts'!$D$30</definedName>
    <definedName name="name" localSheetId="5">#REF!</definedName>
    <definedName name="name">#REF!</definedName>
    <definedName name="nine">#REF!</definedName>
    <definedName name="ninth">'Keyboarding Challenge'!$BF$14</definedName>
    <definedName name="NumberExercises">[5]BackgroundCalcs!$B$17</definedName>
    <definedName name="numCorrect">BackgroundCalcs!$G$16</definedName>
    <definedName name="NumExercises" localSheetId="5">[3]BackgroundCalcs!$D$14</definedName>
    <definedName name="NumExercises">BackgroundCalcs!$D$14</definedName>
    <definedName name="numProtectedCells">BackgroundCalcs!$D$17</definedName>
    <definedName name="numRandomValues">BackgroundCalcs!$D$20</definedName>
    <definedName name="oldEndTime">[6]calc!$H$3</definedName>
    <definedName name="oldStartTime">[6]calc!$G$3</definedName>
    <definedName name="one">#REF!</definedName>
    <definedName name="one_2">#REF!</definedName>
    <definedName name="OverrideSave">BackgroundCalcs!$D$2</definedName>
    <definedName name="passwordOn">BackgroundCalcs!$G$8</definedName>
    <definedName name="pcOn">BackgroundCalcs!$F$49</definedName>
    <definedName name="pCount">[2]calc!$F$3</definedName>
    <definedName name="pCountNew" localSheetId="5">[1]BackgroundCalcs!$S$2</definedName>
    <definedName name="pCountNew">BackgroundCalcs!$S$2</definedName>
    <definedName name="RandomMethod">[5]BackgroundCalcs!$B$5</definedName>
    <definedName name="RandomScenarioNumber">[5]BackgroundCalcs!$B$8</definedName>
    <definedName name="range1">#REF!</definedName>
    <definedName name="range2">#REF!</definedName>
    <definedName name="range3">#REF!</definedName>
    <definedName name="range4">#REF!</definedName>
    <definedName name="second">'Keyboarding Challenge'!$Q$11</definedName>
    <definedName name="seven">#REF!</definedName>
    <definedName name="seventeenth">'Keyboarding Challenge'!$CR$8</definedName>
    <definedName name="seventh">'Keyboarding Challenge'!$BA$10</definedName>
    <definedName name="SheetNameRange">BackgroundCalcs!$I$2:$I$11</definedName>
    <definedName name="six" localSheetId="5">'[1]Keyboard Warm Up 1'!#REF!</definedName>
    <definedName name="six">#REF!</definedName>
    <definedName name="sixteenth">'Keyboarding Challenge'!$CC$18</definedName>
    <definedName name="sixth">'Keyboarding Challenge'!$AU$20</definedName>
    <definedName name="SpreadsheetName" localSheetId="5">[3]BackgroundCalcs!$D$5</definedName>
    <definedName name="SpreadsheetName">BackgroundCalcs!$D$5</definedName>
    <definedName name="start2">#REF!</definedName>
    <definedName name="startTime" localSheetId="5">[2]calc!$G$3</definedName>
    <definedName name="startTime">BackgroundCalcs!$F$2</definedName>
    <definedName name="StudentIDCell" localSheetId="5">[3]BackgroundCalcs!$D$8</definedName>
    <definedName name="StudentIDCell">BackgroundCalcs!$D$8</definedName>
    <definedName name="StudentNameCell" localSheetId="5">[3]BackgroundCalcs!$D$11</definedName>
    <definedName name="StudentNameCell">BackgroundCalcs!$D$11</definedName>
    <definedName name="Tab1Answer">BackgroundCalcs!$K$2</definedName>
    <definedName name="Tab1ClearRange">BackgroundCalcs!$L$2</definedName>
    <definedName name="Tab1Name">BackgroundCalcs!$I$2</definedName>
    <definedName name="Tab1Start">BackgroundCalcs!$J$2</definedName>
    <definedName name="ten" localSheetId="5">'[1]Keyboard Warm Up 1'!#REF!</definedName>
    <definedName name="ten">#REF!</definedName>
    <definedName name="tenth">'Keyboarding Challenge'!$BP$18</definedName>
    <definedName name="third">'Keyboarding Challenge'!$V$7</definedName>
    <definedName name="thirteenth">'Keyboarding Challenge'!$BW$18</definedName>
    <definedName name="three">#REF!</definedName>
    <definedName name="three_2">#REF!</definedName>
    <definedName name="timeElapsed" localSheetId="5">[2]calc!$G$6</definedName>
    <definedName name="timeElapsed">[6]calc!$G$6</definedName>
    <definedName name="totalTime" localSheetId="5">[4]BackgroundCalcs!$F$29</definedName>
    <definedName name="totalTime">BackgroundCalcs!$F$29</definedName>
    <definedName name="Track">BackgroundCalcs!$D$51</definedName>
    <definedName name="twelveth">'Keyboarding Challenge'!$BT$18</definedName>
    <definedName name="two">#REF!</definedName>
    <definedName name="two_2">#REF!</definedName>
    <definedName name="valDuration">[2]calc!$G$7</definedName>
    <definedName name="Valid1" localSheetId="5">[3]BackgroundCalcs!#REF!</definedName>
    <definedName name="Valid1">BackgroundCalcs!#REF!</definedName>
    <definedName name="ValidationCode">[8]calc!$B$11</definedName>
    <definedName name="xPosition">BackgroundCalcs!$F$11</definedName>
    <definedName name="yPosition">BackgroundCalcs!$G$11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1" i="19" l="1"/>
  <c r="BB12" i="19"/>
  <c r="BB13" i="19"/>
  <c r="BB14" i="19"/>
  <c r="BB15" i="19"/>
  <c r="BB10" i="19"/>
  <c r="BA10" i="19" a="1"/>
  <c r="BA10" i="19" s="1"/>
  <c r="AJ20" i="19"/>
  <c r="AC7" i="19"/>
  <c r="Q11" i="19" a="1"/>
  <c r="Q11" i="19" s="1"/>
  <c r="K11" i="19"/>
  <c r="AU20" i="19"/>
  <c r="AD7" i="19" l="1"/>
  <c r="D7" i="11" l="1"/>
  <c r="AB8" i="10"/>
  <c r="W8" i="10" s="1"/>
  <c r="Z8" i="10" s="1"/>
  <c r="AB6" i="10"/>
  <c r="W6" i="10" s="1"/>
  <c r="Z6" i="10" s="1"/>
  <c r="AB2" i="10"/>
  <c r="W2" i="10" s="1"/>
  <c r="E16" i="11"/>
  <c r="D65" i="10" s="1"/>
  <c r="C7" i="11" s="1"/>
  <c r="T2" i="10"/>
  <c r="BJ20" i="19"/>
  <c r="W11" i="10"/>
  <c r="Z11" i="10" s="1"/>
  <c r="AB7" i="10"/>
  <c r="W7" i="10" s="1"/>
  <c r="Z7" i="10" s="1"/>
  <c r="AB3" i="10"/>
  <c r="W3" i="10" s="1"/>
  <c r="Z3" i="10" s="1"/>
  <c r="W18" i="10"/>
  <c r="Z18" i="10" s="1"/>
  <c r="W17" i="10"/>
  <c r="Z17" i="10" s="1"/>
  <c r="W16" i="10"/>
  <c r="Z16" i="10" s="1"/>
  <c r="W15" i="10"/>
  <c r="Z15" i="10" s="1"/>
  <c r="W14" i="10"/>
  <c r="Z14" i="10" s="1"/>
  <c r="W13" i="10"/>
  <c r="Z13" i="10" s="1"/>
  <c r="W12" i="10"/>
  <c r="Z12" i="10" s="1"/>
  <c r="V2" i="10" a="1"/>
  <c r="V2" i="10" s="1"/>
  <c r="CY20" i="19"/>
  <c r="CX20" i="19"/>
  <c r="CW20" i="19"/>
  <c r="CV20" i="19"/>
  <c r="CU20" i="19"/>
  <c r="CF20" i="19"/>
  <c r="CE20" i="19"/>
  <c r="CD20" i="19"/>
  <c r="CC20" i="19"/>
  <c r="BP20" i="19"/>
  <c r="BO20" i="19"/>
  <c r="BN20" i="19"/>
  <c r="BM20" i="19"/>
  <c r="BL20" i="19"/>
  <c r="BK20" i="19"/>
  <c r="BC20" i="19"/>
  <c r="BB20" i="19"/>
  <c r="BA20" i="19"/>
  <c r="AZ20" i="19"/>
  <c r="AY20" i="19"/>
  <c r="AX20" i="19"/>
  <c r="AW20" i="19"/>
  <c r="AV20" i="19"/>
  <c r="AT20" i="19"/>
  <c r="AS20" i="19"/>
  <c r="AR20" i="19"/>
  <c r="AQ20" i="19"/>
  <c r="AP20" i="19"/>
  <c r="AO20" i="19"/>
  <c r="AN20" i="19"/>
  <c r="AM20" i="19"/>
  <c r="AL20" i="19"/>
  <c r="AK20" i="19"/>
  <c r="AI20" i="19"/>
  <c r="AH20" i="19"/>
  <c r="AG20" i="19"/>
  <c r="AF20" i="19"/>
  <c r="AE20" i="19"/>
  <c r="AD20" i="19"/>
  <c r="AC20" i="19"/>
  <c r="CF19" i="19"/>
  <c r="CC19" i="19"/>
  <c r="BP19" i="19"/>
  <c r="BD19" i="19"/>
  <c r="BC19" i="19"/>
  <c r="BA19" i="19"/>
  <c r="AU19" i="19"/>
  <c r="AC19" i="19"/>
  <c r="CF18" i="19"/>
  <c r="CC18" i="19"/>
  <c r="CB18" i="19"/>
  <c r="CA18" i="19"/>
  <c r="BZ18" i="19"/>
  <c r="BY18" i="19"/>
  <c r="BX18" i="19"/>
  <c r="BW18" i="19"/>
  <c r="BV18" i="19"/>
  <c r="BU18" i="19"/>
  <c r="BS18" i="19"/>
  <c r="BQ18" i="19"/>
  <c r="BE18" i="19"/>
  <c r="BD18" i="19"/>
  <c r="BA18" i="19"/>
  <c r="AU18" i="19"/>
  <c r="AC18" i="19"/>
  <c r="CI17" i="19"/>
  <c r="CH17" i="19"/>
  <c r="CG17" i="19"/>
  <c r="CF17" i="19"/>
  <c r="BF17" i="19"/>
  <c r="BE17" i="19"/>
  <c r="BA17" i="19"/>
  <c r="AU17" i="19"/>
  <c r="AC17" i="19"/>
  <c r="CI16" i="19"/>
  <c r="BF16" i="19"/>
  <c r="BA16" i="19"/>
  <c r="AU16" i="19"/>
  <c r="AC16" i="19"/>
  <c r="CI15" i="19"/>
  <c r="BF15" i="19"/>
  <c r="AC15" i="19"/>
  <c r="CL14" i="19"/>
  <c r="CK14" i="19"/>
  <c r="CJ14" i="19"/>
  <c r="CI14" i="19"/>
  <c r="BG14" i="19"/>
  <c r="AC14" i="19"/>
  <c r="CL13" i="19"/>
  <c r="AC13" i="19"/>
  <c r="G13" i="19"/>
  <c r="F13" i="19"/>
  <c r="E13" i="19"/>
  <c r="D13" i="19"/>
  <c r="C13" i="19"/>
  <c r="CL12" i="19"/>
  <c r="AC12" i="19"/>
  <c r="H12" i="19"/>
  <c r="G12" i="19"/>
  <c r="CO11" i="19"/>
  <c r="CN11" i="19"/>
  <c r="CM11" i="19"/>
  <c r="CL11" i="19"/>
  <c r="AC11" i="19"/>
  <c r="V11" i="19"/>
  <c r="P11" i="19"/>
  <c r="O11" i="19"/>
  <c r="N11" i="19"/>
  <c r="M11" i="19"/>
  <c r="L11" i="19"/>
  <c r="J11" i="19"/>
  <c r="I11" i="19"/>
  <c r="H11" i="19"/>
  <c r="CO10" i="19"/>
  <c r="AC10" i="19"/>
  <c r="V10" i="19"/>
  <c r="CO9" i="19"/>
  <c r="AC9" i="19"/>
  <c r="V9" i="19"/>
  <c r="CR8" i="19"/>
  <c r="CQ8" i="19"/>
  <c r="CP8" i="19"/>
  <c r="CO8" i="19"/>
  <c r="AC8" i="19"/>
  <c r="V8" i="19"/>
  <c r="G29" i="10"/>
  <c r="D2" i="12" s="1"/>
  <c r="B8" i="9"/>
  <c r="AF10" i="10" a="1"/>
  <c r="AF3" i="10" a="1"/>
  <c r="AE6" i="10" a="1"/>
  <c r="AE3" i="10" a="1"/>
  <c r="AF11" i="10" a="1"/>
  <c r="AE8" i="10" a="1"/>
  <c r="AF2" i="10" a="1"/>
  <c r="AE17" i="10" a="1"/>
  <c r="AF16" i="10" a="1"/>
  <c r="AF18" i="10" a="1"/>
  <c r="AF13" i="10" a="1"/>
  <c r="AE14" i="10" a="1"/>
  <c r="AF9" i="10" a="1"/>
  <c r="AF12" i="10" a="1"/>
  <c r="AE10" i="10" a="1"/>
  <c r="AE7" i="10" a="1"/>
  <c r="AE9" i="10" a="1"/>
  <c r="AE18" i="10" a="1"/>
  <c r="AE15" i="10" a="1"/>
  <c r="AF8" i="10" a="1"/>
  <c r="AF4" i="10" a="1"/>
  <c r="AE2" i="10" a="1"/>
  <c r="AF5" i="10" a="1"/>
  <c r="AE12" i="10" a="1"/>
  <c r="AF17" i="10" a="1"/>
  <c r="AE5" i="10" a="1"/>
  <c r="AE13" i="10" a="1"/>
  <c r="AF7" i="10" a="1"/>
  <c r="AF14" i="10" a="1"/>
  <c r="AE16" i="10" a="1"/>
  <c r="AE11" i="10" a="1"/>
  <c r="AF15" i="10" a="1"/>
  <c r="AF6" i="10" a="1"/>
  <c r="AE4" i="10" a="1"/>
  <c r="D55" i="10" l="1"/>
  <c r="D56" i="10" s="1"/>
  <c r="C2" i="12"/>
  <c r="D69" i="10"/>
  <c r="D16" i="11"/>
  <c r="B2" i="12" s="1"/>
  <c r="C16" i="11"/>
  <c r="A2" i="12" s="1"/>
  <c r="AB9" i="10"/>
  <c r="W9" i="10" s="1"/>
  <c r="Z9" i="10" s="1"/>
  <c r="BG20" i="19"/>
  <c r="BH20" i="19"/>
  <c r="BI20" i="19"/>
  <c r="Z2" i="10"/>
  <c r="AB4" i="10"/>
  <c r="W4" i="10" s="1"/>
  <c r="Z4" i="10" s="1"/>
  <c r="AB5" i="10"/>
  <c r="W5" i="10" s="1"/>
  <c r="Z5" i="10" s="1"/>
  <c r="AF2" i="10"/>
  <c r="AE8" i="10"/>
  <c r="AF14" i="10"/>
  <c r="AE17" i="10"/>
  <c r="AE7" i="10"/>
  <c r="AF9" i="10"/>
  <c r="AE6" i="10"/>
  <c r="AF8" i="10"/>
  <c r="AE12" i="10"/>
  <c r="AF13" i="10"/>
  <c r="AE16" i="10"/>
  <c r="AF17" i="10"/>
  <c r="AE5" i="10"/>
  <c r="AF7" i="10"/>
  <c r="AE11" i="10"/>
  <c r="AF16" i="10"/>
  <c r="AF5" i="10"/>
  <c r="AE2" i="10"/>
  <c r="AE10" i="10"/>
  <c r="AF11" i="10"/>
  <c r="AE14" i="10"/>
  <c r="AF15" i="10"/>
  <c r="AE18" i="10"/>
  <c r="AF10" i="10"/>
  <c r="AE13" i="10"/>
  <c r="AF18" i="10"/>
  <c r="AE4" i="10"/>
  <c r="AF6" i="10"/>
  <c r="AF12" i="10"/>
  <c r="AE15" i="10"/>
  <c r="AE3" i="10"/>
  <c r="AF4" i="10"/>
  <c r="AF3" i="10"/>
  <c r="AE9" i="10"/>
  <c r="B5" i="11" l="1"/>
  <c r="AB10" i="10"/>
  <c r="W10" i="10" s="1"/>
  <c r="G16" i="10" s="1"/>
  <c r="D37" i="10"/>
  <c r="D36" i="10"/>
  <c r="Z10" i="10" l="1"/>
  <c r="F8" i="10"/>
  <c r="B2" i="11" l="1"/>
  <c r="G5" i="10" l="1"/>
  <c r="B16" i="11" l="1"/>
  <c r="D20" i="10" l="1"/>
  <c r="D17" i="10" l="1"/>
  <c r="D14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<sst xmlns="http://schemas.openxmlformats.org/spreadsheetml/2006/main" count="1356" uniqueCount="146">
  <si>
    <t>Name</t>
  </si>
  <si>
    <t>Start Time</t>
  </si>
  <si>
    <t>End Time</t>
  </si>
  <si>
    <t>Spreadsheet Name</t>
  </si>
  <si>
    <t>Elapsed Time</t>
  </si>
  <si>
    <t>Is Game On?</t>
  </si>
  <si>
    <t>Sheet</t>
  </si>
  <si>
    <t>Starting Position</t>
  </si>
  <si>
    <t>Answer Cell</t>
  </si>
  <si>
    <t>Clear Range</t>
  </si>
  <si>
    <t>Number of Exercises</t>
  </si>
  <si>
    <t>Protected Range</t>
  </si>
  <si>
    <t>Number of Protected Cells</t>
  </si>
  <si>
    <t>Auto Name when Saving?</t>
  </si>
  <si>
    <t>Number of Random Values</t>
  </si>
  <si>
    <t>Current Result:</t>
  </si>
  <si>
    <t>Date and Time</t>
  </si>
  <si>
    <t>All Correct?</t>
  </si>
  <si>
    <t>Results</t>
  </si>
  <si>
    <t>A1:G141</t>
  </si>
  <si>
    <t>Instructions:</t>
  </si>
  <si>
    <t>No</t>
  </si>
  <si>
    <t>Instructions</t>
  </si>
  <si>
    <t>Password On?</t>
  </si>
  <si>
    <t>A1:F30</t>
  </si>
  <si>
    <t>select me!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</si>
  <si>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</si>
  <si>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</si>
  <si>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</si>
  <si>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</si>
  <si>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</si>
  <si>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</si>
  <si>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</si>
  <si>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</si>
  <si>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</si>
  <si>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</si>
  <si>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Visited?</t>
  </si>
  <si>
    <t>Penalty count</t>
  </si>
  <si>
    <t>Penalty Count</t>
  </si>
  <si>
    <t>Total Penalty</t>
  </si>
  <si>
    <t>Indirect Name and ID</t>
  </si>
  <si>
    <t>Total Time</t>
  </si>
  <si>
    <t>Spreadsheet Activations</t>
  </si>
  <si>
    <t>Live Version?</t>
  </si>
  <si>
    <t>Last Time</t>
  </si>
  <si>
    <t>Total Time (seconds)</t>
  </si>
  <si>
    <t>ProblemType</t>
  </si>
  <si>
    <t>WorksheetName</t>
  </si>
  <si>
    <t>Range</t>
  </si>
  <si>
    <t>Comparison</t>
  </si>
  <si>
    <t>Grade</t>
  </si>
  <si>
    <t>CorrectFeedback</t>
  </si>
  <si>
    <t>IncorrectFeedback</t>
  </si>
  <si>
    <t>CELL</t>
  </si>
  <si>
    <t>A2</t>
  </si>
  <si>
    <t>Value OR Value(Blank) OR Value()</t>
  </si>
  <si>
    <t>Not Graded</t>
  </si>
  <si>
    <t>-------</t>
  </si>
  <si>
    <t>x</t>
  </si>
  <si>
    <t>START</t>
  </si>
  <si>
    <t>FINISH</t>
  </si>
  <si>
    <t>Keyboarding Challenge</t>
  </si>
  <si>
    <t>Controls:</t>
  </si>
  <si>
    <t>Yes</t>
  </si>
  <si>
    <t>Instuctions On?</t>
  </si>
  <si>
    <t>PC Keyboard Hints On?</t>
  </si>
  <si>
    <t>Mac Keyboard Hints On?</t>
  </si>
  <si>
    <t>Instructions On?</t>
  </si>
  <si>
    <t>Button Options</t>
  </si>
  <si>
    <t>Checkpoint</t>
  </si>
  <si>
    <t>Achieved?</t>
  </si>
  <si>
    <t>Hidden?</t>
  </si>
  <si>
    <t>Unhide</t>
  </si>
  <si>
    <t>Answer</t>
  </si>
  <si>
    <t>Value</t>
  </si>
  <si>
    <t>UNHIDE</t>
  </si>
  <si>
    <t>L</t>
  </si>
  <si>
    <t>U</t>
  </si>
  <si>
    <t>V</t>
  </si>
  <si>
    <t>AB</t>
  </si>
  <si>
    <t>AC</t>
  </si>
  <si>
    <t>AD</t>
  </si>
  <si>
    <t>AJ</t>
  </si>
  <si>
    <t>AK</t>
  </si>
  <si>
    <t>AU</t>
  </si>
  <si>
    <t>AV</t>
  </si>
  <si>
    <t>BA</t>
  </si>
  <si>
    <t>BB</t>
  </si>
  <si>
    <t>BC</t>
  </si>
  <si>
    <t>BN</t>
  </si>
  <si>
    <t>BO</t>
  </si>
  <si>
    <t>BQ</t>
  </si>
  <si>
    <t>BR</t>
  </si>
  <si>
    <t>BS</t>
  </si>
  <si>
    <t>BT</t>
  </si>
  <si>
    <t>BU</t>
  </si>
  <si>
    <t>BW</t>
  </si>
  <si>
    <t>BX</t>
  </si>
  <si>
    <t>BY</t>
  </si>
  <si>
    <t>BZ</t>
  </si>
  <si>
    <t>CA</t>
  </si>
  <si>
    <t>CB</t>
  </si>
  <si>
    <t>CC</t>
  </si>
  <si>
    <t>CD</t>
  </si>
  <si>
    <t>CV</t>
  </si>
  <si>
    <t>CW</t>
  </si>
  <si>
    <t>CZ</t>
  </si>
  <si>
    <t>PC Hints On?</t>
  </si>
  <si>
    <t>Mac Hints On?</t>
  </si>
  <si>
    <t>thirteenth</t>
  </si>
  <si>
    <t>fourteenth</t>
  </si>
  <si>
    <t>fifteenth</t>
  </si>
  <si>
    <t>sixteenth</t>
  </si>
  <si>
    <t>seventeenth</t>
  </si>
  <si>
    <t>eleventh</t>
  </si>
  <si>
    <t>twelveth</t>
  </si>
  <si>
    <t>B13</t>
  </si>
  <si>
    <t>A1</t>
  </si>
  <si>
    <t>Cell Types</t>
  </si>
  <si>
    <t>XXXXX</t>
  </si>
  <si>
    <t>Time Elapsed</t>
  </si>
  <si>
    <t>Best Result:</t>
  </si>
  <si>
    <t>All Results:</t>
  </si>
  <si>
    <t>Stay on the path (any cells with values)! Each step off the path adds 10 seconds to your time.</t>
  </si>
  <si>
    <t>Repeat as many times as you would like to improve your time - only your best time counts!</t>
  </si>
  <si>
    <r>
      <t xml:space="preserve">To begin, press the Start button. You will then keyboard to each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cell to complete a task.</t>
    </r>
  </si>
  <si>
    <t>Use the drop down menus below to enable task instructions and keyboard shortcut hints.</t>
  </si>
  <si>
    <t>The instructions and hints will slow you down, so turn them off when you are ready to go fast!</t>
  </si>
  <si>
    <t xml:space="preserve">To improve your speed, and prevent leaving the path, it is strongly suggested that you change </t>
  </si>
  <si>
    <t>your settings so that the cursor does not move down when you hit enter. To do so, go to options</t>
  </si>
  <si>
    <t>and then advanced and uncheck "After pressing enter, move selection"</t>
  </si>
  <si>
    <t>When you complete all the tasks correctly, your total time will be recorded.</t>
  </si>
  <si>
    <t>Best Total Time</t>
  </si>
  <si>
    <t>Best Time Elapsed</t>
  </si>
  <si>
    <t>Best Penalty Count</t>
  </si>
  <si>
    <t>Total Time in Spreadsheet</t>
  </si>
  <si>
    <t>Share your best result!</t>
  </si>
  <si>
    <t>MECC Keyboarding Challenge</t>
  </si>
  <si>
    <t>For shortcuts, you may have to use the Function key with F1, F2, etc. depending on your keyboard settings.</t>
  </si>
  <si>
    <t>https://www.linkedin.com/sharing/share-offsite/?url=https://www.fmworldcup.com/microsoft-excel-collegiate-challenge/</t>
  </si>
  <si>
    <t>https://www.fmworldcup.com/microsoft-excel-collegiate-challenge/</t>
  </si>
  <si>
    <t>http://www.facebook.com/sharer.php?u=http%3A%2F%2Fchandoo.org%2Fwp%2F2012%2F08%2F10%2Fexcel-hurdles%2F&amp;t=I%20finished%20Excel%20Hurdle%20challenge%20in%20$$%20seconds.</t>
  </si>
  <si>
    <t>Case Author: David Brown</t>
  </si>
  <si>
    <t>NumCorrect</t>
  </si>
  <si>
    <t>https://youtu.be/-B6AH9k8OgE</t>
  </si>
  <si>
    <t>For additional instructions and a video walkthrough, go 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</si>
</sst>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USh&quot;#,##0;[Red]\-&quot;USh&quot;#,##0"/>
    <numFmt numFmtId="164" formatCode="&quot;$&quot;#,##0_);[Red]\(&quot;$&quot;#,##0\)"/>
    <numFmt numFmtId="165" formatCode="&quot;$&quot;#,##0.00_);[Red]\(&quot;$&quot;#,##0.00\)"/>
    <numFmt numFmtId="166" formatCode="[$-409]m/d/yy\ h:mm\ AM/PM;@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"/>
      <color rgb="FF242729"/>
      <name val="Consolas"/>
      <family val="3"/>
    </font>
    <font>
      <sz val="11"/>
      <color rgb="FF00007F"/>
      <name val="Courier New"/>
      <family val="3"/>
    </font>
    <font>
      <sz val="11"/>
      <color rgb="FF403F41"/>
      <name val="Courier New"/>
      <family val="3"/>
    </font>
    <font>
      <sz val="11"/>
      <color rgb="FF007F00"/>
      <name val="Courier New"/>
      <family val="3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Gill Sans MT"/>
      <family val="2"/>
    </font>
    <font>
      <sz val="12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Var(--ff-mono)"/>
    </font>
    <font>
      <b/>
      <sz val="20"/>
      <color theme="1"/>
      <name val="Calibri"/>
      <family val="2"/>
      <scheme val="minor"/>
    </font>
    <font>
      <sz val="12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bgColor rgb="FFF0F0F0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2" fillId="0" borderId="0" applyNumberFormat="0" applyFill="0" applyBorder="0" applyAlignment="0" applyProtection="0"/>
  </cellStyleXfs>
  <cellXfs count="77">
    <xf numFmtId="0" fontId="0" fillId="0" borderId="0" xfId="0"/>
    <xf numFmtId="3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22" fontId="0" fillId="0" borderId="0" xfId="0" applyNumberFormat="1" applyAlignment="1" applyProtection="1">
      <alignment horizontal="center"/>
      <protection locked="0"/>
    </xf>
    <xf numFmtId="22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0" fillId="2" borderId="0" xfId="0" applyFill="1" applyProtection="1">
      <protection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166" fontId="0" fillId="2" borderId="0" xfId="0" applyNumberFormat="1" applyFill="1" applyAlignment="1" applyProtection="1">
      <alignment horizontal="center"/>
      <protection hidden="1"/>
    </xf>
    <xf numFmtId="3" fontId="0" fillId="2" borderId="0" xfId="0" applyNumberFormat="1" applyFill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 applyProtection="1">
      <alignment horizontal="left"/>
      <protection hidden="1"/>
    </xf>
    <xf numFmtId="0" fontId="8" fillId="2" borderId="0" xfId="0" applyFont="1" applyFill="1" applyAlignment="1" applyProtection="1">
      <alignment horizontal="left"/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0" fillId="3" borderId="0" xfId="0" applyFill="1" applyProtection="1">
      <protection locked="0"/>
    </xf>
    <xf numFmtId="0" fontId="0" fillId="0" borderId="0" xfId="0" quotePrefix="1"/>
    <xf numFmtId="0" fontId="0" fillId="5" borderId="0" xfId="0" applyFill="1" applyProtection="1">
      <protection locked="0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0" xfId="0" quotePrefix="1" applyFill="1" applyAlignment="1">
      <alignment horizontal="center"/>
    </xf>
    <xf numFmtId="0" fontId="0" fillId="4" borderId="0" xfId="0" applyFill="1" applyAlignment="1">
      <alignment horizontal="left"/>
    </xf>
    <xf numFmtId="0" fontId="1" fillId="5" borderId="0" xfId="0" applyFont="1" applyFill="1" applyProtection="1">
      <protection locked="0"/>
    </xf>
    <xf numFmtId="0" fontId="13" fillId="2" borderId="0" xfId="0" applyFont="1" applyFill="1" applyProtection="1">
      <protection hidden="1"/>
    </xf>
    <xf numFmtId="0" fontId="15" fillId="0" borderId="0" xfId="0" applyFont="1" applyAlignment="1">
      <alignment horizontal="left" vertical="center"/>
    </xf>
    <xf numFmtId="0" fontId="12" fillId="0" borderId="0" xfId="2" applyAlignment="1">
      <alignment horizontal="left" vertical="center"/>
    </xf>
    <xf numFmtId="0" fontId="12" fillId="0" borderId="0" xfId="2" applyAlignment="1" applyProtection="1">
      <alignment horizontal="left"/>
      <protection locked="0"/>
    </xf>
    <xf numFmtId="0" fontId="12" fillId="0" borderId="1" xfId="2" applyBorder="1"/>
    <xf numFmtId="0" fontId="16" fillId="5" borderId="0" xfId="0" applyFont="1" applyFill="1" applyProtection="1">
      <protection locked="0"/>
    </xf>
    <xf numFmtId="0" fontId="0" fillId="4" borderId="0" xfId="0" applyFill="1" applyProtection="1">
      <protection locked="0"/>
    </xf>
    <xf numFmtId="4" fontId="0" fillId="4" borderId="0" xfId="0" applyNumberFormat="1" applyFill="1" applyProtection="1">
      <protection locked="0"/>
    </xf>
    <xf numFmtId="0" fontId="0" fillId="4" borderId="11" xfId="0" applyFill="1" applyBorder="1" applyProtection="1">
      <protection locked="0"/>
    </xf>
    <xf numFmtId="0" fontId="12" fillId="5" borderId="0" xfId="2" applyFill="1" applyProtection="1">
      <protection locked="0"/>
    </xf>
    <xf numFmtId="0" fontId="0" fillId="6" borderId="16" xfId="0" applyFill="1" applyBorder="1" applyAlignment="1" applyProtection="1">
      <alignment horizontal="centerContinuous"/>
      <protection hidden="1"/>
    </xf>
    <xf numFmtId="0" fontId="0" fillId="6" borderId="17" xfId="0" applyFill="1" applyBorder="1" applyAlignment="1" applyProtection="1">
      <alignment horizontal="centerContinuous"/>
      <protection hidden="1"/>
    </xf>
    <xf numFmtId="0" fontId="1" fillId="6" borderId="15" xfId="0" applyFont="1" applyFill="1" applyBorder="1" applyAlignment="1" applyProtection="1">
      <alignment horizontal="centerContinuous" vertical="center" wrapText="1"/>
      <protection hidden="1"/>
    </xf>
    <xf numFmtId="19" fontId="0" fillId="0" borderId="0" xfId="0" applyNumberFormat="1" applyAlignment="1" applyProtection="1">
      <alignment horizontal="center"/>
      <protection locked="0"/>
    </xf>
    <xf numFmtId="0" fontId="17" fillId="0" borderId="0" xfId="0" applyFont="1"/>
    <xf numFmtId="0" fontId="12" fillId="6" borderId="12" xfId="2" applyFill="1" applyBorder="1" applyAlignment="1">
      <alignment horizontal="center" vertical="center"/>
    </xf>
    <xf numFmtId="0" fontId="14" fillId="6" borderId="14" xfId="2" applyFont="1" applyFill="1" applyBorder="1" applyAlignment="1">
      <alignment horizontal="center" vertical="center"/>
    </xf>
    <xf numFmtId="0" fontId="7" fillId="5" borderId="0" xfId="0" quotePrefix="1" applyFont="1" applyFill="1" applyAlignment="1">
      <alignment horizontal="center"/>
    </xf>
    <xf numFmtId="9" fontId="0" fillId="5" borderId="0" xfId="0" applyNumberFormat="1" applyFill="1" applyAlignment="1">
      <alignment horizontal="center"/>
    </xf>
    <xf numFmtId="6" fontId="0" fillId="5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0" fillId="7" borderId="15" xfId="0" applyFont="1" applyFill="1" applyBorder="1" applyAlignment="1">
      <alignment horizontal="center"/>
    </xf>
    <xf numFmtId="0" fontId="10" fillId="7" borderId="17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74DEF294-5C40-4DB7-BA01-97D9ADC3A774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4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/Relationships>
</file>

<file path=xl/ctrlProps/ctrlProp1.xml><?xml version="1.0" encoding="utf-8"?>
<formControlPr xmlns="http://schemas.microsoft.com/office/spreadsheetml/2009/9/main" objectType="Drop" dropStyle="combo" dx="68" fmlaLink="BackgroundCalcs!$F$46" fmlaRange="BackgroundCalcs!$D$46:$D$47" noThreeD="1" sel="1" val="0"/>
</file>

<file path=xl/ctrlProps/ctrlProp2.xml><?xml version="1.0" encoding="utf-8"?>
<formControlPr xmlns="http://schemas.microsoft.com/office/spreadsheetml/2009/9/main" objectType="Drop" dropStyle="combo" dx="68" fmlaLink="BackgroundCalcs!$F$49" fmlaRange="BackgroundCalcs!$D$46:$D$47" noThreeD="1" sel="1" val="0"/>
</file>

<file path=xl/ctrlProps/ctrlProp3.xml><?xml version="1.0" encoding="utf-8"?>
<formControlPr xmlns="http://schemas.microsoft.com/office/spreadsheetml/2009/9/main" objectType="Drop" dropStyle="combo" dx="68" fmlaLink="BackgroundCalcs!$F$52" fmlaRange="BackgroundCalcs!$D$46:$D$47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1077912</xdr:colOff>
      <xdr:row>25</xdr:row>
      <xdr:rowOff>161925</xdr:rowOff>
    </xdr:from>
    <xdr:to>
      <xdr:col>4</xdr:col>
      <xdr:colOff>520382</xdr:colOff>
      <xdr:row>28</xdr:row>
      <xdr:rowOff>99061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05287" y="3209925"/>
          <a:ext cx="1256030" cy="495300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869950</xdr:colOff>
          <xdr:row>24</xdr:row>
          <xdr:rowOff>177800</xdr:rowOff>
        </xdr:from>
        <xdr:to>
          <xdr:col>2</xdr:col>
          <xdr:colOff>1784350</xdr:colOff>
          <xdr:row>26</xdr:row>
          <xdr:rowOff>6350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27</xdr:row>
          <xdr:rowOff>0</xdr:rowOff>
        </xdr:from>
        <xdr:to>
          <xdr:col>2</xdr:col>
          <xdr:colOff>1790700</xdr:colOff>
          <xdr:row>28</xdr:row>
          <xdr:rowOff>38100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869950</xdr:colOff>
          <xdr:row>29</xdr:row>
          <xdr:rowOff>6350</xdr:rowOff>
        </xdr:from>
        <xdr:to>
          <xdr:col>2</xdr:col>
          <xdr:colOff>1784350</xdr:colOff>
          <xdr:row>30</xdr:row>
          <xdr:rowOff>44450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196850</xdr:colOff>
      <xdr:row>0</xdr:row>
      <xdr:rowOff>152400</xdr:rowOff>
    </xdr:from>
    <xdr:to>
      <xdr:col>3</xdr:col>
      <xdr:colOff>787276</xdr:colOff>
      <xdr:row>6</xdr:row>
      <xdr:rowOff>56059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663826" cy="998399"/>
        </a:xfrm>
        <a:prstGeom prst="rect">
          <a:avLst/>
        </a:prstGeom>
      </xdr:spPr>
    </xdr:pic>
    <xdr:clientData/>
  </xdr:twoCellAnchor>
  <xdr:twoCellAnchor editAs="oneCell">
    <xdr:from>
      <xdr:col>3</xdr:col>
      <xdr:colOff>1007825</xdr:colOff>
      <xdr:row>1</xdr:row>
      <xdr:rowOff>12700</xdr:rowOff>
    </xdr:from>
    <xdr:to>
      <xdr:col>5</xdr:col>
      <xdr:colOff>250339</xdr:colOff>
      <xdr:row>5</xdr:row>
      <xdr:rowOff>138126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9796" y="203200"/>
          <a:ext cx="3440909" cy="8836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196850</xdr:colOff>
      <xdr:row>0</xdr:row>
      <xdr:rowOff>152400</xdr:rowOff>
    </xdr:from>
    <xdr:to>
      <xdr:col>9</xdr:col>
      <xdr:colOff>56515</xdr:colOff>
      <xdr:row>5</xdr:row>
      <xdr:rowOff>150880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361690" cy="909705"/>
        </a:xfrm>
        <a:prstGeom prst="rect">
          <a:avLst/>
        </a:prstGeom>
      </xdr:spPr>
    </xdr:pic>
    <xdr:clientData/>
  </xdr:twoCellAnchor>
  <xdr:twoCellAnchor editAs="oneCell">
    <xdr:from>
      <xdr:col>105</xdr:col>
      <xdr:colOff>14604</xdr:colOff>
      <xdr:row>0</xdr:row>
      <xdr:rowOff>88901</xdr:rowOff>
    </xdr:from>
    <xdr:to>
      <xdr:col>108</xdr:col>
      <xdr:colOff>351154</xdr:colOff>
      <xdr:row>1</xdr:row>
      <xdr:rowOff>161925</xdr:rowOff>
    </xdr:to>
    <xdr:sp macro="[0]!GiveInstruction" textlink="">
      <xdr:nvSpPr>
        <xdr:cNvPr id="3" name="Bevel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280504" y="88901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Instruction</a:t>
          </a:r>
        </a:p>
      </xdr:txBody>
    </xdr:sp>
    <xdr:clientData/>
  </xdr:twoCellAnchor>
  <xdr:twoCellAnchor editAs="oneCell">
    <xdr:from>
      <xdr:col>105</xdr:col>
      <xdr:colOff>8254</xdr:colOff>
      <xdr:row>2</xdr:row>
      <xdr:rowOff>57151</xdr:rowOff>
    </xdr:from>
    <xdr:to>
      <xdr:col>108</xdr:col>
      <xdr:colOff>341629</xdr:colOff>
      <xdr:row>3</xdr:row>
      <xdr:rowOff>133350</xdr:rowOff>
    </xdr:to>
    <xdr:sp macro="[0]!GivePCHint" textlink="">
      <xdr:nvSpPr>
        <xdr:cNvPr id="5" name="Bevel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9274154" y="425451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PC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Hint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105</xdr:col>
      <xdr:colOff>0</xdr:colOff>
      <xdr:row>4</xdr:row>
      <xdr:rowOff>25400</xdr:rowOff>
    </xdr:from>
    <xdr:to>
      <xdr:col>108</xdr:col>
      <xdr:colOff>333375</xdr:colOff>
      <xdr:row>5</xdr:row>
      <xdr:rowOff>104774</xdr:rowOff>
    </xdr:to>
    <xdr:sp macro="[0]!GiveMacHint" textlink="">
      <xdr:nvSpPr>
        <xdr:cNvPr id="6" name="Bevel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265900" y="762000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Mac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Hint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1057275</xdr:colOff>
      <xdr:row>0</xdr:row>
      <xdr:rowOff>161925</xdr:rowOff>
    </xdr:from>
    <xdr:to>
      <xdr:col>4</xdr:col>
      <xdr:colOff>1143000</xdr:colOff>
      <xdr:row>2</xdr:row>
      <xdr:rowOff>173990</xdr:rowOff>
    </xdr:to>
    <xdr:sp macro="[0]!startGa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048125" y="161925"/>
          <a:ext cx="1466850" cy="495300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Again!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KeyboardingWarmUp_StudentVersion_GradingTa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ownloads/Hurdles%20Challenge%20(Answers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ShortcutChallenge_StudentVersion_GradingTab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Spring%202022/Class%20Sessions/Class%202%20-%20Shortcuts/Shortcut%20Challenge/ExerciseTemplateV6_ShortcutChalleng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ropbox/FIN%20360L/Class%20Sessions/Class%207/ExerciseTemplateV3_MatchingExercisesPart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Keyboard%20Exercises%20UpdatedV2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ACHGE~1/LOCALS~1/Temp/Excel%20Tips%20from%20Chris%20G%20(%232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Excel%20Shortcut%20Challenge%20(NoMouseChecking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Keyboard Warm Up 1"/>
      <sheetName val="Keyboard Warm Up 2"/>
      <sheetName val="Results"/>
      <sheetName val="Grading"/>
      <sheetName val="BackgroundCalcs"/>
      <sheetName val="Output"/>
    </sheetNames>
    <sheetDataSet>
      <sheetData sheetId="0"/>
      <sheetData sheetId="1">
        <row r="1">
          <cell r="A1" t="str">
            <v>Keyboarding Warm Up</v>
          </cell>
        </row>
        <row r="7">
          <cell r="D7">
            <v>1</v>
          </cell>
          <cell r="AC7">
            <v>4</v>
          </cell>
          <cell r="BR7">
            <v>17</v>
          </cell>
          <cell r="CQ7">
            <v>18</v>
          </cell>
        </row>
        <row r="12">
          <cell r="BD12">
            <v>11</v>
          </cell>
          <cell r="BN12">
            <v>12</v>
          </cell>
        </row>
        <row r="18">
          <cell r="BN18">
            <v>13</v>
          </cell>
        </row>
        <row r="30">
          <cell r="AH30">
            <v>7</v>
          </cell>
          <cell r="AY30">
            <v>8</v>
          </cell>
          <cell r="BE30">
            <v>14</v>
          </cell>
          <cell r="BK30">
            <v>15</v>
          </cell>
        </row>
        <row r="31">
          <cell r="BR31" t="str">
            <v>˄</v>
          </cell>
          <cell r="BS31">
            <v>22</v>
          </cell>
          <cell r="CP31">
            <v>21</v>
          </cell>
        </row>
        <row r="53">
          <cell r="D53">
            <v>2</v>
          </cell>
          <cell r="AC53">
            <v>3</v>
          </cell>
          <cell r="AH53">
            <v>6</v>
          </cell>
          <cell r="AX53">
            <v>5</v>
          </cell>
          <cell r="AY53">
            <v>9</v>
          </cell>
          <cell r="BD53">
            <v>10</v>
          </cell>
          <cell r="BR53">
            <v>16</v>
          </cell>
          <cell r="BS53">
            <v>23</v>
          </cell>
          <cell r="CP53">
            <v>20</v>
          </cell>
          <cell r="CQ53">
            <v>19</v>
          </cell>
        </row>
      </sheetData>
      <sheetData sheetId="2"/>
      <sheetData sheetId="3"/>
      <sheetData sheetId="4"/>
      <sheetData sheetId="5">
        <row r="2">
          <cell r="S2">
            <v>0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rst"/>
      <sheetName val="Grading"/>
      <sheetName val="Second"/>
      <sheetName val="calc"/>
      <sheetName val="Results"/>
      <sheetName val="Output"/>
    </sheetNames>
    <sheetDataSet>
      <sheetData sheetId="0">
        <row r="3">
          <cell r="B3" t="str">
            <v>Start here</v>
          </cell>
          <cell r="C3" t="str">
            <v>x</v>
          </cell>
          <cell r="D3" t="str">
            <v>x</v>
          </cell>
          <cell r="E3" t="str">
            <v>x</v>
          </cell>
          <cell r="F3" t="str">
            <v>x</v>
          </cell>
          <cell r="G3" t="str">
            <v>x</v>
          </cell>
          <cell r="H3" t="str">
            <v>x</v>
          </cell>
          <cell r="I3" t="str">
            <v>x</v>
          </cell>
          <cell r="J3" t="str">
            <v>H</v>
          </cell>
        </row>
        <row r="4">
          <cell r="J4" t="str">
            <v>x</v>
          </cell>
        </row>
        <row r="5">
          <cell r="J5" t="str">
            <v>x</v>
          </cell>
        </row>
        <row r="6">
          <cell r="J6" t="str">
            <v>x</v>
          </cell>
        </row>
        <row r="7">
          <cell r="J7" t="str">
            <v>x</v>
          </cell>
        </row>
        <row r="8">
          <cell r="D8" t="str">
            <v>H</v>
          </cell>
          <cell r="E8" t="str">
            <v>x</v>
          </cell>
          <cell r="F8" t="str">
            <v>x</v>
          </cell>
          <cell r="G8" t="str">
            <v>x</v>
          </cell>
          <cell r="H8" t="str">
            <v>x</v>
          </cell>
          <cell r="I8" t="str">
            <v>x</v>
          </cell>
          <cell r="J8" t="str">
            <v>H</v>
          </cell>
        </row>
        <row r="9">
          <cell r="D9" t="str">
            <v>x</v>
          </cell>
        </row>
        <row r="10">
          <cell r="D10"/>
        </row>
        <row r="11">
          <cell r="D11" t="str">
            <v>x</v>
          </cell>
        </row>
        <row r="12">
          <cell r="D12"/>
        </row>
        <row r="13">
          <cell r="D13" t="str">
            <v>x</v>
          </cell>
        </row>
        <row r="14">
          <cell r="D14"/>
        </row>
        <row r="15">
          <cell r="D15" t="str">
            <v>x</v>
          </cell>
        </row>
        <row r="16">
          <cell r="D16"/>
        </row>
        <row r="17">
          <cell r="D17" t="str">
            <v>x</v>
          </cell>
        </row>
        <row r="18">
          <cell r="D18"/>
        </row>
        <row r="19">
          <cell r="D19" t="str">
            <v>H</v>
          </cell>
          <cell r="E19" t="str">
            <v>x</v>
          </cell>
          <cell r="F19" t="str">
            <v>x</v>
          </cell>
          <cell r="G19" t="str">
            <v>x</v>
          </cell>
          <cell r="H19"/>
          <cell r="I19"/>
          <cell r="J19"/>
          <cell r="K19" t="str">
            <v>x</v>
          </cell>
          <cell r="L19" t="str">
            <v>x</v>
          </cell>
          <cell r="M19" t="str">
            <v>x</v>
          </cell>
          <cell r="N19"/>
          <cell r="O19"/>
          <cell r="P19"/>
          <cell r="Q19" t="str">
            <v>x</v>
          </cell>
          <cell r="R19" t="str">
            <v>x</v>
          </cell>
          <cell r="S19" t="str">
            <v>x</v>
          </cell>
          <cell r="T19" t="str">
            <v>H</v>
          </cell>
        </row>
        <row r="20">
          <cell r="T20"/>
        </row>
        <row r="21">
          <cell r="T21"/>
        </row>
        <row r="22">
          <cell r="T22"/>
        </row>
        <row r="23">
          <cell r="E23" t="str">
            <v>H</v>
          </cell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 t="str">
            <v>H</v>
          </cell>
          <cell r="T23"/>
        </row>
        <row r="24">
          <cell r="E24"/>
          <cell r="P24"/>
          <cell r="T24"/>
        </row>
        <row r="25">
          <cell r="E25"/>
          <cell r="P25"/>
          <cell r="T25"/>
        </row>
        <row r="26">
          <cell r="E26" t="str">
            <v>Select x from drop down</v>
          </cell>
          <cell r="F26" t="str">
            <v/>
          </cell>
          <cell r="G26"/>
          <cell r="H26"/>
          <cell r="I26"/>
          <cell r="J26"/>
          <cell r="K26" t="str">
            <v>H</v>
          </cell>
          <cell r="P26"/>
          <cell r="T26"/>
        </row>
        <row r="27">
          <cell r="K27"/>
          <cell r="P27"/>
          <cell r="T27"/>
        </row>
        <row r="28">
          <cell r="K28"/>
          <cell r="P28"/>
          <cell r="T28"/>
        </row>
        <row r="29">
          <cell r="K29"/>
          <cell r="P29" t="str">
            <v>H</v>
          </cell>
          <cell r="Q29"/>
          <cell r="R29"/>
          <cell r="S29"/>
          <cell r="T29" t="str">
            <v>H</v>
          </cell>
        </row>
        <row r="30">
          <cell r="K30"/>
        </row>
        <row r="31">
          <cell r="K31"/>
        </row>
        <row r="32">
          <cell r="C32" t="str">
            <v>Go to Second sheet</v>
          </cell>
          <cell r="D32"/>
          <cell r="E32"/>
          <cell r="F32"/>
          <cell r="G32"/>
          <cell r="H32"/>
          <cell r="I32"/>
          <cell r="J32"/>
          <cell r="K32" t="str">
            <v>H</v>
          </cell>
        </row>
      </sheetData>
      <sheetData sheetId="1"/>
      <sheetData sheetId="2">
        <row r="1">
          <cell r="A1" t="str">
            <v>H</v>
          </cell>
          <cell r="B1"/>
          <cell r="C1"/>
          <cell r="D1"/>
          <cell r="E1"/>
          <cell r="F1"/>
          <cell r="G1"/>
          <cell r="H1" t="str">
            <v>H</v>
          </cell>
        </row>
        <row r="2">
          <cell r="H2"/>
        </row>
        <row r="3">
          <cell r="H3"/>
        </row>
        <row r="4">
          <cell r="H4"/>
        </row>
        <row r="5">
          <cell r="H5"/>
        </row>
        <row r="6">
          <cell r="H6"/>
        </row>
        <row r="7">
          <cell r="H7"/>
        </row>
        <row r="8">
          <cell r="H8"/>
        </row>
        <row r="9">
          <cell r="H9"/>
        </row>
        <row r="10">
          <cell r="H10"/>
        </row>
        <row r="11">
          <cell r="H11"/>
        </row>
        <row r="12">
          <cell r="H12"/>
        </row>
        <row r="13">
          <cell r="H13"/>
        </row>
        <row r="14">
          <cell r="H14"/>
        </row>
        <row r="15">
          <cell r="H15"/>
        </row>
        <row r="16">
          <cell r="H16"/>
        </row>
        <row r="17">
          <cell r="H17"/>
        </row>
        <row r="18">
          <cell r="H18"/>
        </row>
        <row r="19">
          <cell r="H19"/>
        </row>
        <row r="20">
          <cell r="H20"/>
        </row>
        <row r="21">
          <cell r="H21"/>
        </row>
        <row r="22">
          <cell r="H22"/>
        </row>
        <row r="23">
          <cell r="H23"/>
        </row>
        <row r="24">
          <cell r="C24" t="str">
            <v>End</v>
          </cell>
          <cell r="H24"/>
        </row>
        <row r="25">
          <cell r="C25"/>
          <cell r="H25"/>
        </row>
        <row r="26">
          <cell r="C26"/>
          <cell r="H26" t="str">
            <v>H</v>
          </cell>
          <cell r="I26"/>
          <cell r="J26"/>
          <cell r="K26"/>
          <cell r="L26"/>
          <cell r="M26" t="str">
            <v>H</v>
          </cell>
        </row>
        <row r="27">
          <cell r="C27"/>
          <cell r="M27"/>
        </row>
        <row r="28">
          <cell r="C28"/>
          <cell r="M28"/>
        </row>
        <row r="29">
          <cell r="C29"/>
          <cell r="M29"/>
        </row>
        <row r="30">
          <cell r="C30"/>
          <cell r="M30"/>
        </row>
        <row r="31">
          <cell r="C31"/>
          <cell r="M31"/>
        </row>
        <row r="32">
          <cell r="C32"/>
          <cell r="M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 t="str">
            <v>Go to cell C33</v>
          </cell>
        </row>
      </sheetData>
      <sheetData sheetId="3">
        <row r="3">
          <cell r="F3">
            <v>0</v>
          </cell>
          <cell r="G3"/>
          <cell r="H3"/>
        </row>
        <row r="4">
          <cell r="D4"/>
        </row>
        <row r="5">
          <cell r="D5"/>
        </row>
        <row r="6">
          <cell r="D6"/>
          <cell r="G6">
            <v>0</v>
          </cell>
        </row>
        <row r="7">
          <cell r="D7"/>
          <cell r="G7">
            <v>35.000000009313226</v>
          </cell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</sheetData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ShortcutChallenge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hortcutChallenge"/>
      <sheetName val="Results"/>
      <sheetName val="BackgroundCalcs"/>
      <sheetName val="Output"/>
      <sheetName val="Grading"/>
    </sheetNames>
    <sheetDataSet>
      <sheetData sheetId="0"/>
      <sheetData sheetId="1"/>
      <sheetData sheetId="2"/>
      <sheetData sheetId="3"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  <row r="29">
          <cell r="F29">
            <v>6.7129629314877093E-4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ond Data"/>
      <sheetName val="Exercise 1"/>
      <sheetName val="Exercise 2"/>
      <sheetName val="Exercise 3"/>
      <sheetName val="Exercise 4"/>
      <sheetName val="Exercise 5"/>
      <sheetName val="Results"/>
      <sheetName val="BackgroundCalcs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Matching Exercises Part 1</v>
          </cell>
        </row>
        <row r="5">
          <cell r="B5" t="str">
            <v>Numbers</v>
          </cell>
        </row>
        <row r="8">
          <cell r="B8">
            <v>10</v>
          </cell>
        </row>
        <row r="17">
          <cell r="B17">
            <v>5</v>
          </cell>
        </row>
      </sheetData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board Exercise 1"/>
      <sheetName val="Keyboard Exercise 2"/>
      <sheetName val="Keyboard Exercise 3"/>
      <sheetName val="Keyboard Exercise 4"/>
      <sheetName val="calc"/>
      <sheetName val="Results"/>
    </sheetNames>
    <sheetDataSet>
      <sheetData sheetId="0"/>
      <sheetData sheetId="1"/>
      <sheetData sheetId="2"/>
      <sheetData sheetId="3" refreshError="1"/>
      <sheetData sheetId="4">
        <row r="3">
          <cell r="G3">
            <v>44127.436469907407</v>
          </cell>
        </row>
        <row r="4">
          <cell r="D4" t="b">
            <v>1</v>
          </cell>
        </row>
        <row r="5">
          <cell r="D5" t="b">
            <v>1</v>
          </cell>
        </row>
        <row r="6">
          <cell r="D6" t="b">
            <v>1</v>
          </cell>
          <cell r="G6">
            <v>-44127.436469907407</v>
          </cell>
        </row>
        <row r="7">
          <cell r="D7" t="b">
            <v>1</v>
          </cell>
        </row>
        <row r="8">
          <cell r="D8" t="b">
            <v>1</v>
          </cell>
        </row>
        <row r="9">
          <cell r="D9" t="b">
            <v>1</v>
          </cell>
        </row>
        <row r="10">
          <cell r="D10" t="b">
            <v>1</v>
          </cell>
        </row>
        <row r="11">
          <cell r="D11" t="b">
            <v>1</v>
          </cell>
        </row>
        <row r="12">
          <cell r="D12" t="b">
            <v>1</v>
          </cell>
        </row>
        <row r="13">
          <cell r="D13" t="b">
            <v>1</v>
          </cell>
        </row>
        <row r="14">
          <cell r="D14" t="b">
            <v>1</v>
          </cell>
        </row>
        <row r="15">
          <cell r="D15" t="b">
            <v>1</v>
          </cell>
        </row>
        <row r="16">
          <cell r="D16" t="b">
            <v>1</v>
          </cell>
        </row>
        <row r="17">
          <cell r="D17" t="b">
            <v>1</v>
          </cell>
        </row>
        <row r="18">
          <cell r="D18" t="b">
            <v>1</v>
          </cell>
        </row>
        <row r="19">
          <cell r="D19" t="b">
            <v>1</v>
          </cell>
        </row>
        <row r="20">
          <cell r="D20" t="b">
            <v>1</v>
          </cell>
        </row>
        <row r="21">
          <cell r="D21" t="b">
            <v>1</v>
          </cell>
        </row>
      </sheetData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Did you know"/>
      <sheetName val="Fixing Annoyances Full Menus"/>
      <sheetName val="Fixing Annoyances PT Formulas"/>
      <sheetName val="Custom Numeric Formatting"/>
      <sheetName val="Conditional Formatting Tricks"/>
      <sheetName val="Dynamic Ranges"/>
      <sheetName val="Dynamic Ranges and Charts"/>
      <sheetName val="Charts with Custom Symbols"/>
      <sheetName val="Creating Simple UI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Name</v>
          </cell>
        </row>
      </sheetData>
      <sheetData sheetId="7">
        <row r="5">
          <cell r="B5" t="str">
            <v>Name</v>
          </cell>
        </row>
        <row r="30">
          <cell r="D30">
            <v>14</v>
          </cell>
        </row>
      </sheetData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Challenge"/>
      <sheetName val="Results"/>
      <sheetName val="calc"/>
      <sheetName val="log"/>
    </sheetNames>
    <sheetDataSet>
      <sheetData sheetId="0" refreshError="1"/>
      <sheetData sheetId="1" refreshError="1"/>
      <sheetData sheetId="2">
        <row r="11">
          <cell r="B11">
            <v>-251732499.72570854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youtu.be/-B6AH9k8OgE" TargetMode="External"/><Relationship Id="rId1" Type="http://schemas.openxmlformats.org/officeDocument/2006/relationships/hyperlink" Target="https://www.linkedin.com/in/david-brown-5a44751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facebook.com/sharer.php?u=http%3A%2F%2Fchandoo.org%2Fwp%2F2012%2F08%2F10%2Fexcel-hurdles%2F&amp;t=I%20finished%20Excel%20Hurdle%20challenge%20in%20$$%20seconds." TargetMode="External"/><Relationship Id="rId1" Type="http://schemas.openxmlformats.org/officeDocument/2006/relationships/hyperlink" Target="https://www.linkedin.com/sharing/share-offsite/?url=https://www.fmworldcup.com/microsoft-excel-collegiate-challeng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66A4F-8D2D-4B6B-A761-2F9C86D09908}">
  <sheetPr codeName="Sheet1"/>
  <dimension ref="A1:XX1203"/>
  <sheetViews>
    <sheetView topLeftCell="A20" zoomScale="115" zoomScaleNormal="115" workbookViewId="0">
      <selection activeCell="B23" sqref="B23"/>
    </sheetView>
  </sheetViews>
  <sheetFormatPr defaultColWidth="0" defaultRowHeight="14.5" zeroHeight="1"/>
  <cols>
    <col min="1" max="1" width="6.08984375" style="2" customWidth="1"/>
    <col min="2" max="2" width="12.81640625" style="2" customWidth="1"/>
    <col min="3" max="4" width="25.90625" style="2" customWidth="1"/>
    <col min="5" max="5" width="37.08984375" style="2" customWidth="1"/>
    <col min="6" max="6" width="8.81640625" style="2" customWidth="1"/>
    <col min="7" max="16384" width="8.81640625" style="2" hidden="1"/>
  </cols>
  <sheetData>
    <row r="1" spans="1:15">
      <c r="A1" s="32"/>
      <c r="B1" s="32"/>
      <c r="C1" s="32"/>
      <c r="D1" s="32"/>
      <c r="E1" s="32"/>
      <c r="F1" s="32"/>
    </row>
    <row r="2" spans="1:15">
      <c r="A2" s="32"/>
      <c r="B2" s="32"/>
      <c r="C2" s="32"/>
      <c r="D2" s="32"/>
      <c r="E2" s="32"/>
      <c r="F2" s="32"/>
    </row>
    <row r="3" spans="1:15">
      <c r="A3" s="32"/>
      <c r="B3" s="32"/>
      <c r="C3" s="32"/>
      <c r="D3" s="32"/>
      <c r="E3" s="32"/>
      <c r="F3" s="32"/>
    </row>
    <row r="4" spans="1:15">
      <c r="A4" s="32"/>
      <c r="B4" s="32"/>
      <c r="C4" s="32"/>
      <c r="D4" s="32"/>
      <c r="E4" s="32"/>
      <c r="F4" s="32"/>
    </row>
    <row r="5" spans="1:15">
      <c r="A5" s="32"/>
      <c r="B5" s="32"/>
      <c r="C5" s="32"/>
      <c r="D5" s="32"/>
      <c r="E5" s="32"/>
      <c r="F5" s="32"/>
    </row>
    <row r="6" spans="1:15">
      <c r="A6" s="32"/>
      <c r="B6" s="32"/>
      <c r="C6" s="32"/>
      <c r="D6" s="32"/>
      <c r="E6" s="32"/>
      <c r="F6" s="32"/>
    </row>
    <row r="7" spans="1:15">
      <c r="A7" s="32"/>
      <c r="B7" s="32"/>
      <c r="C7" s="32"/>
      <c r="D7" s="32"/>
      <c r="E7" s="32"/>
      <c r="F7" s="32"/>
    </row>
    <row r="8" spans="1:15" ht="26">
      <c r="A8" s="32"/>
      <c r="B8" s="54" t="str">
        <f>SpreadsheetName</f>
        <v>MECC Keyboarding Challenge</v>
      </c>
      <c r="C8" s="32"/>
      <c r="D8" s="32"/>
      <c r="E8" s="32"/>
      <c r="F8" s="32"/>
    </row>
    <row r="9" spans="1:15">
      <c r="A9" s="32"/>
      <c r="B9" s="58" t="s">
        <v>142</v>
      </c>
      <c r="C9" s="32"/>
      <c r="D9" s="32"/>
      <c r="E9" s="32"/>
      <c r="F9" s="32"/>
    </row>
    <row r="10" spans="1:15">
      <c r="A10" s="32"/>
      <c r="B10" s="32"/>
      <c r="C10" s="32"/>
      <c r="D10" s="32"/>
      <c r="E10" s="32"/>
      <c r="F10" s="32"/>
    </row>
    <row r="11" spans="1:15">
      <c r="A11" s="32"/>
      <c r="B11" s="48" t="s">
        <v>20</v>
      </c>
      <c r="C11" s="32"/>
      <c r="D11" s="32"/>
      <c r="E11" s="32"/>
      <c r="F11" s="32"/>
    </row>
    <row r="12" spans="1:15">
      <c r="A12" s="32">
        <v>1</v>
      </c>
      <c r="B12" s="32" t="s">
        <v>125</v>
      </c>
      <c r="C12" s="32"/>
      <c r="D12" s="32"/>
      <c r="E12" s="32"/>
      <c r="F12" s="32"/>
    </row>
    <row r="13" spans="1:15">
      <c r="A13" s="32">
        <v>2</v>
      </c>
      <c r="B13" s="32" t="s">
        <v>123</v>
      </c>
      <c r="C13" s="32"/>
      <c r="D13" s="32"/>
      <c r="E13" s="32"/>
      <c r="F13" s="32"/>
    </row>
    <row r="14" spans="1:15">
      <c r="A14" s="32">
        <v>3</v>
      </c>
      <c r="B14" s="32" t="s">
        <v>131</v>
      </c>
      <c r="C14" s="32"/>
      <c r="D14" s="32"/>
      <c r="E14" s="32"/>
      <c r="F14" s="32"/>
    </row>
    <row r="15" spans="1:15">
      <c r="A15" s="32">
        <v>4</v>
      </c>
      <c r="B15" s="32" t="s">
        <v>124</v>
      </c>
      <c r="C15" s="32"/>
      <c r="D15" s="32"/>
      <c r="E15" s="32"/>
      <c r="F15" s="32"/>
    </row>
    <row r="16" spans="1:15">
      <c r="A16" s="32">
        <v>5</v>
      </c>
      <c r="B16" s="32" t="s">
        <v>126</v>
      </c>
      <c r="C16" s="32"/>
      <c r="D16" s="32"/>
      <c r="E16" s="32"/>
      <c r="F16" s="32"/>
      <c r="O16" s="30" t="s">
        <v>25</v>
      </c>
    </row>
    <row r="17" spans="1:15">
      <c r="A17" s="32"/>
      <c r="B17" s="32" t="s">
        <v>127</v>
      </c>
      <c r="C17" s="32"/>
      <c r="D17" s="32"/>
      <c r="E17" s="32"/>
      <c r="F17" s="32"/>
      <c r="O17" s="30" t="s">
        <v>25</v>
      </c>
    </row>
    <row r="18" spans="1:15">
      <c r="A18" s="32">
        <v>6</v>
      </c>
      <c r="B18" s="32" t="s">
        <v>128</v>
      </c>
      <c r="C18" s="32"/>
      <c r="D18" s="32"/>
      <c r="E18" s="32"/>
      <c r="F18" s="32"/>
      <c r="O18" s="30" t="s">
        <v>25</v>
      </c>
    </row>
    <row r="19" spans="1:15">
      <c r="A19" s="32"/>
      <c r="B19" s="32" t="s">
        <v>129</v>
      </c>
      <c r="C19" s="32"/>
      <c r="D19" s="32"/>
      <c r="E19" s="32"/>
      <c r="F19" s="32"/>
      <c r="O19" s="30" t="s">
        <v>25</v>
      </c>
    </row>
    <row r="20" spans="1:15">
      <c r="A20" s="32"/>
      <c r="B20" s="32" t="s">
        <v>130</v>
      </c>
      <c r="C20" s="32"/>
      <c r="D20" s="32"/>
      <c r="E20" s="32"/>
      <c r="F20" s="32"/>
      <c r="O20" s="30" t="s">
        <v>25</v>
      </c>
    </row>
    <row r="21" spans="1:15">
      <c r="A21" s="32">
        <v>7</v>
      </c>
      <c r="B21" s="32" t="s">
        <v>138</v>
      </c>
      <c r="C21" s="32"/>
      <c r="D21" s="32"/>
      <c r="E21" s="32"/>
      <c r="F21" s="32"/>
      <c r="O21" s="30"/>
    </row>
    <row r="22" spans="1:15">
      <c r="A22" s="32">
        <v>8</v>
      </c>
      <c r="B22" s="32" t="s">
        <v>145</v>
      </c>
      <c r="C22" s="32"/>
      <c r="D22" s="32"/>
      <c r="E22" s="32"/>
      <c r="F22" s="32"/>
      <c r="O22" s="30" t="s">
        <v>25</v>
      </c>
    </row>
    <row r="23" spans="1:15">
      <c r="A23" s="32"/>
      <c r="B23" s="58" t="s">
        <v>144</v>
      </c>
      <c r="C23" s="32"/>
      <c r="D23" s="32"/>
      <c r="E23" s="32"/>
      <c r="F23" s="32"/>
      <c r="O23" s="30" t="s">
        <v>25</v>
      </c>
    </row>
    <row r="24" spans="1:15">
      <c r="A24" s="32"/>
      <c r="B24" s="58"/>
      <c r="C24" s="32"/>
      <c r="D24" s="32"/>
      <c r="E24" s="32"/>
      <c r="F24" s="32"/>
      <c r="O24" s="30"/>
    </row>
    <row r="25" spans="1:15">
      <c r="A25" s="32"/>
      <c r="B25" s="48" t="s">
        <v>62</v>
      </c>
      <c r="C25" s="32"/>
      <c r="D25" s="32"/>
      <c r="E25" s="32"/>
      <c r="F25" s="32"/>
      <c r="O25" s="30" t="s">
        <v>25</v>
      </c>
    </row>
    <row r="26" spans="1:15">
      <c r="A26" s="32"/>
      <c r="B26" s="32" t="s">
        <v>64</v>
      </c>
      <c r="C26" s="32"/>
      <c r="D26" s="32"/>
      <c r="E26" s="32"/>
      <c r="F26" s="32"/>
      <c r="O26" s="30" t="s">
        <v>25</v>
      </c>
    </row>
    <row r="27" spans="1:15">
      <c r="A27" s="32"/>
      <c r="B27" s="32"/>
      <c r="C27" s="32"/>
      <c r="D27" s="32"/>
      <c r="E27" s="32"/>
      <c r="F27" s="32"/>
      <c r="O27" s="30" t="s">
        <v>25</v>
      </c>
    </row>
    <row r="28" spans="1:15">
      <c r="A28" s="32"/>
      <c r="B28" s="32" t="s">
        <v>65</v>
      </c>
      <c r="C28" s="32"/>
      <c r="D28" s="32"/>
      <c r="E28" s="32"/>
      <c r="F28" s="32"/>
      <c r="O28" s="30" t="s">
        <v>25</v>
      </c>
    </row>
    <row r="29" spans="1:15">
      <c r="A29" s="32"/>
      <c r="B29" s="32"/>
      <c r="C29" s="32"/>
      <c r="D29" s="32"/>
      <c r="E29" s="32"/>
      <c r="F29" s="32"/>
      <c r="O29" s="30" t="s">
        <v>25</v>
      </c>
    </row>
    <row r="30" spans="1:15">
      <c r="A30" s="32"/>
      <c r="B30" s="32" t="s">
        <v>66</v>
      </c>
      <c r="C30" s="32"/>
      <c r="D30" s="32"/>
      <c r="E30" s="32"/>
      <c r="F30" s="32"/>
      <c r="O30" s="30" t="s">
        <v>25</v>
      </c>
    </row>
    <row r="31" spans="1:15">
      <c r="A31" s="32"/>
      <c r="B31" s="32"/>
      <c r="C31" s="32"/>
      <c r="D31" s="32"/>
      <c r="E31" s="32"/>
      <c r="F31" s="32"/>
      <c r="O31" s="30" t="s">
        <v>25</v>
      </c>
    </row>
    <row r="32" spans="1:15">
      <c r="A32" s="32"/>
      <c r="B32" s="32"/>
      <c r="C32" s="32"/>
      <c r="D32" s="32"/>
      <c r="E32" s="32"/>
      <c r="F32" s="32"/>
      <c r="O32" s="30" t="s">
        <v>25</v>
      </c>
    </row>
    <row r="33" spans="1:15">
      <c r="A33" s="32"/>
      <c r="B33" s="32"/>
      <c r="C33" s="32"/>
      <c r="D33" s="32"/>
      <c r="E33" s="32"/>
      <c r="F33" s="32"/>
      <c r="O33" s="30" t="s">
        <v>25</v>
      </c>
    </row>
    <row r="34" spans="1:15">
      <c r="A34" s="32"/>
      <c r="B34" s="32"/>
      <c r="C34" s="32"/>
      <c r="D34" s="32"/>
      <c r="E34" s="32"/>
      <c r="F34" s="32"/>
      <c r="O34" s="30" t="s">
        <v>25</v>
      </c>
    </row>
    <row r="35" spans="1:15" hidden="1">
      <c r="O35" s="30" t="s">
        <v>25</v>
      </c>
    </row>
    <row r="36" spans="1:15" hidden="1">
      <c r="O36" s="30" t="s">
        <v>25</v>
      </c>
    </row>
    <row r="37" spans="1:15" hidden="1">
      <c r="O37" s="30" t="s">
        <v>25</v>
      </c>
    </row>
    <row r="38" spans="1:15" hidden="1">
      <c r="O38" s="30" t="s">
        <v>25</v>
      </c>
    </row>
    <row r="39" spans="1:15" hidden="1">
      <c r="O39" s="30" t="s">
        <v>25</v>
      </c>
    </row>
    <row r="40" spans="1:15" hidden="1">
      <c r="O40" s="30" t="s">
        <v>25</v>
      </c>
    </row>
    <row r="41" spans="1:15" hidden="1">
      <c r="O41" s="30" t="s">
        <v>25</v>
      </c>
    </row>
    <row r="42" spans="1:15" hidden="1">
      <c r="O42" s="30" t="s">
        <v>25</v>
      </c>
    </row>
    <row r="43" spans="1:15" hidden="1">
      <c r="O43" s="30" t="s">
        <v>25</v>
      </c>
    </row>
    <row r="44" spans="1:15" hidden="1">
      <c r="O44" s="30" t="s">
        <v>25</v>
      </c>
    </row>
    <row r="45" spans="1:15" hidden="1">
      <c r="O45" s="30" t="s">
        <v>25</v>
      </c>
    </row>
    <row r="46" spans="1:15" hidden="1">
      <c r="O46" s="30" t="s">
        <v>25</v>
      </c>
    </row>
    <row r="47" spans="1:15" hidden="1">
      <c r="O47" s="30" t="s">
        <v>25</v>
      </c>
    </row>
    <row r="48" spans="1:15" hidden="1">
      <c r="O48" s="30" t="s">
        <v>25</v>
      </c>
    </row>
    <row r="49" spans="15:15" hidden="1">
      <c r="O49" s="30" t="s">
        <v>25</v>
      </c>
    </row>
    <row r="50" spans="15:15" hidden="1">
      <c r="O50" s="30" t="s">
        <v>25</v>
      </c>
    </row>
    <row r="51" spans="15:15" hidden="1">
      <c r="O51" s="30" t="s">
        <v>25</v>
      </c>
    </row>
    <row r="52" spans="15:15" hidden="1">
      <c r="O52" s="30" t="s">
        <v>25</v>
      </c>
    </row>
    <row r="53" spans="15:15" hidden="1">
      <c r="O53" s="30" t="s">
        <v>25</v>
      </c>
    </row>
    <row r="54" spans="15:15" hidden="1">
      <c r="O54" s="30" t="s">
        <v>25</v>
      </c>
    </row>
    <row r="55" spans="15:15" hidden="1">
      <c r="O55" s="30" t="s">
        <v>25</v>
      </c>
    </row>
    <row r="56" spans="15:15" hidden="1">
      <c r="O56" s="30" t="s">
        <v>25</v>
      </c>
    </row>
    <row r="57" spans="15:15" hidden="1">
      <c r="O57" s="30" t="s">
        <v>25</v>
      </c>
    </row>
    <row r="58" spans="15:15" hidden="1">
      <c r="O58" s="30" t="s">
        <v>25</v>
      </c>
    </row>
    <row r="59" spans="15:15" hidden="1">
      <c r="O59" s="30" t="s">
        <v>25</v>
      </c>
    </row>
    <row r="60" spans="15:15" hidden="1">
      <c r="O60" s="30" t="s">
        <v>25</v>
      </c>
    </row>
    <row r="61" spans="15:15" hidden="1">
      <c r="O61" s="30" t="s">
        <v>25</v>
      </c>
    </row>
    <row r="62" spans="15:15" hidden="1">
      <c r="O62" s="30" t="s">
        <v>25</v>
      </c>
    </row>
    <row r="63" spans="15:15" hidden="1">
      <c r="O63" s="30" t="s">
        <v>25</v>
      </c>
    </row>
    <row r="64" spans="15:15" hidden="1">
      <c r="O64" s="30" t="s">
        <v>25</v>
      </c>
    </row>
    <row r="65" spans="15:15" hidden="1">
      <c r="O65" s="30" t="s">
        <v>25</v>
      </c>
    </row>
    <row r="66" spans="15:15" hidden="1">
      <c r="O66" s="30" t="s">
        <v>25</v>
      </c>
    </row>
    <row r="67" spans="15:15" hidden="1">
      <c r="O67" s="30" t="s">
        <v>25</v>
      </c>
    </row>
    <row r="68" spans="15:15" hidden="1">
      <c r="O68" s="30" t="s">
        <v>25</v>
      </c>
    </row>
    <row r="69" spans="15:15" hidden="1">
      <c r="O69" s="30" t="s">
        <v>25</v>
      </c>
    </row>
    <row r="70" spans="15:15" hidden="1">
      <c r="O70" s="30" t="s">
        <v>25</v>
      </c>
    </row>
    <row r="71" spans="15:15" hidden="1">
      <c r="O71" s="30" t="s">
        <v>25</v>
      </c>
    </row>
    <row r="72" spans="15:15" hidden="1">
      <c r="O72" s="30" t="s">
        <v>25</v>
      </c>
    </row>
    <row r="73" spans="15:15" hidden="1">
      <c r="O73" s="30" t="s">
        <v>25</v>
      </c>
    </row>
    <row r="74" spans="15:15" hidden="1">
      <c r="O74" s="30" t="s">
        <v>25</v>
      </c>
    </row>
    <row r="75" spans="15:15" hidden="1">
      <c r="O75" s="30" t="s">
        <v>25</v>
      </c>
    </row>
    <row r="76" spans="15:15" hidden="1">
      <c r="O76" s="30" t="s">
        <v>25</v>
      </c>
    </row>
    <row r="77" spans="15:15" hidden="1">
      <c r="O77" s="30" t="s">
        <v>25</v>
      </c>
    </row>
    <row r="78" spans="15:15" hidden="1">
      <c r="O78" s="30" t="s">
        <v>25</v>
      </c>
    </row>
    <row r="79" spans="15:15" hidden="1">
      <c r="O79" s="30" t="s">
        <v>25</v>
      </c>
    </row>
    <row r="80" spans="15:15" hidden="1">
      <c r="O80" s="30" t="s">
        <v>25</v>
      </c>
    </row>
    <row r="81" spans="15:15" hidden="1">
      <c r="O81" s="30" t="s">
        <v>25</v>
      </c>
    </row>
    <row r="82" spans="15:15" hidden="1">
      <c r="O82" s="30" t="s">
        <v>25</v>
      </c>
    </row>
    <row r="83" spans="15:15" hidden="1">
      <c r="O83" s="30" t="s">
        <v>25</v>
      </c>
    </row>
    <row r="84" spans="15:15" hidden="1">
      <c r="O84" s="30" t="s">
        <v>25</v>
      </c>
    </row>
    <row r="85" spans="15:15" hidden="1">
      <c r="O85" s="30" t="s">
        <v>25</v>
      </c>
    </row>
    <row r="86" spans="15:15" hidden="1">
      <c r="O86" s="30" t="s">
        <v>25</v>
      </c>
    </row>
    <row r="87" spans="15:15" hidden="1">
      <c r="O87" s="30" t="s">
        <v>25</v>
      </c>
    </row>
    <row r="88" spans="15:15" hidden="1">
      <c r="O88" s="30" t="s">
        <v>25</v>
      </c>
    </row>
    <row r="89" spans="15:15" hidden="1">
      <c r="O89" s="30" t="s">
        <v>25</v>
      </c>
    </row>
    <row r="90" spans="15:15" hidden="1">
      <c r="O90" s="30" t="s">
        <v>25</v>
      </c>
    </row>
    <row r="91" spans="15:15" hidden="1">
      <c r="O91" s="30" t="s">
        <v>25</v>
      </c>
    </row>
    <row r="92" spans="15:15" hidden="1">
      <c r="O92" s="30" t="s">
        <v>25</v>
      </c>
    </row>
    <row r="93" spans="15:15" hidden="1">
      <c r="O93" s="30" t="s">
        <v>25</v>
      </c>
    </row>
    <row r="94" spans="15:15" hidden="1">
      <c r="O94" s="30" t="s">
        <v>25</v>
      </c>
    </row>
    <row r="95" spans="15:15" hidden="1">
      <c r="O95" s="30" t="s">
        <v>25</v>
      </c>
    </row>
    <row r="96" spans="15:15" hidden="1">
      <c r="O96" s="30" t="s">
        <v>25</v>
      </c>
    </row>
    <row r="97" spans="15:15" hidden="1">
      <c r="O97" s="30" t="s">
        <v>25</v>
      </c>
    </row>
    <row r="98" spans="15:15" hidden="1">
      <c r="O98" s="30" t="s">
        <v>25</v>
      </c>
    </row>
    <row r="99" spans="15:15" hidden="1">
      <c r="O99" s="30" t="s">
        <v>25</v>
      </c>
    </row>
    <row r="100" spans="15:15" hidden="1">
      <c r="O100" s="30" t="s">
        <v>25</v>
      </c>
    </row>
    <row r="101" spans="15:15" hidden="1">
      <c r="O101" s="30" t="s">
        <v>25</v>
      </c>
    </row>
    <row r="102" spans="15:15" hidden="1">
      <c r="O102" s="30" t="s">
        <v>25</v>
      </c>
    </row>
    <row r="103" spans="15:15" hidden="1">
      <c r="O103" s="30" t="s">
        <v>25</v>
      </c>
    </row>
    <row r="104" spans="15:15" hidden="1">
      <c r="O104" s="30" t="s">
        <v>25</v>
      </c>
    </row>
    <row r="105" spans="15:15" hidden="1">
      <c r="O105" s="30" t="s">
        <v>25</v>
      </c>
    </row>
    <row r="106" spans="15:15" hidden="1">
      <c r="O106" s="30" t="s">
        <v>25</v>
      </c>
    </row>
    <row r="107" spans="15:15" hidden="1">
      <c r="O107" s="30" t="s">
        <v>25</v>
      </c>
    </row>
    <row r="108" spans="15:15" hidden="1">
      <c r="O108" s="30" t="s">
        <v>25</v>
      </c>
    </row>
    <row r="109" spans="15:15" hidden="1">
      <c r="O109" s="30" t="s">
        <v>25</v>
      </c>
    </row>
    <row r="110" spans="15:15" hidden="1">
      <c r="O110" s="30" t="s">
        <v>25</v>
      </c>
    </row>
    <row r="111" spans="15:15" hidden="1">
      <c r="O111" s="30" t="s">
        <v>25</v>
      </c>
    </row>
    <row r="112" spans="15:15" hidden="1">
      <c r="O112" s="30" t="s">
        <v>25</v>
      </c>
    </row>
    <row r="113" spans="15:15" hidden="1">
      <c r="O113" s="30" t="s">
        <v>25</v>
      </c>
    </row>
    <row r="114" spans="15:15" hidden="1">
      <c r="O114" s="30" t="s">
        <v>25</v>
      </c>
    </row>
    <row r="115" spans="15:15" hidden="1">
      <c r="O115" s="30" t="s">
        <v>25</v>
      </c>
    </row>
    <row r="116" spans="15:15" hidden="1">
      <c r="O116" s="30" t="s">
        <v>25</v>
      </c>
    </row>
    <row r="117" spans="15:15" hidden="1">
      <c r="O117" s="30" t="s">
        <v>25</v>
      </c>
    </row>
    <row r="118" spans="15:15" hidden="1">
      <c r="O118" s="30" t="s">
        <v>25</v>
      </c>
    </row>
    <row r="119" spans="15:15" hidden="1">
      <c r="O119" s="30" t="s">
        <v>25</v>
      </c>
    </row>
    <row r="120" spans="15:15" hidden="1">
      <c r="O120" s="30" t="s">
        <v>25</v>
      </c>
    </row>
    <row r="121" spans="15:15" hidden="1">
      <c r="O121" s="30" t="s">
        <v>25</v>
      </c>
    </row>
    <row r="122" spans="15:15" hidden="1">
      <c r="O122" s="30" t="s">
        <v>25</v>
      </c>
    </row>
    <row r="123" spans="15:15" hidden="1">
      <c r="O123" s="30" t="s">
        <v>25</v>
      </c>
    </row>
    <row r="124" spans="15:15" hidden="1">
      <c r="O124" s="30" t="s">
        <v>25</v>
      </c>
    </row>
    <row r="125" spans="15:15" hidden="1">
      <c r="O125" s="30" t="s">
        <v>25</v>
      </c>
    </row>
    <row r="126" spans="15:15" hidden="1">
      <c r="O126" s="30" t="s">
        <v>25</v>
      </c>
    </row>
    <row r="127" spans="15:15" hidden="1">
      <c r="O127" s="30" t="s">
        <v>25</v>
      </c>
    </row>
    <row r="128" spans="15:15" hidden="1">
      <c r="O128" s="30" t="s">
        <v>25</v>
      </c>
    </row>
    <row r="129" spans="15:15" hidden="1">
      <c r="O129" s="30" t="s">
        <v>25</v>
      </c>
    </row>
    <row r="130" spans="15:15" hidden="1">
      <c r="O130" s="30" t="s">
        <v>25</v>
      </c>
    </row>
    <row r="131" spans="15:15" hidden="1">
      <c r="O131" s="30" t="s">
        <v>25</v>
      </c>
    </row>
    <row r="132" spans="15:15" hidden="1">
      <c r="O132" s="30" t="s">
        <v>25</v>
      </c>
    </row>
    <row r="133" spans="15:15" hidden="1">
      <c r="O133" s="30" t="s">
        <v>25</v>
      </c>
    </row>
    <row r="134" spans="15:15" hidden="1">
      <c r="O134" s="30" t="s">
        <v>25</v>
      </c>
    </row>
    <row r="135" spans="15:15" hidden="1">
      <c r="O135" s="30" t="s">
        <v>25</v>
      </c>
    </row>
    <row r="136" spans="15:15" hidden="1">
      <c r="O136" s="30" t="s">
        <v>25</v>
      </c>
    </row>
    <row r="137" spans="15:15" hidden="1">
      <c r="O137" s="30" t="s">
        <v>25</v>
      </c>
    </row>
    <row r="138" spans="15:15" hidden="1">
      <c r="O138" s="30" t="s">
        <v>25</v>
      </c>
    </row>
    <row r="139" spans="15:15" hidden="1">
      <c r="O139" s="30" t="s">
        <v>25</v>
      </c>
    </row>
    <row r="140" spans="15:15" hidden="1">
      <c r="O140" s="30" t="s">
        <v>25</v>
      </c>
    </row>
    <row r="141" spans="15:15" hidden="1">
      <c r="O141" s="30" t="s">
        <v>25</v>
      </c>
    </row>
    <row r="142" spans="15:15" hidden="1">
      <c r="O142" s="30" t="s">
        <v>25</v>
      </c>
    </row>
    <row r="143" spans="15:15" hidden="1">
      <c r="O143" s="30" t="s">
        <v>25</v>
      </c>
    </row>
    <row r="144" spans="15:15" hidden="1">
      <c r="O144" s="30" t="s">
        <v>25</v>
      </c>
    </row>
    <row r="145" spans="15:15" hidden="1">
      <c r="O145" s="30" t="s">
        <v>25</v>
      </c>
    </row>
    <row r="146" spans="15:15" hidden="1">
      <c r="O146" s="30" t="s">
        <v>25</v>
      </c>
    </row>
    <row r="147" spans="15:15" hidden="1">
      <c r="O147" s="30" t="s">
        <v>25</v>
      </c>
    </row>
    <row r="148" spans="15:15" hidden="1">
      <c r="O148" s="30" t="s">
        <v>25</v>
      </c>
    </row>
    <row r="149" spans="15:15" hidden="1">
      <c r="O149" s="30" t="s">
        <v>25</v>
      </c>
    </row>
    <row r="150" spans="15:15" hidden="1">
      <c r="O150" s="30" t="s">
        <v>25</v>
      </c>
    </row>
    <row r="151" spans="15:15" hidden="1">
      <c r="O151" s="30" t="s">
        <v>25</v>
      </c>
    </row>
    <row r="152" spans="15:15" hidden="1">
      <c r="O152" s="30" t="s">
        <v>25</v>
      </c>
    </row>
    <row r="153" spans="15:15" hidden="1">
      <c r="O153" s="30" t="s">
        <v>25</v>
      </c>
    </row>
    <row r="154" spans="15:15" hidden="1">
      <c r="O154" s="30" t="s">
        <v>25</v>
      </c>
    </row>
    <row r="155" spans="15:15" hidden="1">
      <c r="O155" s="30" t="s">
        <v>25</v>
      </c>
    </row>
    <row r="156" spans="15:15" hidden="1">
      <c r="O156" s="30" t="s">
        <v>25</v>
      </c>
    </row>
    <row r="157" spans="15:15" hidden="1">
      <c r="O157" s="30" t="s">
        <v>25</v>
      </c>
    </row>
    <row r="158" spans="15:15" hidden="1">
      <c r="O158" s="30" t="s">
        <v>25</v>
      </c>
    </row>
    <row r="159" spans="15:15" hidden="1">
      <c r="O159" s="30" t="s">
        <v>25</v>
      </c>
    </row>
    <row r="160" spans="15:15" hidden="1">
      <c r="O160" s="30" t="s">
        <v>25</v>
      </c>
    </row>
    <row r="161" spans="15:15" hidden="1">
      <c r="O161" s="30" t="s">
        <v>25</v>
      </c>
    </row>
    <row r="162" spans="15:15" hidden="1">
      <c r="O162" s="30" t="s">
        <v>25</v>
      </c>
    </row>
    <row r="163" spans="15:15" hidden="1">
      <c r="O163" s="30" t="s">
        <v>25</v>
      </c>
    </row>
    <row r="164" spans="15:15" hidden="1">
      <c r="O164" s="30" t="s">
        <v>25</v>
      </c>
    </row>
    <row r="165" spans="15:15" hidden="1">
      <c r="O165" s="30" t="s">
        <v>25</v>
      </c>
    </row>
    <row r="166" spans="15:15" hidden="1">
      <c r="O166" s="30" t="s">
        <v>25</v>
      </c>
    </row>
    <row r="167" spans="15:15" hidden="1">
      <c r="O167" s="30" t="s">
        <v>25</v>
      </c>
    </row>
    <row r="168" spans="15:15" hidden="1">
      <c r="O168" s="30" t="s">
        <v>25</v>
      </c>
    </row>
    <row r="169" spans="15:15" hidden="1">
      <c r="O169" s="30" t="s">
        <v>25</v>
      </c>
    </row>
    <row r="170" spans="15:15" hidden="1">
      <c r="O170" s="30" t="s">
        <v>25</v>
      </c>
    </row>
    <row r="171" spans="15:15" hidden="1">
      <c r="O171" s="30" t="s">
        <v>25</v>
      </c>
    </row>
    <row r="172" spans="15:15" hidden="1">
      <c r="O172" s="30" t="s">
        <v>25</v>
      </c>
    </row>
    <row r="173" spans="15:15" hidden="1">
      <c r="O173" s="30" t="s">
        <v>25</v>
      </c>
    </row>
    <row r="174" spans="15:15" hidden="1">
      <c r="O174" s="30" t="s">
        <v>25</v>
      </c>
    </row>
    <row r="175" spans="15:15" hidden="1">
      <c r="O175" s="30" t="s">
        <v>25</v>
      </c>
    </row>
    <row r="176" spans="15:15" hidden="1">
      <c r="O176" s="30" t="s">
        <v>25</v>
      </c>
    </row>
    <row r="177" spans="15:15" hidden="1">
      <c r="O177" s="30" t="s">
        <v>25</v>
      </c>
    </row>
    <row r="178" spans="15:15" hidden="1">
      <c r="O178" s="30" t="s">
        <v>25</v>
      </c>
    </row>
    <row r="179" spans="15:15" hidden="1">
      <c r="O179" s="30" t="s">
        <v>25</v>
      </c>
    </row>
    <row r="180" spans="15:15" hidden="1">
      <c r="O180" s="30" t="s">
        <v>25</v>
      </c>
    </row>
    <row r="181" spans="15:15" hidden="1">
      <c r="O181" s="30" t="s">
        <v>25</v>
      </c>
    </row>
    <row r="182" spans="15:15" hidden="1">
      <c r="O182" s="30" t="s">
        <v>25</v>
      </c>
    </row>
    <row r="183" spans="15:15" hidden="1">
      <c r="O183" s="30" t="s">
        <v>25</v>
      </c>
    </row>
    <row r="184" spans="15:15" hidden="1">
      <c r="O184" s="30" t="s">
        <v>25</v>
      </c>
    </row>
    <row r="185" spans="15:15" hidden="1">
      <c r="O185" s="30" t="s">
        <v>25</v>
      </c>
    </row>
    <row r="186" spans="15:15" hidden="1">
      <c r="O186" s="30" t="s">
        <v>25</v>
      </c>
    </row>
    <row r="187" spans="15:15" hidden="1">
      <c r="O187" s="30" t="s">
        <v>25</v>
      </c>
    </row>
    <row r="188" spans="15:15" hidden="1">
      <c r="O188" s="30" t="s">
        <v>25</v>
      </c>
    </row>
    <row r="189" spans="15:15" hidden="1">
      <c r="O189" s="30" t="s">
        <v>25</v>
      </c>
    </row>
    <row r="190" spans="15:15" hidden="1">
      <c r="O190" s="30" t="s">
        <v>25</v>
      </c>
    </row>
    <row r="191" spans="15:15" hidden="1">
      <c r="O191" s="30" t="s">
        <v>25</v>
      </c>
    </row>
    <row r="192" spans="15:15" hidden="1">
      <c r="O192" s="30" t="s">
        <v>25</v>
      </c>
    </row>
    <row r="193" spans="15:15" hidden="1">
      <c r="O193" s="30" t="s">
        <v>25</v>
      </c>
    </row>
    <row r="194" spans="15:15" hidden="1">
      <c r="O194" s="30" t="s">
        <v>25</v>
      </c>
    </row>
    <row r="195" spans="15:15" hidden="1">
      <c r="O195" s="30" t="s">
        <v>25</v>
      </c>
    </row>
    <row r="196" spans="15:15" hidden="1">
      <c r="O196" s="30" t="s">
        <v>25</v>
      </c>
    </row>
    <row r="197" spans="15:15" hidden="1">
      <c r="O197" s="30" t="s">
        <v>25</v>
      </c>
    </row>
    <row r="198" spans="15:15" hidden="1">
      <c r="O198" s="30" t="s">
        <v>25</v>
      </c>
    </row>
    <row r="199" spans="15:15" hidden="1">
      <c r="O199" s="30" t="s">
        <v>25</v>
      </c>
    </row>
    <row r="200" spans="15:15" hidden="1">
      <c r="O200" s="30" t="s">
        <v>25</v>
      </c>
    </row>
    <row r="201" spans="15:15" hidden="1">
      <c r="O201" s="30" t="s">
        <v>25</v>
      </c>
    </row>
    <row r="202" spans="15:15" hidden="1">
      <c r="O202" s="30" t="s">
        <v>25</v>
      </c>
    </row>
    <row r="203" spans="15:15" hidden="1">
      <c r="O203" s="30" t="s">
        <v>25</v>
      </c>
    </row>
    <row r="204" spans="15:15" hidden="1">
      <c r="O204" s="30" t="s">
        <v>25</v>
      </c>
    </row>
    <row r="205" spans="15:15" hidden="1">
      <c r="O205" s="30" t="s">
        <v>25</v>
      </c>
    </row>
    <row r="206" spans="15:15" hidden="1">
      <c r="O206" s="30" t="s">
        <v>25</v>
      </c>
    </row>
    <row r="207" spans="15:15" hidden="1">
      <c r="O207" s="30" t="s">
        <v>25</v>
      </c>
    </row>
    <row r="208" spans="15:15" hidden="1">
      <c r="O208" s="30" t="s">
        <v>25</v>
      </c>
    </row>
    <row r="209" spans="15:15" hidden="1">
      <c r="O209" s="30" t="s">
        <v>25</v>
      </c>
    </row>
    <row r="210" spans="15:15" hidden="1">
      <c r="O210" s="30" t="s">
        <v>25</v>
      </c>
    </row>
    <row r="211" spans="15:15" hidden="1">
      <c r="O211" s="30" t="s">
        <v>25</v>
      </c>
    </row>
    <row r="212" spans="15:15" hidden="1">
      <c r="O212" s="30" t="s">
        <v>25</v>
      </c>
    </row>
    <row r="213" spans="15:15" hidden="1">
      <c r="O213" s="30" t="s">
        <v>25</v>
      </c>
    </row>
    <row r="214" spans="15:15" hidden="1">
      <c r="O214" s="30" t="s">
        <v>25</v>
      </c>
    </row>
    <row r="215" spans="15:15" hidden="1">
      <c r="O215" s="30" t="s">
        <v>25</v>
      </c>
    </row>
    <row r="216" spans="15:15" hidden="1">
      <c r="O216" s="30" t="s">
        <v>25</v>
      </c>
    </row>
    <row r="217" spans="15:15" hidden="1">
      <c r="O217" s="30" t="s">
        <v>25</v>
      </c>
    </row>
    <row r="218" spans="15:15" hidden="1">
      <c r="O218" s="30" t="s">
        <v>25</v>
      </c>
    </row>
    <row r="219" spans="15:15" hidden="1">
      <c r="O219" s="30" t="s">
        <v>25</v>
      </c>
    </row>
    <row r="220" spans="15:15" hidden="1">
      <c r="O220" s="30" t="s">
        <v>25</v>
      </c>
    </row>
    <row r="221" spans="15:15" hidden="1">
      <c r="O221" s="30" t="s">
        <v>25</v>
      </c>
    </row>
    <row r="222" spans="15:15" hidden="1">
      <c r="O222" s="30" t="s">
        <v>25</v>
      </c>
    </row>
    <row r="223" spans="15:15" hidden="1">
      <c r="O223" s="30" t="s">
        <v>25</v>
      </c>
    </row>
    <row r="224" spans="15:15" hidden="1">
      <c r="O224" s="30" t="s">
        <v>25</v>
      </c>
    </row>
    <row r="225" spans="15:15" hidden="1">
      <c r="O225" s="30" t="s">
        <v>25</v>
      </c>
    </row>
    <row r="226" spans="15:15" hidden="1">
      <c r="O226" s="30" t="s">
        <v>25</v>
      </c>
    </row>
    <row r="227" spans="15:15" hidden="1">
      <c r="O227" s="30" t="s">
        <v>25</v>
      </c>
    </row>
    <row r="228" spans="15:15" hidden="1">
      <c r="O228" s="30" t="s">
        <v>25</v>
      </c>
    </row>
    <row r="229" spans="15:15" hidden="1">
      <c r="O229" s="30" t="s">
        <v>25</v>
      </c>
    </row>
    <row r="230" spans="15:15" hidden="1">
      <c r="O230" s="30" t="s">
        <v>25</v>
      </c>
    </row>
    <row r="231" spans="15:15" hidden="1">
      <c r="O231" s="30" t="s">
        <v>25</v>
      </c>
    </row>
    <row r="232" spans="15:15" hidden="1">
      <c r="O232" s="30" t="s">
        <v>25</v>
      </c>
    </row>
    <row r="233" spans="15:15" hidden="1">
      <c r="O233" s="30" t="s">
        <v>25</v>
      </c>
    </row>
    <row r="234" spans="15:15" hidden="1">
      <c r="O234" s="30" t="s">
        <v>25</v>
      </c>
    </row>
    <row r="235" spans="15:15" hidden="1">
      <c r="O235" s="30" t="s">
        <v>25</v>
      </c>
    </row>
    <row r="236" spans="15:15" hidden="1">
      <c r="O236" s="30" t="s">
        <v>25</v>
      </c>
    </row>
    <row r="237" spans="15:15" hidden="1">
      <c r="O237" s="30" t="s">
        <v>25</v>
      </c>
    </row>
    <row r="238" spans="15:15" hidden="1">
      <c r="O238" s="30" t="s">
        <v>25</v>
      </c>
    </row>
    <row r="239" spans="15:15" hidden="1">
      <c r="O239" s="30" t="s">
        <v>25</v>
      </c>
    </row>
    <row r="240" spans="15:15" hidden="1">
      <c r="O240" s="30" t="s">
        <v>25</v>
      </c>
    </row>
    <row r="241" spans="15:15" hidden="1">
      <c r="O241" s="30" t="s">
        <v>25</v>
      </c>
    </row>
    <row r="242" spans="15:15" hidden="1">
      <c r="O242" s="30" t="s">
        <v>25</v>
      </c>
    </row>
    <row r="243" spans="15:15" hidden="1">
      <c r="O243" s="30" t="s">
        <v>25</v>
      </c>
    </row>
    <row r="244" spans="15:15" hidden="1">
      <c r="O244" s="30" t="s">
        <v>25</v>
      </c>
    </row>
    <row r="245" spans="15:15" hidden="1">
      <c r="O245" s="30" t="s">
        <v>25</v>
      </c>
    </row>
    <row r="246" spans="15:15" hidden="1">
      <c r="O246" s="30" t="s">
        <v>25</v>
      </c>
    </row>
    <row r="247" spans="15:15" hidden="1">
      <c r="O247" s="30" t="s">
        <v>25</v>
      </c>
    </row>
    <row r="248" spans="15:15" hidden="1">
      <c r="O248" s="30" t="s">
        <v>25</v>
      </c>
    </row>
    <row r="249" spans="15:15" hidden="1">
      <c r="O249" s="30" t="s">
        <v>25</v>
      </c>
    </row>
    <row r="250" spans="15:15" hidden="1">
      <c r="O250" s="30" t="s">
        <v>25</v>
      </c>
    </row>
    <row r="251" spans="15:15" hidden="1">
      <c r="O251" s="30" t="s">
        <v>25</v>
      </c>
    </row>
    <row r="252" spans="15:15" hidden="1">
      <c r="O252" s="30" t="s">
        <v>25</v>
      </c>
    </row>
    <row r="253" spans="15:15" hidden="1">
      <c r="O253" s="30" t="s">
        <v>25</v>
      </c>
    </row>
    <row r="254" spans="15:15" hidden="1">
      <c r="O254" s="30" t="s">
        <v>25</v>
      </c>
    </row>
    <row r="255" spans="15:15" hidden="1">
      <c r="O255" s="30" t="s">
        <v>25</v>
      </c>
    </row>
    <row r="256" spans="15:15" hidden="1">
      <c r="O256" s="30" t="s">
        <v>25</v>
      </c>
    </row>
    <row r="257" spans="15:15" hidden="1">
      <c r="O257" s="30" t="s">
        <v>25</v>
      </c>
    </row>
    <row r="258" spans="15:15" hidden="1">
      <c r="O258" s="30" t="s">
        <v>25</v>
      </c>
    </row>
    <row r="259" spans="15:15" hidden="1">
      <c r="O259" s="30" t="s">
        <v>25</v>
      </c>
    </row>
    <row r="260" spans="15:15" hidden="1">
      <c r="O260" s="30" t="s">
        <v>25</v>
      </c>
    </row>
    <row r="261" spans="15:15" hidden="1">
      <c r="O261" s="30" t="s">
        <v>25</v>
      </c>
    </row>
    <row r="262" spans="15:15" hidden="1">
      <c r="O262" s="30" t="s">
        <v>25</v>
      </c>
    </row>
    <row r="263" spans="15:15" hidden="1">
      <c r="O263" s="30" t="s">
        <v>25</v>
      </c>
    </row>
    <row r="264" spans="15:15" hidden="1">
      <c r="O264" s="30" t="s">
        <v>25</v>
      </c>
    </row>
    <row r="265" spans="15:15" hidden="1">
      <c r="O265" s="30" t="s">
        <v>25</v>
      </c>
    </row>
    <row r="266" spans="15:15" hidden="1">
      <c r="O266" s="30" t="s">
        <v>25</v>
      </c>
    </row>
    <row r="267" spans="15:15" hidden="1">
      <c r="O267" s="30" t="s">
        <v>25</v>
      </c>
    </row>
    <row r="268" spans="15:15" hidden="1">
      <c r="O268" s="30" t="s">
        <v>25</v>
      </c>
    </row>
    <row r="269" spans="15:15" hidden="1">
      <c r="O269" s="30" t="s">
        <v>25</v>
      </c>
    </row>
    <row r="270" spans="15:15" hidden="1">
      <c r="O270" s="30" t="s">
        <v>25</v>
      </c>
    </row>
    <row r="271" spans="15:15" hidden="1">
      <c r="O271" s="30" t="s">
        <v>25</v>
      </c>
    </row>
    <row r="272" spans="15:15" hidden="1">
      <c r="O272" s="30" t="s">
        <v>25</v>
      </c>
    </row>
    <row r="273" spans="15:15" hidden="1">
      <c r="O273" s="30" t="s">
        <v>25</v>
      </c>
    </row>
    <row r="274" spans="15:15" hidden="1">
      <c r="O274" s="30" t="s">
        <v>25</v>
      </c>
    </row>
    <row r="275" spans="15:15" hidden="1">
      <c r="O275" s="30" t="s">
        <v>25</v>
      </c>
    </row>
    <row r="276" spans="15:15" hidden="1">
      <c r="O276" s="30" t="s">
        <v>25</v>
      </c>
    </row>
    <row r="277" spans="15:15" hidden="1">
      <c r="O277" s="30" t="s">
        <v>25</v>
      </c>
    </row>
    <row r="278" spans="15:15" hidden="1">
      <c r="O278" s="30" t="s">
        <v>25</v>
      </c>
    </row>
    <row r="279" spans="15:15" hidden="1">
      <c r="O279" s="30" t="s">
        <v>25</v>
      </c>
    </row>
    <row r="280" spans="15:15" hidden="1">
      <c r="O280" s="30" t="s">
        <v>25</v>
      </c>
    </row>
    <row r="281" spans="15:15" hidden="1">
      <c r="O281" s="30" t="s">
        <v>25</v>
      </c>
    </row>
    <row r="282" spans="15:15" hidden="1">
      <c r="O282" s="30" t="s">
        <v>25</v>
      </c>
    </row>
    <row r="283" spans="15:15" hidden="1">
      <c r="O283" s="30" t="s">
        <v>25</v>
      </c>
    </row>
    <row r="284" spans="15:15" hidden="1">
      <c r="O284" s="30" t="s">
        <v>25</v>
      </c>
    </row>
    <row r="285" spans="15:15" hidden="1">
      <c r="O285" s="30" t="s">
        <v>25</v>
      </c>
    </row>
    <row r="286" spans="15:15" hidden="1">
      <c r="O286" s="30" t="s">
        <v>25</v>
      </c>
    </row>
    <row r="287" spans="15:15" hidden="1">
      <c r="O287" s="30" t="s">
        <v>25</v>
      </c>
    </row>
    <row r="288" spans="15:15" hidden="1">
      <c r="O288" s="30" t="s">
        <v>25</v>
      </c>
    </row>
    <row r="289" spans="15:15" hidden="1">
      <c r="O289" s="30" t="s">
        <v>25</v>
      </c>
    </row>
    <row r="290" spans="15:15" hidden="1">
      <c r="O290" s="30" t="s">
        <v>25</v>
      </c>
    </row>
    <row r="291" spans="15:15" hidden="1">
      <c r="O291" s="30" t="s">
        <v>25</v>
      </c>
    </row>
    <row r="292" spans="15:15" hidden="1">
      <c r="O292" s="30" t="s">
        <v>25</v>
      </c>
    </row>
    <row r="293" spans="15:15" hidden="1">
      <c r="O293" s="30" t="s">
        <v>25</v>
      </c>
    </row>
    <row r="294" spans="15:15" hidden="1">
      <c r="O294" s="30" t="s">
        <v>25</v>
      </c>
    </row>
    <row r="295" spans="15:15" hidden="1">
      <c r="O295" s="30" t="s">
        <v>25</v>
      </c>
    </row>
    <row r="296" spans="15:15" hidden="1">
      <c r="O296" s="30" t="s">
        <v>25</v>
      </c>
    </row>
    <row r="297" spans="15:15" hidden="1">
      <c r="O297" s="30" t="s">
        <v>25</v>
      </c>
    </row>
    <row r="298" spans="15:15" hidden="1">
      <c r="O298" s="30" t="s">
        <v>25</v>
      </c>
    </row>
    <row r="299" spans="15:15" hidden="1">
      <c r="O299" s="30" t="s">
        <v>25</v>
      </c>
    </row>
    <row r="300" spans="15:15" hidden="1">
      <c r="O300" s="30" t="s">
        <v>25</v>
      </c>
    </row>
    <row r="301" spans="15:15" hidden="1">
      <c r="O301" s="30" t="s">
        <v>25</v>
      </c>
    </row>
    <row r="302" spans="15:15" hidden="1">
      <c r="O302" s="30" t="s">
        <v>25</v>
      </c>
    </row>
    <row r="303" spans="15:15" hidden="1">
      <c r="O303" s="30" t="s">
        <v>25</v>
      </c>
    </row>
    <row r="304" spans="15:15" hidden="1">
      <c r="O304" s="30" t="s">
        <v>25</v>
      </c>
    </row>
    <row r="305" spans="15:15" hidden="1">
      <c r="O305" s="30" t="s">
        <v>25</v>
      </c>
    </row>
    <row r="306" spans="15:15" hidden="1">
      <c r="O306" s="30" t="s">
        <v>25</v>
      </c>
    </row>
    <row r="307" spans="15:15" hidden="1">
      <c r="O307" s="30" t="s">
        <v>25</v>
      </c>
    </row>
    <row r="308" spans="15:15" hidden="1">
      <c r="O308" s="30" t="s">
        <v>25</v>
      </c>
    </row>
    <row r="309" spans="15:15" hidden="1">
      <c r="O309" s="30" t="s">
        <v>25</v>
      </c>
    </row>
    <row r="310" spans="15:15" hidden="1">
      <c r="O310" s="30" t="s">
        <v>25</v>
      </c>
    </row>
    <row r="311" spans="15:15" hidden="1">
      <c r="O311" s="30" t="s">
        <v>25</v>
      </c>
    </row>
    <row r="312" spans="15:15" hidden="1">
      <c r="O312" s="30" t="s">
        <v>25</v>
      </c>
    </row>
    <row r="313" spans="15:15" hidden="1">
      <c r="O313" s="30" t="s">
        <v>25</v>
      </c>
    </row>
    <row r="314" spans="15:15" hidden="1">
      <c r="O314" s="30" t="s">
        <v>25</v>
      </c>
    </row>
    <row r="315" spans="15:15" hidden="1">
      <c r="O315" s="30" t="s">
        <v>25</v>
      </c>
    </row>
    <row r="316" spans="15:15" hidden="1">
      <c r="O316" s="30" t="s">
        <v>25</v>
      </c>
    </row>
    <row r="317" spans="15:15" hidden="1">
      <c r="O317" s="30" t="s">
        <v>25</v>
      </c>
    </row>
    <row r="318" spans="15:15" hidden="1">
      <c r="O318" s="30" t="s">
        <v>25</v>
      </c>
    </row>
    <row r="319" spans="15:15" hidden="1">
      <c r="O319" s="30" t="s">
        <v>25</v>
      </c>
    </row>
    <row r="320" spans="15:15" hidden="1">
      <c r="O320" s="30" t="s">
        <v>25</v>
      </c>
    </row>
    <row r="321" spans="15:15" hidden="1">
      <c r="O321" s="30" t="s">
        <v>25</v>
      </c>
    </row>
    <row r="322" spans="15:15" hidden="1">
      <c r="O322" s="30" t="s">
        <v>25</v>
      </c>
    </row>
    <row r="323" spans="15:15" hidden="1">
      <c r="O323" s="30" t="s">
        <v>25</v>
      </c>
    </row>
    <row r="324" spans="15:15" hidden="1">
      <c r="O324" s="30" t="s">
        <v>25</v>
      </c>
    </row>
    <row r="325" spans="15:15" hidden="1">
      <c r="O325" s="30" t="s">
        <v>25</v>
      </c>
    </row>
    <row r="326" spans="15:15" hidden="1">
      <c r="O326" s="30" t="s">
        <v>25</v>
      </c>
    </row>
    <row r="327" spans="15:15" hidden="1">
      <c r="O327" s="30" t="s">
        <v>25</v>
      </c>
    </row>
    <row r="328" spans="15:15" hidden="1">
      <c r="O328" s="30" t="s">
        <v>25</v>
      </c>
    </row>
    <row r="329" spans="15:15" hidden="1">
      <c r="O329" s="30" t="s">
        <v>25</v>
      </c>
    </row>
    <row r="330" spans="15:15" hidden="1">
      <c r="O330" s="30" t="s">
        <v>25</v>
      </c>
    </row>
    <row r="331" spans="15:15" hidden="1">
      <c r="O331" s="30" t="s">
        <v>25</v>
      </c>
    </row>
    <row r="332" spans="15:15" hidden="1">
      <c r="O332" s="30" t="s">
        <v>25</v>
      </c>
    </row>
    <row r="333" spans="15:15" hidden="1">
      <c r="O333" s="30" t="s">
        <v>25</v>
      </c>
    </row>
    <row r="334" spans="15:15" hidden="1">
      <c r="O334" s="30" t="s">
        <v>25</v>
      </c>
    </row>
    <row r="335" spans="15:15" hidden="1">
      <c r="O335" s="30" t="s">
        <v>25</v>
      </c>
    </row>
    <row r="336" spans="15:15" hidden="1">
      <c r="O336" s="30" t="s">
        <v>25</v>
      </c>
    </row>
    <row r="337" spans="15:15" hidden="1">
      <c r="O337" s="30" t="s">
        <v>25</v>
      </c>
    </row>
    <row r="338" spans="15:15" hidden="1">
      <c r="O338" s="30" t="s">
        <v>25</v>
      </c>
    </row>
    <row r="339" spans="15:15" hidden="1">
      <c r="O339" s="30" t="s">
        <v>25</v>
      </c>
    </row>
    <row r="340" spans="15:15" hidden="1">
      <c r="O340" s="30" t="s">
        <v>25</v>
      </c>
    </row>
    <row r="341" spans="15:15" hidden="1">
      <c r="O341" s="30" t="s">
        <v>25</v>
      </c>
    </row>
    <row r="342" spans="15:15" hidden="1">
      <c r="O342" s="30" t="s">
        <v>25</v>
      </c>
    </row>
    <row r="343" spans="15:15" hidden="1">
      <c r="O343" s="30" t="s">
        <v>25</v>
      </c>
    </row>
    <row r="344" spans="15:15" hidden="1">
      <c r="O344" s="30" t="s">
        <v>25</v>
      </c>
    </row>
    <row r="345" spans="15:15" hidden="1">
      <c r="O345" s="30" t="s">
        <v>25</v>
      </c>
    </row>
    <row r="346" spans="15:15" hidden="1">
      <c r="O346" s="30" t="s">
        <v>25</v>
      </c>
    </row>
    <row r="347" spans="15:15" hidden="1">
      <c r="O347" s="30" t="s">
        <v>25</v>
      </c>
    </row>
    <row r="348" spans="15:15" hidden="1">
      <c r="O348" s="30" t="s">
        <v>25</v>
      </c>
    </row>
    <row r="349" spans="15:15" hidden="1">
      <c r="O349" s="30" t="s">
        <v>25</v>
      </c>
    </row>
    <row r="350" spans="15:15" hidden="1">
      <c r="O350" s="30" t="s">
        <v>25</v>
      </c>
    </row>
    <row r="351" spans="15:15" hidden="1">
      <c r="O351" s="30" t="s">
        <v>25</v>
      </c>
    </row>
    <row r="352" spans="15:15" hidden="1">
      <c r="O352" s="30" t="s">
        <v>25</v>
      </c>
    </row>
    <row r="353" spans="15:15" hidden="1">
      <c r="O353" s="30" t="s">
        <v>25</v>
      </c>
    </row>
    <row r="354" spans="15:15" hidden="1">
      <c r="O354" s="30" t="s">
        <v>25</v>
      </c>
    </row>
    <row r="355" spans="15:15" hidden="1">
      <c r="O355" s="30" t="s">
        <v>25</v>
      </c>
    </row>
    <row r="356" spans="15:15" hidden="1">
      <c r="O356" s="30" t="s">
        <v>25</v>
      </c>
    </row>
    <row r="357" spans="15:15" hidden="1">
      <c r="O357" s="30" t="s">
        <v>25</v>
      </c>
    </row>
    <row r="358" spans="15:15" hidden="1">
      <c r="O358" s="30" t="s">
        <v>25</v>
      </c>
    </row>
    <row r="359" spans="15:15" hidden="1">
      <c r="O359" s="30" t="s">
        <v>25</v>
      </c>
    </row>
    <row r="360" spans="15:15" hidden="1">
      <c r="O360" s="30" t="s">
        <v>25</v>
      </c>
    </row>
    <row r="361" spans="15:15" hidden="1">
      <c r="O361" s="30" t="s">
        <v>25</v>
      </c>
    </row>
    <row r="362" spans="15:15" hidden="1">
      <c r="O362" s="30" t="s">
        <v>25</v>
      </c>
    </row>
    <row r="363" spans="15:15" hidden="1">
      <c r="O363" s="30" t="s">
        <v>25</v>
      </c>
    </row>
    <row r="364" spans="15:15" hidden="1">
      <c r="O364" s="30" t="s">
        <v>25</v>
      </c>
    </row>
    <row r="365" spans="15:15" hidden="1">
      <c r="O365" s="30" t="s">
        <v>25</v>
      </c>
    </row>
    <row r="366" spans="15:15" hidden="1">
      <c r="O366" s="30" t="s">
        <v>25</v>
      </c>
    </row>
    <row r="367" spans="15:15" hidden="1">
      <c r="O367" s="30" t="s">
        <v>25</v>
      </c>
    </row>
    <row r="368" spans="15:15" hidden="1">
      <c r="O368" s="30" t="s">
        <v>25</v>
      </c>
    </row>
    <row r="369" spans="15:15" hidden="1">
      <c r="O369" s="30" t="s">
        <v>25</v>
      </c>
    </row>
    <row r="370" spans="15:15" hidden="1">
      <c r="O370" s="30" t="s">
        <v>25</v>
      </c>
    </row>
    <row r="371" spans="15:15" hidden="1">
      <c r="O371" s="30" t="s">
        <v>25</v>
      </c>
    </row>
    <row r="372" spans="15:15" hidden="1">
      <c r="O372" s="30" t="s">
        <v>25</v>
      </c>
    </row>
    <row r="373" spans="15:15" hidden="1">
      <c r="O373" s="30" t="s">
        <v>25</v>
      </c>
    </row>
    <row r="374" spans="15:15" hidden="1">
      <c r="O374" s="30" t="s">
        <v>25</v>
      </c>
    </row>
    <row r="375" spans="15:15" hidden="1">
      <c r="O375" s="30" t="s">
        <v>25</v>
      </c>
    </row>
    <row r="376" spans="15:15" hidden="1">
      <c r="O376" s="30" t="s">
        <v>25</v>
      </c>
    </row>
    <row r="377" spans="15:15" hidden="1">
      <c r="O377" s="30" t="s">
        <v>25</v>
      </c>
    </row>
    <row r="378" spans="15:15" hidden="1">
      <c r="O378" s="30" t="s">
        <v>25</v>
      </c>
    </row>
    <row r="379" spans="15:15" hidden="1">
      <c r="O379" s="30" t="s">
        <v>25</v>
      </c>
    </row>
    <row r="380" spans="15:15" hidden="1">
      <c r="O380" s="30" t="s">
        <v>25</v>
      </c>
    </row>
    <row r="381" spans="15:15" hidden="1">
      <c r="O381" s="30" t="s">
        <v>25</v>
      </c>
    </row>
    <row r="382" spans="15:15" hidden="1">
      <c r="O382" s="30" t="s">
        <v>25</v>
      </c>
    </row>
    <row r="383" spans="15:15" hidden="1">
      <c r="O383" s="30" t="s">
        <v>25</v>
      </c>
    </row>
    <row r="384" spans="15:15" hidden="1">
      <c r="O384" s="30" t="s">
        <v>25</v>
      </c>
    </row>
    <row r="385" spans="15:15" hidden="1">
      <c r="O385" s="30" t="s">
        <v>25</v>
      </c>
    </row>
    <row r="386" spans="15:15" hidden="1">
      <c r="O386" s="30" t="s">
        <v>25</v>
      </c>
    </row>
    <row r="387" spans="15:15" hidden="1">
      <c r="O387" s="30" t="s">
        <v>25</v>
      </c>
    </row>
    <row r="388" spans="15:15" hidden="1">
      <c r="O388" s="30" t="s">
        <v>25</v>
      </c>
    </row>
    <row r="389" spans="15:15" hidden="1">
      <c r="O389" s="30" t="s">
        <v>25</v>
      </c>
    </row>
    <row r="390" spans="15:15" hidden="1">
      <c r="O390" s="30" t="s">
        <v>25</v>
      </c>
    </row>
    <row r="391" spans="15:15" hidden="1">
      <c r="O391" s="30" t="s">
        <v>25</v>
      </c>
    </row>
    <row r="392" spans="15:15" hidden="1">
      <c r="O392" s="30" t="s">
        <v>25</v>
      </c>
    </row>
    <row r="393" spans="15:15" hidden="1">
      <c r="O393" s="30" t="s">
        <v>25</v>
      </c>
    </row>
    <row r="394" spans="15:15" hidden="1">
      <c r="O394" s="30" t="s">
        <v>25</v>
      </c>
    </row>
    <row r="395" spans="15:15" hidden="1">
      <c r="O395" s="30" t="s">
        <v>25</v>
      </c>
    </row>
    <row r="396" spans="15:15" hidden="1">
      <c r="O396" s="30" t="s">
        <v>25</v>
      </c>
    </row>
    <row r="397" spans="15:15" hidden="1">
      <c r="O397" s="30" t="s">
        <v>25</v>
      </c>
    </row>
    <row r="398" spans="15:15" hidden="1">
      <c r="O398" s="30" t="s">
        <v>25</v>
      </c>
    </row>
    <row r="399" spans="15:15" hidden="1">
      <c r="O399" s="30" t="s">
        <v>25</v>
      </c>
    </row>
    <row r="400" spans="15:15" hidden="1">
      <c r="O400" s="30" t="s">
        <v>25</v>
      </c>
    </row>
    <row r="401" spans="15:15" hidden="1">
      <c r="O401" s="30" t="s">
        <v>25</v>
      </c>
    </row>
    <row r="402" spans="15:15" hidden="1">
      <c r="O402" s="30" t="s">
        <v>25</v>
      </c>
    </row>
    <row r="403" spans="15:15" hidden="1">
      <c r="O403" s="30" t="s">
        <v>25</v>
      </c>
    </row>
    <row r="404" spans="15:15" hidden="1">
      <c r="O404" s="30" t="s">
        <v>25</v>
      </c>
    </row>
    <row r="405" spans="15:15" hidden="1">
      <c r="O405" s="30" t="s">
        <v>25</v>
      </c>
    </row>
    <row r="406" spans="15:15" hidden="1">
      <c r="O406" s="30" t="s">
        <v>25</v>
      </c>
    </row>
    <row r="407" spans="15:15" hidden="1">
      <c r="O407" s="30" t="s">
        <v>25</v>
      </c>
    </row>
    <row r="408" spans="15:15" hidden="1">
      <c r="O408" s="30" t="s">
        <v>25</v>
      </c>
    </row>
    <row r="409" spans="15:15" hidden="1">
      <c r="O409" s="30" t="s">
        <v>25</v>
      </c>
    </row>
    <row r="410" spans="15:15" hidden="1">
      <c r="O410" s="30" t="s">
        <v>25</v>
      </c>
    </row>
    <row r="411" spans="15:15" hidden="1">
      <c r="O411" s="30" t="s">
        <v>25</v>
      </c>
    </row>
    <row r="412" spans="15:15" hidden="1">
      <c r="O412" s="30" t="s">
        <v>25</v>
      </c>
    </row>
    <row r="413" spans="15:15" hidden="1">
      <c r="O413" s="30" t="s">
        <v>25</v>
      </c>
    </row>
    <row r="414" spans="15:15" hidden="1">
      <c r="O414" s="30" t="s">
        <v>25</v>
      </c>
    </row>
    <row r="415" spans="15:15" hidden="1">
      <c r="O415" s="30" t="s">
        <v>25</v>
      </c>
    </row>
    <row r="416" spans="15:15" hidden="1">
      <c r="O416" s="30" t="s">
        <v>25</v>
      </c>
    </row>
    <row r="417" spans="15:15" hidden="1">
      <c r="O417" s="30" t="s">
        <v>25</v>
      </c>
    </row>
    <row r="418" spans="15:15" hidden="1">
      <c r="O418" s="30" t="s">
        <v>25</v>
      </c>
    </row>
    <row r="419" spans="15:15" hidden="1">
      <c r="O419" s="30" t="s">
        <v>25</v>
      </c>
    </row>
    <row r="420" spans="15:15" hidden="1">
      <c r="O420" s="30" t="s">
        <v>25</v>
      </c>
    </row>
    <row r="421" spans="15:15" hidden="1">
      <c r="O421" s="30" t="s">
        <v>25</v>
      </c>
    </row>
    <row r="422" spans="15:15" hidden="1">
      <c r="O422" s="30" t="s">
        <v>25</v>
      </c>
    </row>
    <row r="423" spans="15:15" hidden="1">
      <c r="O423" s="30" t="s">
        <v>25</v>
      </c>
    </row>
    <row r="424" spans="15:15" hidden="1">
      <c r="O424" s="30" t="s">
        <v>25</v>
      </c>
    </row>
    <row r="425" spans="15:15" hidden="1">
      <c r="O425" s="30" t="s">
        <v>25</v>
      </c>
    </row>
    <row r="426" spans="15:15" hidden="1">
      <c r="O426" s="30" t="s">
        <v>25</v>
      </c>
    </row>
    <row r="427" spans="15:15" hidden="1">
      <c r="O427" s="30" t="s">
        <v>25</v>
      </c>
    </row>
    <row r="428" spans="15:15" hidden="1">
      <c r="O428" s="30" t="s">
        <v>25</v>
      </c>
    </row>
    <row r="429" spans="15:15" hidden="1">
      <c r="O429" s="30" t="s">
        <v>25</v>
      </c>
    </row>
    <row r="430" spans="15:15" hidden="1">
      <c r="O430" s="30" t="s">
        <v>25</v>
      </c>
    </row>
    <row r="431" spans="15:15" hidden="1">
      <c r="O431" s="30" t="s">
        <v>25</v>
      </c>
    </row>
    <row r="432" spans="15:15" hidden="1">
      <c r="O432" s="30" t="s">
        <v>25</v>
      </c>
    </row>
    <row r="433" spans="15:15" hidden="1">
      <c r="O433" s="30" t="s">
        <v>25</v>
      </c>
    </row>
    <row r="434" spans="15:15" hidden="1">
      <c r="O434" s="30" t="s">
        <v>25</v>
      </c>
    </row>
    <row r="435" spans="15:15" hidden="1">
      <c r="O435" s="30" t="s">
        <v>25</v>
      </c>
    </row>
    <row r="436" spans="15:15" hidden="1">
      <c r="O436" s="30" t="s">
        <v>25</v>
      </c>
    </row>
    <row r="437" spans="15:15" hidden="1">
      <c r="O437" s="30" t="s">
        <v>25</v>
      </c>
    </row>
    <row r="438" spans="15:15" hidden="1">
      <c r="O438" s="30" t="s">
        <v>25</v>
      </c>
    </row>
    <row r="439" spans="15:15" hidden="1">
      <c r="O439" s="30" t="s">
        <v>25</v>
      </c>
    </row>
    <row r="440" spans="15:15" hidden="1">
      <c r="O440" s="30" t="s">
        <v>25</v>
      </c>
    </row>
    <row r="441" spans="15:15" hidden="1">
      <c r="O441" s="30" t="s">
        <v>25</v>
      </c>
    </row>
    <row r="442" spans="15:15" hidden="1">
      <c r="O442" s="30" t="s">
        <v>25</v>
      </c>
    </row>
    <row r="443" spans="15:15" hidden="1">
      <c r="O443" s="30" t="s">
        <v>25</v>
      </c>
    </row>
    <row r="444" spans="15:15" hidden="1">
      <c r="O444" s="30" t="s">
        <v>25</v>
      </c>
    </row>
    <row r="445" spans="15:15" hidden="1">
      <c r="O445" s="30" t="s">
        <v>25</v>
      </c>
    </row>
    <row r="446" spans="15:15" hidden="1">
      <c r="O446" s="30" t="s">
        <v>25</v>
      </c>
    </row>
    <row r="447" spans="15:15" hidden="1">
      <c r="O447" s="30" t="s">
        <v>25</v>
      </c>
    </row>
    <row r="448" spans="15:15" hidden="1">
      <c r="O448" s="30" t="s">
        <v>25</v>
      </c>
    </row>
    <row r="449" spans="15:15" hidden="1">
      <c r="O449" s="30" t="s">
        <v>25</v>
      </c>
    </row>
    <row r="450" spans="15:15" hidden="1">
      <c r="O450" s="30" t="s">
        <v>25</v>
      </c>
    </row>
    <row r="451" spans="15:15" hidden="1">
      <c r="O451" s="30" t="s">
        <v>25</v>
      </c>
    </row>
    <row r="452" spans="15:15" hidden="1">
      <c r="O452" s="30" t="s">
        <v>25</v>
      </c>
    </row>
    <row r="453" spans="15:15" hidden="1">
      <c r="O453" s="30" t="s">
        <v>25</v>
      </c>
    </row>
    <row r="454" spans="15:15" hidden="1">
      <c r="O454" s="30" t="s">
        <v>25</v>
      </c>
    </row>
    <row r="455" spans="15:15" hidden="1">
      <c r="O455" s="30" t="s">
        <v>25</v>
      </c>
    </row>
    <row r="456" spans="15:15" hidden="1">
      <c r="O456" s="30" t="s">
        <v>25</v>
      </c>
    </row>
    <row r="457" spans="15:15" hidden="1">
      <c r="O457" s="30" t="s">
        <v>25</v>
      </c>
    </row>
    <row r="458" spans="15:15" hidden="1">
      <c r="O458" s="30" t="s">
        <v>25</v>
      </c>
    </row>
    <row r="459" spans="15:15" hidden="1">
      <c r="O459" s="30" t="s">
        <v>25</v>
      </c>
    </row>
    <row r="460" spans="15:15" hidden="1">
      <c r="O460" s="30" t="s">
        <v>25</v>
      </c>
    </row>
    <row r="461" spans="15:15" hidden="1">
      <c r="O461" s="30" t="s">
        <v>25</v>
      </c>
    </row>
    <row r="462" spans="15:15" hidden="1">
      <c r="O462" s="30" t="s">
        <v>25</v>
      </c>
    </row>
    <row r="463" spans="15:15" hidden="1">
      <c r="O463" s="30" t="s">
        <v>25</v>
      </c>
    </row>
    <row r="464" spans="15:15" hidden="1">
      <c r="O464" s="30" t="s">
        <v>25</v>
      </c>
    </row>
    <row r="465" spans="15:15" hidden="1">
      <c r="O465" s="30" t="s">
        <v>25</v>
      </c>
    </row>
    <row r="466" spans="15:15" hidden="1">
      <c r="O466" s="30" t="s">
        <v>25</v>
      </c>
    </row>
    <row r="467" spans="15:15" hidden="1">
      <c r="O467" s="30" t="s">
        <v>25</v>
      </c>
    </row>
    <row r="468" spans="15:15" hidden="1">
      <c r="O468" s="30" t="s">
        <v>25</v>
      </c>
    </row>
    <row r="469" spans="15:15" hidden="1">
      <c r="O469" s="30" t="s">
        <v>25</v>
      </c>
    </row>
    <row r="470" spans="15:15" hidden="1">
      <c r="O470" s="30" t="s">
        <v>25</v>
      </c>
    </row>
    <row r="471" spans="15:15" hidden="1">
      <c r="O471" s="30" t="s">
        <v>25</v>
      </c>
    </row>
    <row r="472" spans="15:15" hidden="1">
      <c r="O472" s="30" t="s">
        <v>25</v>
      </c>
    </row>
    <row r="473" spans="15:15" hidden="1">
      <c r="O473" s="30" t="s">
        <v>25</v>
      </c>
    </row>
    <row r="474" spans="15:15" hidden="1">
      <c r="O474" s="30" t="s">
        <v>25</v>
      </c>
    </row>
    <row r="475" spans="15:15" hidden="1">
      <c r="O475" s="30" t="s">
        <v>25</v>
      </c>
    </row>
    <row r="476" spans="15:15" hidden="1">
      <c r="O476" s="30" t="s">
        <v>25</v>
      </c>
    </row>
    <row r="477" spans="15:15" hidden="1">
      <c r="O477" s="30" t="s">
        <v>25</v>
      </c>
    </row>
    <row r="478" spans="15:15" hidden="1">
      <c r="O478" s="30" t="s">
        <v>25</v>
      </c>
    </row>
    <row r="479" spans="15:15" hidden="1">
      <c r="O479" s="30" t="s">
        <v>25</v>
      </c>
    </row>
    <row r="480" spans="15:15" hidden="1">
      <c r="O480" s="30" t="s">
        <v>25</v>
      </c>
    </row>
    <row r="481" spans="15:15" hidden="1">
      <c r="O481" s="30" t="s">
        <v>25</v>
      </c>
    </row>
    <row r="482" spans="15:15" hidden="1">
      <c r="O482" s="30" t="s">
        <v>25</v>
      </c>
    </row>
    <row r="483" spans="15:15" hidden="1">
      <c r="O483" s="30" t="s">
        <v>25</v>
      </c>
    </row>
    <row r="484" spans="15:15" hidden="1">
      <c r="O484" s="30" t="s">
        <v>25</v>
      </c>
    </row>
    <row r="485" spans="15:15" hidden="1">
      <c r="O485" s="30" t="s">
        <v>25</v>
      </c>
    </row>
    <row r="486" spans="15:15" hidden="1">
      <c r="O486" s="30" t="s">
        <v>25</v>
      </c>
    </row>
    <row r="487" spans="15:15" hidden="1">
      <c r="O487" s="30" t="s">
        <v>25</v>
      </c>
    </row>
    <row r="488" spans="15:15" hidden="1">
      <c r="O488" s="30" t="s">
        <v>25</v>
      </c>
    </row>
    <row r="489" spans="15:15" hidden="1">
      <c r="O489" s="30" t="s">
        <v>25</v>
      </c>
    </row>
    <row r="490" spans="15:15" hidden="1">
      <c r="O490" s="30" t="s">
        <v>25</v>
      </c>
    </row>
    <row r="491" spans="15:15" hidden="1">
      <c r="O491" s="30" t="s">
        <v>25</v>
      </c>
    </row>
    <row r="492" spans="15:15" hidden="1">
      <c r="O492" s="30" t="s">
        <v>25</v>
      </c>
    </row>
    <row r="493" spans="15:15" hidden="1">
      <c r="O493" s="30" t="s">
        <v>25</v>
      </c>
    </row>
    <row r="494" spans="15:15" hidden="1">
      <c r="O494" s="30" t="s">
        <v>25</v>
      </c>
    </row>
    <row r="495" spans="15:15" hidden="1">
      <c r="O495" s="30" t="s">
        <v>25</v>
      </c>
    </row>
    <row r="496" spans="15:15" hidden="1">
      <c r="O496" s="30" t="s">
        <v>25</v>
      </c>
    </row>
    <row r="497" spans="15:15" hidden="1">
      <c r="O497" s="30" t="s">
        <v>25</v>
      </c>
    </row>
    <row r="498" spans="15:15" hidden="1">
      <c r="O498" s="30" t="s">
        <v>25</v>
      </c>
    </row>
    <row r="499" spans="15:15" hidden="1">
      <c r="O499" s="30" t="s">
        <v>25</v>
      </c>
    </row>
    <row r="500" spans="15:15" hidden="1">
      <c r="O500" s="30" t="s">
        <v>25</v>
      </c>
    </row>
    <row r="501" spans="15:15" hidden="1">
      <c r="O501" s="30" t="s">
        <v>25</v>
      </c>
    </row>
    <row r="502" spans="15:15" hidden="1">
      <c r="O502" s="30" t="s">
        <v>25</v>
      </c>
    </row>
    <row r="503" spans="15:15" hidden="1">
      <c r="O503" s="30" t="s">
        <v>25</v>
      </c>
    </row>
    <row r="504" spans="15:15" hidden="1">
      <c r="O504" s="30" t="s">
        <v>25</v>
      </c>
    </row>
    <row r="505" spans="15:15" hidden="1">
      <c r="O505" s="30" t="s">
        <v>25</v>
      </c>
    </row>
    <row r="506" spans="15:15" hidden="1">
      <c r="O506" s="30" t="s">
        <v>25</v>
      </c>
    </row>
    <row r="507" spans="15:15" hidden="1">
      <c r="O507" s="30" t="s">
        <v>25</v>
      </c>
    </row>
    <row r="508" spans="15:15" hidden="1">
      <c r="O508" s="30" t="s">
        <v>25</v>
      </c>
    </row>
    <row r="509" spans="15:15" hidden="1">
      <c r="O509" s="30" t="s">
        <v>25</v>
      </c>
    </row>
    <row r="510" spans="15:15" hidden="1">
      <c r="O510" s="30" t="s">
        <v>25</v>
      </c>
    </row>
    <row r="511" spans="15:15" hidden="1">
      <c r="O511" s="30" t="s">
        <v>25</v>
      </c>
    </row>
    <row r="512" spans="15:15" hidden="1">
      <c r="O512" s="30" t="s">
        <v>25</v>
      </c>
    </row>
    <row r="513" spans="15:15" hidden="1">
      <c r="O513" s="30" t="s">
        <v>25</v>
      </c>
    </row>
    <row r="514" spans="15:15" hidden="1">
      <c r="O514" s="30" t="s">
        <v>25</v>
      </c>
    </row>
    <row r="515" spans="15:15" hidden="1">
      <c r="O515" s="30" t="s">
        <v>25</v>
      </c>
    </row>
    <row r="516" spans="15:15" hidden="1">
      <c r="O516" s="30" t="s">
        <v>25</v>
      </c>
    </row>
    <row r="517" spans="15:15" hidden="1">
      <c r="O517" s="30" t="s">
        <v>25</v>
      </c>
    </row>
    <row r="518" spans="15:15" hidden="1">
      <c r="O518" s="30" t="s">
        <v>25</v>
      </c>
    </row>
    <row r="519" spans="15:15" hidden="1">
      <c r="O519" s="30" t="s">
        <v>25</v>
      </c>
    </row>
    <row r="520" spans="15:15" hidden="1">
      <c r="O520" s="30" t="s">
        <v>25</v>
      </c>
    </row>
    <row r="521" spans="15:15" hidden="1">
      <c r="O521" s="30" t="s">
        <v>25</v>
      </c>
    </row>
    <row r="522" spans="15:15" hidden="1">
      <c r="O522" s="30" t="s">
        <v>25</v>
      </c>
    </row>
    <row r="523" spans="15:15" hidden="1">
      <c r="O523" s="30" t="s">
        <v>25</v>
      </c>
    </row>
    <row r="524" spans="15:15" hidden="1">
      <c r="O524" s="30" t="s">
        <v>25</v>
      </c>
    </row>
    <row r="525" spans="15:15" hidden="1">
      <c r="O525" s="30" t="s">
        <v>25</v>
      </c>
    </row>
    <row r="526" spans="15:15" hidden="1">
      <c r="O526" s="30" t="s">
        <v>25</v>
      </c>
    </row>
    <row r="527" spans="15:15" hidden="1">
      <c r="O527" s="30" t="s">
        <v>25</v>
      </c>
    </row>
    <row r="528" spans="15:15" hidden="1">
      <c r="O528" s="30" t="s">
        <v>25</v>
      </c>
    </row>
    <row r="529" spans="15:15" hidden="1">
      <c r="O529" s="30" t="s">
        <v>25</v>
      </c>
    </row>
    <row r="530" spans="15:15" hidden="1">
      <c r="O530" s="30" t="s">
        <v>25</v>
      </c>
    </row>
    <row r="531" spans="15:15" hidden="1">
      <c r="O531" s="30" t="s">
        <v>25</v>
      </c>
    </row>
    <row r="532" spans="15:15" hidden="1">
      <c r="O532" s="30" t="s">
        <v>25</v>
      </c>
    </row>
    <row r="533" spans="15:15" hidden="1">
      <c r="O533" s="30" t="s">
        <v>25</v>
      </c>
    </row>
    <row r="534" spans="15:15" hidden="1">
      <c r="O534" s="30" t="s">
        <v>25</v>
      </c>
    </row>
    <row r="535" spans="15:15" hidden="1">
      <c r="O535" s="30" t="s">
        <v>25</v>
      </c>
    </row>
    <row r="536" spans="15:15" hidden="1">
      <c r="O536" s="30" t="s">
        <v>25</v>
      </c>
    </row>
    <row r="537" spans="15:15" hidden="1">
      <c r="O537" s="30" t="s">
        <v>25</v>
      </c>
    </row>
    <row r="538" spans="15:15" hidden="1">
      <c r="O538" s="30" t="s">
        <v>25</v>
      </c>
    </row>
    <row r="539" spans="15:15" hidden="1">
      <c r="O539" s="30" t="s">
        <v>25</v>
      </c>
    </row>
    <row r="540" spans="15:15" hidden="1">
      <c r="O540" s="30" t="s">
        <v>25</v>
      </c>
    </row>
    <row r="541" spans="15:15" hidden="1">
      <c r="O541" s="30" t="s">
        <v>25</v>
      </c>
    </row>
    <row r="542" spans="15:15" hidden="1">
      <c r="O542" s="30" t="s">
        <v>25</v>
      </c>
    </row>
    <row r="543" spans="15:15" hidden="1">
      <c r="O543" s="30" t="s">
        <v>25</v>
      </c>
    </row>
    <row r="544" spans="15:15" hidden="1">
      <c r="O544" s="30" t="s">
        <v>25</v>
      </c>
    </row>
    <row r="545" spans="15:15" hidden="1">
      <c r="O545" s="30" t="s">
        <v>25</v>
      </c>
    </row>
    <row r="546" spans="15:15" hidden="1">
      <c r="O546" s="30" t="s">
        <v>25</v>
      </c>
    </row>
    <row r="547" spans="15:15" hidden="1">
      <c r="O547" s="30" t="s">
        <v>25</v>
      </c>
    </row>
    <row r="548" spans="15:15" hidden="1">
      <c r="O548" s="30" t="s">
        <v>25</v>
      </c>
    </row>
    <row r="549" spans="15:15" hidden="1">
      <c r="O549" s="30" t="s">
        <v>25</v>
      </c>
    </row>
    <row r="550" spans="15:15" hidden="1">
      <c r="O550" s="30" t="s">
        <v>25</v>
      </c>
    </row>
    <row r="551" spans="15:15" hidden="1">
      <c r="O551" s="30" t="s">
        <v>25</v>
      </c>
    </row>
    <row r="552" spans="15:15" hidden="1">
      <c r="O552" s="30" t="s">
        <v>25</v>
      </c>
    </row>
    <row r="553" spans="15:15" hidden="1">
      <c r="O553" s="30" t="s">
        <v>25</v>
      </c>
    </row>
    <row r="554" spans="15:15" hidden="1">
      <c r="O554" s="30" t="s">
        <v>25</v>
      </c>
    </row>
    <row r="555" spans="15:15" hidden="1">
      <c r="O555" s="30" t="s">
        <v>25</v>
      </c>
    </row>
    <row r="556" spans="15:15" hidden="1">
      <c r="O556" s="30" t="s">
        <v>25</v>
      </c>
    </row>
    <row r="557" spans="15:15" hidden="1">
      <c r="O557" s="30" t="s">
        <v>25</v>
      </c>
    </row>
    <row r="558" spans="15:15" hidden="1">
      <c r="O558" s="30" t="s">
        <v>25</v>
      </c>
    </row>
    <row r="559" spans="15:15" hidden="1">
      <c r="O559" s="30" t="s">
        <v>25</v>
      </c>
    </row>
    <row r="560" spans="15:15" hidden="1">
      <c r="O560" s="30" t="s">
        <v>25</v>
      </c>
    </row>
    <row r="561" spans="15:15" hidden="1">
      <c r="O561" s="30" t="s">
        <v>25</v>
      </c>
    </row>
    <row r="562" spans="15:15" hidden="1">
      <c r="O562" s="30" t="s">
        <v>25</v>
      </c>
    </row>
    <row r="563" spans="15:15" hidden="1">
      <c r="O563" s="30" t="s">
        <v>25</v>
      </c>
    </row>
    <row r="564" spans="15:15" hidden="1">
      <c r="O564" s="30" t="s">
        <v>25</v>
      </c>
    </row>
    <row r="565" spans="15:15" hidden="1">
      <c r="O565" s="30" t="s">
        <v>25</v>
      </c>
    </row>
    <row r="566" spans="15:15" hidden="1">
      <c r="O566" s="30" t="s">
        <v>25</v>
      </c>
    </row>
    <row r="567" spans="15:15" hidden="1">
      <c r="O567" s="30" t="s">
        <v>25</v>
      </c>
    </row>
    <row r="568" spans="15:15" hidden="1">
      <c r="O568" s="30" t="s">
        <v>25</v>
      </c>
    </row>
    <row r="569" spans="15:15" hidden="1">
      <c r="O569" s="30" t="s">
        <v>25</v>
      </c>
    </row>
    <row r="570" spans="15:15" hidden="1">
      <c r="O570" s="30" t="s">
        <v>25</v>
      </c>
    </row>
    <row r="571" spans="15:15" hidden="1">
      <c r="O571" s="30" t="s">
        <v>25</v>
      </c>
    </row>
    <row r="572" spans="15:15" hidden="1">
      <c r="O572" s="30" t="s">
        <v>25</v>
      </c>
    </row>
    <row r="573" spans="15:15" hidden="1">
      <c r="O573" s="30" t="s">
        <v>25</v>
      </c>
    </row>
    <row r="574" spans="15:15" hidden="1">
      <c r="O574" s="30" t="s">
        <v>25</v>
      </c>
    </row>
    <row r="575" spans="15:15" hidden="1">
      <c r="O575" s="30" t="s">
        <v>25</v>
      </c>
    </row>
    <row r="576" spans="15:15" hidden="1">
      <c r="O576" s="30" t="s">
        <v>25</v>
      </c>
    </row>
    <row r="577" spans="15:15" hidden="1">
      <c r="O577" s="30" t="s">
        <v>25</v>
      </c>
    </row>
    <row r="578" spans="15:15" hidden="1">
      <c r="O578" s="30" t="s">
        <v>25</v>
      </c>
    </row>
    <row r="579" spans="15:15" hidden="1">
      <c r="O579" s="30" t="s">
        <v>25</v>
      </c>
    </row>
    <row r="580" spans="15:15" hidden="1">
      <c r="O580" s="30" t="s">
        <v>25</v>
      </c>
    </row>
    <row r="581" spans="15:15" hidden="1">
      <c r="O581" s="30" t="s">
        <v>25</v>
      </c>
    </row>
    <row r="582" spans="15:15" hidden="1">
      <c r="O582" s="30" t="s">
        <v>25</v>
      </c>
    </row>
    <row r="583" spans="15:15" hidden="1">
      <c r="O583" s="30" t="s">
        <v>25</v>
      </c>
    </row>
    <row r="584" spans="15:15" hidden="1">
      <c r="O584" s="30" t="s">
        <v>25</v>
      </c>
    </row>
    <row r="585" spans="15:15" hidden="1">
      <c r="O585" s="30" t="s">
        <v>25</v>
      </c>
    </row>
    <row r="586" spans="15:15" hidden="1">
      <c r="O586" s="30" t="s">
        <v>25</v>
      </c>
    </row>
    <row r="587" spans="15:15" hidden="1">
      <c r="O587" s="30" t="s">
        <v>25</v>
      </c>
    </row>
    <row r="588" spans="15:15" hidden="1">
      <c r="O588" s="30" t="s">
        <v>25</v>
      </c>
    </row>
    <row r="589" spans="15:15" hidden="1">
      <c r="O589" s="30" t="s">
        <v>25</v>
      </c>
    </row>
    <row r="590" spans="15:15" hidden="1">
      <c r="O590" s="30" t="s">
        <v>25</v>
      </c>
    </row>
    <row r="591" spans="15:15" hidden="1">
      <c r="O591" s="30" t="s">
        <v>25</v>
      </c>
    </row>
    <row r="592" spans="15:15" hidden="1">
      <c r="O592" s="30" t="s">
        <v>25</v>
      </c>
    </row>
    <row r="593" spans="15:15" hidden="1">
      <c r="O593" s="30" t="s">
        <v>25</v>
      </c>
    </row>
    <row r="594" spans="15:15" hidden="1">
      <c r="O594" s="30" t="s">
        <v>25</v>
      </c>
    </row>
    <row r="595" spans="15:15" hidden="1">
      <c r="O595" s="30" t="s">
        <v>25</v>
      </c>
    </row>
    <row r="596" spans="15:15" hidden="1">
      <c r="O596" s="30" t="s">
        <v>25</v>
      </c>
    </row>
    <row r="597" spans="15:15" hidden="1">
      <c r="O597" s="30" t="s">
        <v>25</v>
      </c>
    </row>
    <row r="598" spans="15:15" hidden="1">
      <c r="O598" s="30" t="s">
        <v>25</v>
      </c>
    </row>
    <row r="599" spans="15:15" hidden="1">
      <c r="O599" s="30" t="s">
        <v>25</v>
      </c>
    </row>
    <row r="600" spans="15:15" hidden="1">
      <c r="O600" s="30" t="s">
        <v>25</v>
      </c>
    </row>
    <row r="601" spans="15:15" hidden="1">
      <c r="O601" s="30" t="s">
        <v>25</v>
      </c>
    </row>
    <row r="602" spans="15:15" hidden="1">
      <c r="O602" s="30" t="s">
        <v>25</v>
      </c>
    </row>
    <row r="603" spans="15:15" hidden="1">
      <c r="O603" s="30" t="s">
        <v>25</v>
      </c>
    </row>
    <row r="604" spans="15:15" hidden="1">
      <c r="O604" s="30" t="s">
        <v>25</v>
      </c>
    </row>
    <row r="605" spans="15:15" hidden="1">
      <c r="O605" s="30" t="s">
        <v>25</v>
      </c>
    </row>
    <row r="606" spans="15:15" hidden="1">
      <c r="O606" s="30" t="s">
        <v>25</v>
      </c>
    </row>
    <row r="607" spans="15:15" hidden="1">
      <c r="O607" s="30" t="s">
        <v>25</v>
      </c>
    </row>
    <row r="608" spans="15:15" hidden="1">
      <c r="O608" s="30" t="s">
        <v>25</v>
      </c>
    </row>
    <row r="609" spans="15:15" hidden="1">
      <c r="O609" s="30" t="s">
        <v>25</v>
      </c>
    </row>
    <row r="610" spans="15:15" hidden="1">
      <c r="O610" s="30" t="s">
        <v>25</v>
      </c>
    </row>
    <row r="611" spans="15:15" hidden="1">
      <c r="O611" s="30" t="s">
        <v>25</v>
      </c>
    </row>
    <row r="612" spans="15:15" hidden="1">
      <c r="O612" s="30" t="s">
        <v>25</v>
      </c>
    </row>
    <row r="613" spans="15:15" hidden="1">
      <c r="O613" s="30" t="s">
        <v>25</v>
      </c>
    </row>
    <row r="614" spans="15:15" hidden="1">
      <c r="O614" s="30" t="s">
        <v>25</v>
      </c>
    </row>
    <row r="615" spans="15:15" hidden="1">
      <c r="O615" s="30" t="s">
        <v>25</v>
      </c>
    </row>
    <row r="616" spans="15:15" hidden="1">
      <c r="O616" s="30" t="s">
        <v>25</v>
      </c>
    </row>
    <row r="617" spans="15:15" hidden="1">
      <c r="O617" s="30" t="s">
        <v>25</v>
      </c>
    </row>
    <row r="618" spans="15:15" hidden="1">
      <c r="O618" s="30" t="s">
        <v>25</v>
      </c>
    </row>
    <row r="619" spans="15:15" hidden="1">
      <c r="O619" s="30" t="s">
        <v>25</v>
      </c>
    </row>
    <row r="620" spans="15:15" hidden="1">
      <c r="O620" s="30" t="s">
        <v>25</v>
      </c>
    </row>
    <row r="621" spans="15:15" hidden="1">
      <c r="O621" s="30" t="s">
        <v>25</v>
      </c>
    </row>
    <row r="622" spans="15:15" hidden="1">
      <c r="O622" s="30" t="s">
        <v>25</v>
      </c>
    </row>
    <row r="623" spans="15:15" hidden="1">
      <c r="O623" s="30" t="s">
        <v>25</v>
      </c>
    </row>
    <row r="624" spans="15:15" hidden="1">
      <c r="O624" s="30" t="s">
        <v>25</v>
      </c>
    </row>
    <row r="625" spans="15:15" hidden="1">
      <c r="O625" s="30" t="s">
        <v>25</v>
      </c>
    </row>
    <row r="626" spans="15:15" hidden="1">
      <c r="O626" s="30" t="s">
        <v>25</v>
      </c>
    </row>
    <row r="627" spans="15:15" hidden="1">
      <c r="O627" s="30" t="s">
        <v>25</v>
      </c>
    </row>
    <row r="628" spans="15:15" hidden="1">
      <c r="O628" s="30" t="s">
        <v>25</v>
      </c>
    </row>
    <row r="629" spans="15:15" hidden="1">
      <c r="O629" s="30" t="s">
        <v>25</v>
      </c>
    </row>
    <row r="630" spans="15:15" hidden="1">
      <c r="O630" s="30" t="s">
        <v>25</v>
      </c>
    </row>
    <row r="631" spans="15:15" hidden="1">
      <c r="O631" s="30" t="s">
        <v>25</v>
      </c>
    </row>
    <row r="632" spans="15:15" hidden="1">
      <c r="O632" s="30" t="s">
        <v>25</v>
      </c>
    </row>
    <row r="633" spans="15:15" hidden="1">
      <c r="O633" s="30" t="s">
        <v>25</v>
      </c>
    </row>
    <row r="634" spans="15:15" hidden="1">
      <c r="O634" s="30" t="s">
        <v>25</v>
      </c>
    </row>
    <row r="635" spans="15:15" hidden="1">
      <c r="O635" s="30" t="s">
        <v>25</v>
      </c>
    </row>
    <row r="636" spans="15:15" hidden="1">
      <c r="O636" s="30" t="s">
        <v>25</v>
      </c>
    </row>
    <row r="637" spans="15:15" hidden="1">
      <c r="O637" s="30" t="s">
        <v>25</v>
      </c>
    </row>
    <row r="638" spans="15:15" hidden="1">
      <c r="O638" s="30" t="s">
        <v>25</v>
      </c>
    </row>
    <row r="639" spans="15:15" hidden="1">
      <c r="O639" s="30" t="s">
        <v>25</v>
      </c>
    </row>
    <row r="640" spans="15:15" hidden="1">
      <c r="O640" s="30" t="s">
        <v>25</v>
      </c>
    </row>
    <row r="641" spans="15:15" hidden="1">
      <c r="O641" s="30" t="s">
        <v>25</v>
      </c>
    </row>
    <row r="642" spans="15:15" hidden="1">
      <c r="O642" s="30" t="s">
        <v>25</v>
      </c>
    </row>
    <row r="643" spans="15:15" hidden="1">
      <c r="O643" s="30" t="s">
        <v>25</v>
      </c>
    </row>
    <row r="644" spans="15:15" hidden="1">
      <c r="O644" s="30" t="s">
        <v>25</v>
      </c>
    </row>
    <row r="645" spans="15:15" hidden="1">
      <c r="O645" s="30" t="s">
        <v>25</v>
      </c>
    </row>
    <row r="646" spans="15:15" hidden="1">
      <c r="O646" s="30" t="s">
        <v>25</v>
      </c>
    </row>
    <row r="647" spans="15:15" hidden="1">
      <c r="O647" s="30" t="s">
        <v>25</v>
      </c>
    </row>
    <row r="648" spans="15:15" hidden="1">
      <c r="O648" s="30" t="s">
        <v>25</v>
      </c>
    </row>
    <row r="649" spans="15:15" hidden="1">
      <c r="O649" s="30" t="s">
        <v>25</v>
      </c>
    </row>
    <row r="650" spans="15:15" hidden="1">
      <c r="O650" s="30" t="s">
        <v>25</v>
      </c>
    </row>
    <row r="651" spans="15:15" hidden="1">
      <c r="O651" s="30" t="s">
        <v>25</v>
      </c>
    </row>
    <row r="652" spans="15:15" hidden="1">
      <c r="O652" s="30" t="s">
        <v>25</v>
      </c>
    </row>
    <row r="653" spans="15:15" hidden="1">
      <c r="O653" s="30" t="s">
        <v>25</v>
      </c>
    </row>
    <row r="654" spans="15:15" hidden="1">
      <c r="O654" s="30" t="s">
        <v>25</v>
      </c>
    </row>
    <row r="655" spans="15:15" hidden="1">
      <c r="O655" s="30" t="s">
        <v>25</v>
      </c>
    </row>
    <row r="656" spans="15:15" hidden="1">
      <c r="O656" s="30" t="s">
        <v>25</v>
      </c>
    </row>
    <row r="657" spans="15:15" hidden="1">
      <c r="O657" s="30" t="s">
        <v>25</v>
      </c>
    </row>
    <row r="658" spans="15:15" hidden="1">
      <c r="O658" s="30" t="s">
        <v>25</v>
      </c>
    </row>
    <row r="659" spans="15:15" hidden="1">
      <c r="O659" s="30" t="s">
        <v>25</v>
      </c>
    </row>
    <row r="660" spans="15:15" hidden="1">
      <c r="O660" s="30" t="s">
        <v>25</v>
      </c>
    </row>
    <row r="661" spans="15:15" hidden="1">
      <c r="O661" s="30" t="s">
        <v>25</v>
      </c>
    </row>
    <row r="662" spans="15:15" hidden="1">
      <c r="O662" s="30" t="s">
        <v>25</v>
      </c>
    </row>
    <row r="663" spans="15:15" hidden="1">
      <c r="O663" s="30" t="s">
        <v>25</v>
      </c>
    </row>
    <row r="664" spans="15:15" hidden="1">
      <c r="O664" s="30" t="s">
        <v>25</v>
      </c>
    </row>
    <row r="665" spans="15:15" hidden="1">
      <c r="O665" s="30" t="s">
        <v>25</v>
      </c>
    </row>
    <row r="666" spans="15:15" hidden="1">
      <c r="O666" s="30" t="s">
        <v>25</v>
      </c>
    </row>
    <row r="667" spans="15:15" hidden="1">
      <c r="O667" s="30" t="s">
        <v>25</v>
      </c>
    </row>
    <row r="668" spans="15:15" hidden="1">
      <c r="O668" s="30" t="s">
        <v>25</v>
      </c>
    </row>
    <row r="669" spans="15:15" hidden="1">
      <c r="O669" s="30" t="s">
        <v>25</v>
      </c>
    </row>
    <row r="670" spans="15:15" hidden="1">
      <c r="O670" s="30" t="s">
        <v>25</v>
      </c>
    </row>
    <row r="671" spans="15:15" hidden="1">
      <c r="O671" s="30" t="s">
        <v>25</v>
      </c>
    </row>
    <row r="672" spans="15:15" hidden="1">
      <c r="O672" s="30" t="s">
        <v>25</v>
      </c>
    </row>
    <row r="673" spans="15:15" hidden="1">
      <c r="O673" s="30" t="s">
        <v>25</v>
      </c>
    </row>
    <row r="674" spans="15:15" hidden="1">
      <c r="O674" s="30" t="s">
        <v>25</v>
      </c>
    </row>
    <row r="675" spans="15:15" hidden="1">
      <c r="O675" s="30" t="s">
        <v>25</v>
      </c>
    </row>
    <row r="676" spans="15:15" hidden="1">
      <c r="O676" s="30" t="s">
        <v>25</v>
      </c>
    </row>
    <row r="677" spans="15:15" hidden="1">
      <c r="O677" s="30" t="s">
        <v>25</v>
      </c>
    </row>
    <row r="678" spans="15:15" hidden="1">
      <c r="O678" s="30" t="s">
        <v>25</v>
      </c>
    </row>
    <row r="679" spans="15:15" hidden="1">
      <c r="O679" s="30" t="s">
        <v>25</v>
      </c>
    </row>
    <row r="680" spans="15:15" hidden="1">
      <c r="O680" s="30" t="s">
        <v>25</v>
      </c>
    </row>
    <row r="681" spans="15:15" hidden="1">
      <c r="O681" s="30" t="s">
        <v>25</v>
      </c>
    </row>
    <row r="682" spans="15:15" hidden="1">
      <c r="O682" s="30" t="s">
        <v>25</v>
      </c>
    </row>
    <row r="683" spans="15:15" hidden="1">
      <c r="O683" s="30" t="s">
        <v>25</v>
      </c>
    </row>
    <row r="684" spans="15:15" hidden="1">
      <c r="O684" s="30" t="s">
        <v>25</v>
      </c>
    </row>
    <row r="685" spans="15:15" hidden="1">
      <c r="O685" s="30" t="s">
        <v>25</v>
      </c>
    </row>
    <row r="686" spans="15:15" hidden="1">
      <c r="O686" s="30" t="s">
        <v>25</v>
      </c>
    </row>
    <row r="687" spans="15:15" hidden="1">
      <c r="O687" s="30" t="s">
        <v>25</v>
      </c>
    </row>
    <row r="688" spans="15:15" hidden="1">
      <c r="O688" s="30" t="s">
        <v>25</v>
      </c>
    </row>
    <row r="689" spans="15:15" hidden="1">
      <c r="O689" s="30" t="s">
        <v>25</v>
      </c>
    </row>
    <row r="690" spans="15:15" hidden="1">
      <c r="O690" s="30" t="s">
        <v>25</v>
      </c>
    </row>
    <row r="691" spans="15:15" hidden="1">
      <c r="O691" s="30" t="s">
        <v>25</v>
      </c>
    </row>
    <row r="692" spans="15:15" hidden="1">
      <c r="O692" s="30" t="s">
        <v>25</v>
      </c>
    </row>
    <row r="693" spans="15:15" hidden="1">
      <c r="O693" s="30" t="s">
        <v>25</v>
      </c>
    </row>
    <row r="694" spans="15:15" hidden="1">
      <c r="O694" s="30" t="s">
        <v>25</v>
      </c>
    </row>
    <row r="695" spans="15:15" hidden="1">
      <c r="O695" s="30" t="s">
        <v>25</v>
      </c>
    </row>
    <row r="696" spans="15:15" hidden="1">
      <c r="O696" s="30" t="s">
        <v>25</v>
      </c>
    </row>
    <row r="697" spans="15:15" hidden="1">
      <c r="O697" s="30" t="s">
        <v>25</v>
      </c>
    </row>
    <row r="698" spans="15:15" hidden="1">
      <c r="O698" s="30" t="s">
        <v>25</v>
      </c>
    </row>
    <row r="699" spans="15:15" hidden="1">
      <c r="O699" s="30" t="s">
        <v>25</v>
      </c>
    </row>
    <row r="700" spans="15:15" hidden="1">
      <c r="O700" s="30" t="s">
        <v>25</v>
      </c>
    </row>
    <row r="701" spans="15:15" hidden="1">
      <c r="O701" s="30" t="s">
        <v>25</v>
      </c>
    </row>
    <row r="702" spans="15:15" hidden="1">
      <c r="O702" s="30" t="s">
        <v>25</v>
      </c>
    </row>
    <row r="703" spans="15:15" hidden="1">
      <c r="O703" s="30" t="s">
        <v>25</v>
      </c>
    </row>
    <row r="704" spans="15:15" hidden="1">
      <c r="O704" s="30" t="s">
        <v>25</v>
      </c>
    </row>
    <row r="705" spans="15:15" hidden="1">
      <c r="O705" s="30" t="s">
        <v>25</v>
      </c>
    </row>
    <row r="706" spans="15:15" hidden="1">
      <c r="O706" s="30" t="s">
        <v>25</v>
      </c>
    </row>
    <row r="707" spans="15:15" hidden="1">
      <c r="O707" s="30" t="s">
        <v>25</v>
      </c>
    </row>
    <row r="708" spans="15:15" hidden="1">
      <c r="O708" s="30" t="s">
        <v>25</v>
      </c>
    </row>
    <row r="709" spans="15:15" hidden="1">
      <c r="O709" s="30" t="s">
        <v>25</v>
      </c>
    </row>
    <row r="710" spans="15:15" hidden="1">
      <c r="O710" s="30" t="s">
        <v>25</v>
      </c>
    </row>
    <row r="711" spans="15:15" hidden="1">
      <c r="O711" s="30" t="s">
        <v>25</v>
      </c>
    </row>
    <row r="712" spans="15:15" hidden="1">
      <c r="O712" s="30" t="s">
        <v>25</v>
      </c>
    </row>
    <row r="713" spans="15:15" hidden="1">
      <c r="O713" s="30" t="s">
        <v>25</v>
      </c>
    </row>
    <row r="714" spans="15:15" hidden="1">
      <c r="O714" s="30" t="s">
        <v>25</v>
      </c>
    </row>
    <row r="715" spans="15:15" hidden="1">
      <c r="O715" s="30" t="s">
        <v>25</v>
      </c>
    </row>
    <row r="716" spans="15:15" hidden="1">
      <c r="O716" s="30" t="s">
        <v>25</v>
      </c>
    </row>
    <row r="717" spans="15:15" hidden="1">
      <c r="O717" s="30" t="s">
        <v>25</v>
      </c>
    </row>
    <row r="718" spans="15:15" hidden="1">
      <c r="O718" s="30" t="s">
        <v>25</v>
      </c>
    </row>
    <row r="719" spans="15:15" hidden="1">
      <c r="O719" s="30" t="s">
        <v>25</v>
      </c>
    </row>
    <row r="720" spans="15:15" hidden="1">
      <c r="O720" s="30" t="s">
        <v>25</v>
      </c>
    </row>
    <row r="721" spans="15:15" hidden="1">
      <c r="O721" s="30" t="s">
        <v>25</v>
      </c>
    </row>
    <row r="722" spans="15:15" hidden="1">
      <c r="O722" s="30" t="s">
        <v>25</v>
      </c>
    </row>
    <row r="723" spans="15:15" hidden="1">
      <c r="O723" s="30" t="s">
        <v>25</v>
      </c>
    </row>
    <row r="724" spans="15:15" hidden="1">
      <c r="O724" s="30" t="s">
        <v>25</v>
      </c>
    </row>
    <row r="725" spans="15:15" hidden="1">
      <c r="O725" s="30" t="s">
        <v>25</v>
      </c>
    </row>
    <row r="726" spans="15:15" hidden="1">
      <c r="O726" s="30" t="s">
        <v>25</v>
      </c>
    </row>
    <row r="727" spans="15:15" hidden="1">
      <c r="O727" s="30" t="s">
        <v>25</v>
      </c>
    </row>
    <row r="728" spans="15:15" hidden="1">
      <c r="O728" s="30" t="s">
        <v>25</v>
      </c>
    </row>
    <row r="729" spans="15:15" hidden="1">
      <c r="O729" s="30" t="s">
        <v>25</v>
      </c>
    </row>
    <row r="730" spans="15:15" hidden="1">
      <c r="O730" s="30" t="s">
        <v>25</v>
      </c>
    </row>
    <row r="731" spans="15:15" hidden="1">
      <c r="O731" s="30" t="s">
        <v>25</v>
      </c>
    </row>
    <row r="732" spans="15:15" hidden="1">
      <c r="O732" s="30" t="s">
        <v>25</v>
      </c>
    </row>
    <row r="733" spans="15:15" hidden="1">
      <c r="O733" s="30" t="s">
        <v>25</v>
      </c>
    </row>
    <row r="734" spans="15:15" hidden="1">
      <c r="O734" s="30" t="s">
        <v>25</v>
      </c>
    </row>
    <row r="735" spans="15:15" hidden="1">
      <c r="O735" s="30" t="s">
        <v>25</v>
      </c>
    </row>
    <row r="736" spans="15:15" hidden="1">
      <c r="O736" s="30" t="s">
        <v>25</v>
      </c>
    </row>
    <row r="737" spans="15:15" hidden="1">
      <c r="O737" s="30" t="s">
        <v>25</v>
      </c>
    </row>
    <row r="738" spans="15:15" hidden="1">
      <c r="O738" s="30" t="s">
        <v>25</v>
      </c>
    </row>
    <row r="739" spans="15:15" hidden="1">
      <c r="O739" s="30" t="s">
        <v>25</v>
      </c>
    </row>
    <row r="740" spans="15:15" hidden="1">
      <c r="O740" s="30" t="s">
        <v>25</v>
      </c>
    </row>
    <row r="741" spans="15:15" hidden="1">
      <c r="O741" s="30" t="s">
        <v>25</v>
      </c>
    </row>
    <row r="742" spans="15:15" hidden="1">
      <c r="O742" s="30" t="s">
        <v>25</v>
      </c>
    </row>
    <row r="743" spans="15:15" hidden="1">
      <c r="O743" s="30" t="s">
        <v>25</v>
      </c>
    </row>
    <row r="744" spans="15:15" hidden="1">
      <c r="O744" s="30" t="s">
        <v>25</v>
      </c>
    </row>
    <row r="745" spans="15:15" hidden="1">
      <c r="O745" s="30" t="s">
        <v>25</v>
      </c>
    </row>
    <row r="746" spans="15:15" hidden="1">
      <c r="O746" s="30" t="s">
        <v>25</v>
      </c>
    </row>
    <row r="747" spans="15:15" hidden="1">
      <c r="O747" s="30" t="s">
        <v>25</v>
      </c>
    </row>
    <row r="748" spans="15:15" hidden="1">
      <c r="O748" s="30" t="s">
        <v>25</v>
      </c>
    </row>
    <row r="749" spans="15:15" hidden="1">
      <c r="O749" s="30" t="s">
        <v>25</v>
      </c>
    </row>
    <row r="750" spans="15:15" hidden="1">
      <c r="O750" s="30" t="s">
        <v>25</v>
      </c>
    </row>
    <row r="751" spans="15:15" hidden="1">
      <c r="O751" s="30" t="s">
        <v>25</v>
      </c>
    </row>
    <row r="752" spans="15:15" hidden="1">
      <c r="O752" s="30" t="s">
        <v>25</v>
      </c>
    </row>
    <row r="753" spans="15:15" hidden="1">
      <c r="O753" s="30" t="s">
        <v>25</v>
      </c>
    </row>
    <row r="754" spans="15:15" hidden="1">
      <c r="O754" s="30" t="s">
        <v>25</v>
      </c>
    </row>
    <row r="755" spans="15:15" hidden="1">
      <c r="O755" s="30" t="s">
        <v>25</v>
      </c>
    </row>
    <row r="756" spans="15:15" hidden="1">
      <c r="O756" s="30" t="s">
        <v>25</v>
      </c>
    </row>
    <row r="757" spans="15:15" hidden="1">
      <c r="O757" s="30" t="s">
        <v>25</v>
      </c>
    </row>
    <row r="758" spans="15:15" hidden="1">
      <c r="O758" s="30" t="s">
        <v>25</v>
      </c>
    </row>
    <row r="759" spans="15:15" hidden="1">
      <c r="O759" s="30" t="s">
        <v>25</v>
      </c>
    </row>
    <row r="760" spans="15:15" hidden="1">
      <c r="O760" s="30" t="s">
        <v>25</v>
      </c>
    </row>
    <row r="761" spans="15:15" hidden="1">
      <c r="O761" s="30" t="s">
        <v>25</v>
      </c>
    </row>
    <row r="762" spans="15:15" hidden="1">
      <c r="O762" s="30" t="s">
        <v>25</v>
      </c>
    </row>
    <row r="763" spans="15:15" hidden="1">
      <c r="O763" s="30" t="s">
        <v>25</v>
      </c>
    </row>
    <row r="764" spans="15:15" hidden="1">
      <c r="O764" s="30" t="s">
        <v>25</v>
      </c>
    </row>
    <row r="765" spans="15:15" hidden="1">
      <c r="O765" s="30" t="s">
        <v>25</v>
      </c>
    </row>
    <row r="766" spans="15:15" hidden="1">
      <c r="O766" s="30" t="s">
        <v>25</v>
      </c>
    </row>
    <row r="767" spans="15:15" hidden="1">
      <c r="O767" s="30" t="s">
        <v>25</v>
      </c>
    </row>
    <row r="768" spans="15:15" hidden="1">
      <c r="O768" s="30" t="s">
        <v>25</v>
      </c>
    </row>
    <row r="769" spans="15:15" hidden="1">
      <c r="O769" s="30" t="s">
        <v>25</v>
      </c>
    </row>
    <row r="770" spans="15:15" hidden="1">
      <c r="O770" s="30" t="s">
        <v>25</v>
      </c>
    </row>
    <row r="771" spans="15:15" hidden="1">
      <c r="O771" s="30" t="s">
        <v>25</v>
      </c>
    </row>
    <row r="772" spans="15:15" hidden="1">
      <c r="O772" s="30" t="s">
        <v>25</v>
      </c>
    </row>
    <row r="773" spans="15:15" hidden="1">
      <c r="O773" s="30" t="s">
        <v>25</v>
      </c>
    </row>
    <row r="774" spans="15:15" hidden="1">
      <c r="O774" s="30" t="s">
        <v>25</v>
      </c>
    </row>
    <row r="775" spans="15:15" hidden="1">
      <c r="O775" s="30" t="s">
        <v>25</v>
      </c>
    </row>
    <row r="776" spans="15:15" hidden="1">
      <c r="O776" s="30" t="s">
        <v>25</v>
      </c>
    </row>
    <row r="777" spans="15:15" hidden="1">
      <c r="O777" s="30" t="s">
        <v>25</v>
      </c>
    </row>
    <row r="778" spans="15:15" hidden="1">
      <c r="O778" s="30" t="s">
        <v>25</v>
      </c>
    </row>
    <row r="779" spans="15:15" hidden="1">
      <c r="O779" s="30" t="s">
        <v>25</v>
      </c>
    </row>
    <row r="780" spans="15:15" hidden="1">
      <c r="O780" s="30" t="s">
        <v>25</v>
      </c>
    </row>
    <row r="781" spans="15:15" hidden="1">
      <c r="O781" s="30" t="s">
        <v>25</v>
      </c>
    </row>
    <row r="782" spans="15:15" hidden="1">
      <c r="O782" s="30" t="s">
        <v>25</v>
      </c>
    </row>
    <row r="783" spans="15:15" hidden="1">
      <c r="O783" s="30" t="s">
        <v>25</v>
      </c>
    </row>
    <row r="784" spans="15:15" hidden="1">
      <c r="O784" s="30" t="s">
        <v>25</v>
      </c>
    </row>
    <row r="785" spans="15:15" hidden="1">
      <c r="O785" s="30" t="s">
        <v>25</v>
      </c>
    </row>
    <row r="786" spans="15:15" hidden="1">
      <c r="O786" s="30" t="s">
        <v>25</v>
      </c>
    </row>
    <row r="787" spans="15:15" hidden="1">
      <c r="O787" s="30" t="s">
        <v>25</v>
      </c>
    </row>
    <row r="788" spans="15:15" hidden="1">
      <c r="O788" s="30" t="s">
        <v>25</v>
      </c>
    </row>
    <row r="789" spans="15:15" hidden="1">
      <c r="O789" s="30" t="s">
        <v>25</v>
      </c>
    </row>
    <row r="790" spans="15:15" hidden="1">
      <c r="O790" s="30" t="s">
        <v>25</v>
      </c>
    </row>
    <row r="791" spans="15:15" hidden="1">
      <c r="O791" s="30" t="s">
        <v>25</v>
      </c>
    </row>
    <row r="792" spans="15:15" hidden="1">
      <c r="O792" s="30" t="s">
        <v>25</v>
      </c>
    </row>
    <row r="793" spans="15:15" hidden="1">
      <c r="O793" s="30" t="s">
        <v>25</v>
      </c>
    </row>
    <row r="794" spans="15:15" hidden="1">
      <c r="O794" s="30" t="s">
        <v>25</v>
      </c>
    </row>
    <row r="795" spans="15:15" hidden="1">
      <c r="O795" s="30" t="s">
        <v>25</v>
      </c>
    </row>
    <row r="796" spans="15:15" hidden="1">
      <c r="O796" s="30" t="s">
        <v>25</v>
      </c>
    </row>
    <row r="797" spans="15:15" hidden="1">
      <c r="O797" s="30" t="s">
        <v>25</v>
      </c>
    </row>
    <row r="798" spans="15:15" hidden="1">
      <c r="O798" s="30" t="s">
        <v>25</v>
      </c>
    </row>
    <row r="799" spans="15:15" hidden="1">
      <c r="O799" s="30" t="s">
        <v>25</v>
      </c>
    </row>
    <row r="800" spans="15:15" hidden="1">
      <c r="O800" s="30" t="s">
        <v>25</v>
      </c>
    </row>
    <row r="801" spans="15:15" hidden="1">
      <c r="O801" s="30" t="s">
        <v>25</v>
      </c>
    </row>
    <row r="802" spans="15:15" hidden="1">
      <c r="O802" s="30" t="s">
        <v>25</v>
      </c>
    </row>
    <row r="803" spans="15:15" hidden="1">
      <c r="O803" s="30" t="s">
        <v>25</v>
      </c>
    </row>
    <row r="804" spans="15:15" hidden="1">
      <c r="O804" s="30" t="s">
        <v>25</v>
      </c>
    </row>
    <row r="805" spans="15:15" hidden="1">
      <c r="O805" s="30" t="s">
        <v>25</v>
      </c>
    </row>
    <row r="806" spans="15:15" hidden="1">
      <c r="O806" s="30" t="s">
        <v>25</v>
      </c>
    </row>
    <row r="807" spans="15:15" hidden="1">
      <c r="O807" s="30" t="s">
        <v>25</v>
      </c>
    </row>
    <row r="808" spans="15:15" hidden="1">
      <c r="O808" s="30" t="s">
        <v>25</v>
      </c>
    </row>
    <row r="809" spans="15:15" hidden="1">
      <c r="O809" s="30" t="s">
        <v>25</v>
      </c>
    </row>
    <row r="810" spans="15:15" hidden="1">
      <c r="O810" s="30" t="s">
        <v>25</v>
      </c>
    </row>
    <row r="811" spans="15:15" hidden="1">
      <c r="O811" s="30" t="s">
        <v>25</v>
      </c>
    </row>
    <row r="812" spans="15:15" hidden="1">
      <c r="O812" s="30" t="s">
        <v>25</v>
      </c>
    </row>
    <row r="813" spans="15:15" hidden="1">
      <c r="O813" s="30" t="s">
        <v>25</v>
      </c>
    </row>
    <row r="814" spans="15:15" hidden="1">
      <c r="O814" s="30" t="s">
        <v>25</v>
      </c>
    </row>
    <row r="815" spans="15:15" hidden="1">
      <c r="O815" s="30" t="s">
        <v>25</v>
      </c>
    </row>
    <row r="816" spans="15:15" hidden="1">
      <c r="O816" s="30" t="s">
        <v>25</v>
      </c>
    </row>
    <row r="817" spans="15:15" hidden="1">
      <c r="O817" s="30" t="s">
        <v>25</v>
      </c>
    </row>
    <row r="818" spans="15:15" hidden="1">
      <c r="O818" s="30" t="s">
        <v>25</v>
      </c>
    </row>
    <row r="819" spans="15:15" hidden="1">
      <c r="O819" s="30" t="s">
        <v>25</v>
      </c>
    </row>
    <row r="820" spans="15:15" hidden="1">
      <c r="O820" s="30" t="s">
        <v>25</v>
      </c>
    </row>
    <row r="821" spans="15:15" hidden="1">
      <c r="O821" s="30" t="s">
        <v>25</v>
      </c>
    </row>
    <row r="822" spans="15:15" hidden="1">
      <c r="O822" s="30" t="s">
        <v>25</v>
      </c>
    </row>
    <row r="823" spans="15:15" hidden="1">
      <c r="O823" s="30" t="s">
        <v>25</v>
      </c>
    </row>
    <row r="824" spans="15:15" hidden="1">
      <c r="O824" s="30" t="s">
        <v>25</v>
      </c>
    </row>
    <row r="825" spans="15:15" hidden="1">
      <c r="O825" s="30" t="s">
        <v>25</v>
      </c>
    </row>
    <row r="826" spans="15:15" hidden="1">
      <c r="O826" s="30" t="s">
        <v>25</v>
      </c>
    </row>
    <row r="827" spans="15:15" hidden="1">
      <c r="O827" s="30" t="s">
        <v>25</v>
      </c>
    </row>
    <row r="828" spans="15:15" hidden="1">
      <c r="O828" s="30" t="s">
        <v>25</v>
      </c>
    </row>
    <row r="829" spans="15:15" hidden="1">
      <c r="O829" s="30" t="s">
        <v>25</v>
      </c>
    </row>
    <row r="830" spans="15:15" hidden="1">
      <c r="O830" s="30" t="s">
        <v>25</v>
      </c>
    </row>
    <row r="831" spans="15:15" hidden="1">
      <c r="O831" s="30" t="s">
        <v>25</v>
      </c>
    </row>
    <row r="832" spans="15:15" hidden="1">
      <c r="O832" s="30" t="s">
        <v>25</v>
      </c>
    </row>
    <row r="833" spans="15:15" hidden="1">
      <c r="O833" s="30" t="s">
        <v>25</v>
      </c>
    </row>
    <row r="834" spans="15:15" hidden="1">
      <c r="O834" s="30" t="s">
        <v>25</v>
      </c>
    </row>
    <row r="835" spans="15:15" hidden="1">
      <c r="O835" s="30" t="s">
        <v>25</v>
      </c>
    </row>
    <row r="836" spans="15:15" hidden="1">
      <c r="O836" s="30" t="s">
        <v>25</v>
      </c>
    </row>
    <row r="837" spans="15:15" hidden="1">
      <c r="O837" s="30" t="s">
        <v>25</v>
      </c>
    </row>
    <row r="838" spans="15:15" hidden="1">
      <c r="O838" s="30" t="s">
        <v>25</v>
      </c>
    </row>
    <row r="839" spans="15:15" hidden="1">
      <c r="O839" s="30" t="s">
        <v>25</v>
      </c>
    </row>
    <row r="840" spans="15:15" hidden="1">
      <c r="O840" s="30" t="s">
        <v>25</v>
      </c>
    </row>
    <row r="841" spans="15:15" hidden="1">
      <c r="O841" s="30" t="s">
        <v>25</v>
      </c>
    </row>
    <row r="842" spans="15:15" hidden="1">
      <c r="O842" s="30" t="s">
        <v>25</v>
      </c>
    </row>
    <row r="843" spans="15:15" hidden="1">
      <c r="O843" s="30" t="s">
        <v>25</v>
      </c>
    </row>
    <row r="844" spans="15:15" hidden="1">
      <c r="O844" s="30" t="s">
        <v>25</v>
      </c>
    </row>
    <row r="845" spans="15:15" hidden="1">
      <c r="O845" s="30" t="s">
        <v>25</v>
      </c>
    </row>
    <row r="846" spans="15:15" hidden="1">
      <c r="O846" s="30" t="s">
        <v>25</v>
      </c>
    </row>
    <row r="847" spans="15:15" hidden="1">
      <c r="O847" s="30" t="s">
        <v>25</v>
      </c>
    </row>
    <row r="848" spans="15:15" hidden="1">
      <c r="O848" s="30" t="s">
        <v>25</v>
      </c>
    </row>
    <row r="849" spans="15:15" hidden="1">
      <c r="O849" s="30" t="s">
        <v>25</v>
      </c>
    </row>
    <row r="850" spans="15:15" hidden="1">
      <c r="O850" s="30" t="s">
        <v>25</v>
      </c>
    </row>
    <row r="851" spans="15:15" hidden="1">
      <c r="O851" s="30" t="s">
        <v>25</v>
      </c>
    </row>
    <row r="852" spans="15:15" hidden="1">
      <c r="O852" s="30" t="s">
        <v>25</v>
      </c>
    </row>
    <row r="853" spans="15:15" hidden="1">
      <c r="O853" s="30" t="s">
        <v>25</v>
      </c>
    </row>
    <row r="854" spans="15:15" hidden="1">
      <c r="O854" s="30" t="s">
        <v>25</v>
      </c>
    </row>
    <row r="855" spans="15:15" hidden="1">
      <c r="O855" s="30" t="s">
        <v>25</v>
      </c>
    </row>
    <row r="856" spans="15:15" hidden="1">
      <c r="O856" s="30" t="s">
        <v>25</v>
      </c>
    </row>
    <row r="857" spans="15:15" hidden="1">
      <c r="O857" s="30" t="s">
        <v>25</v>
      </c>
    </row>
    <row r="858" spans="15:15" hidden="1">
      <c r="O858" s="30" t="s">
        <v>25</v>
      </c>
    </row>
    <row r="859" spans="15:15" hidden="1">
      <c r="O859" s="30" t="s">
        <v>25</v>
      </c>
    </row>
    <row r="860" spans="15:15" hidden="1">
      <c r="O860" s="30" t="s">
        <v>25</v>
      </c>
    </row>
    <row r="861" spans="15:15" hidden="1">
      <c r="O861" s="30" t="s">
        <v>25</v>
      </c>
    </row>
    <row r="862" spans="15:15" hidden="1">
      <c r="O862" s="30" t="s">
        <v>25</v>
      </c>
    </row>
    <row r="863" spans="15:15" hidden="1">
      <c r="O863" s="30" t="s">
        <v>25</v>
      </c>
    </row>
    <row r="864" spans="15:15" hidden="1">
      <c r="O864" s="30" t="s">
        <v>25</v>
      </c>
    </row>
    <row r="865" spans="15:15" hidden="1">
      <c r="O865" s="30" t="s">
        <v>25</v>
      </c>
    </row>
    <row r="866" spans="15:15" hidden="1">
      <c r="O866" s="30" t="s">
        <v>25</v>
      </c>
    </row>
    <row r="867" spans="15:15" hidden="1">
      <c r="O867" s="30" t="s">
        <v>25</v>
      </c>
    </row>
    <row r="868" spans="15:15" hidden="1">
      <c r="O868" s="30" t="s">
        <v>25</v>
      </c>
    </row>
    <row r="869" spans="15:15" hidden="1">
      <c r="O869" s="30" t="s">
        <v>25</v>
      </c>
    </row>
    <row r="870" spans="15:15" hidden="1">
      <c r="O870" s="30" t="s">
        <v>25</v>
      </c>
    </row>
    <row r="871" spans="15:15" hidden="1">
      <c r="O871" s="30" t="s">
        <v>25</v>
      </c>
    </row>
    <row r="872" spans="15:15" hidden="1">
      <c r="O872" s="30" t="s">
        <v>25</v>
      </c>
    </row>
    <row r="873" spans="15:15" hidden="1">
      <c r="O873" s="30" t="s">
        <v>25</v>
      </c>
    </row>
    <row r="874" spans="15:15" hidden="1">
      <c r="O874" s="30" t="s">
        <v>25</v>
      </c>
    </row>
    <row r="875" spans="15:15" hidden="1">
      <c r="O875" s="30" t="s">
        <v>25</v>
      </c>
    </row>
    <row r="876" spans="15:15" hidden="1">
      <c r="O876" s="30" t="s">
        <v>25</v>
      </c>
    </row>
    <row r="877" spans="15:15" hidden="1">
      <c r="O877" s="30" t="s">
        <v>25</v>
      </c>
    </row>
    <row r="878" spans="15:15" hidden="1">
      <c r="O878" s="30" t="s">
        <v>25</v>
      </c>
    </row>
    <row r="879" spans="15:15" hidden="1">
      <c r="O879" s="30" t="s">
        <v>25</v>
      </c>
    </row>
    <row r="880" spans="15:15" hidden="1">
      <c r="O880" s="30" t="s">
        <v>25</v>
      </c>
    </row>
    <row r="881" spans="15:15" hidden="1">
      <c r="O881" s="30" t="s">
        <v>25</v>
      </c>
    </row>
    <row r="882" spans="15:15" hidden="1">
      <c r="O882" s="30" t="s">
        <v>25</v>
      </c>
    </row>
    <row r="883" spans="15:15" hidden="1">
      <c r="O883" s="30" t="s">
        <v>25</v>
      </c>
    </row>
    <row r="884" spans="15:15" hidden="1">
      <c r="O884" s="30" t="s">
        <v>25</v>
      </c>
    </row>
    <row r="885" spans="15:15" hidden="1">
      <c r="O885" s="30" t="s">
        <v>25</v>
      </c>
    </row>
    <row r="886" spans="15:15" hidden="1">
      <c r="O886" s="30" t="s">
        <v>25</v>
      </c>
    </row>
    <row r="887" spans="15:15" hidden="1">
      <c r="O887" s="30" t="s">
        <v>25</v>
      </c>
    </row>
    <row r="888" spans="15:15" hidden="1">
      <c r="O888" s="30" t="s">
        <v>25</v>
      </c>
    </row>
    <row r="889" spans="15:15" hidden="1">
      <c r="O889" s="30" t="s">
        <v>25</v>
      </c>
    </row>
    <row r="890" spans="15:15" hidden="1">
      <c r="O890" s="30" t="s">
        <v>25</v>
      </c>
    </row>
    <row r="891" spans="15:15" hidden="1">
      <c r="O891" s="30" t="s">
        <v>25</v>
      </c>
    </row>
    <row r="892" spans="15:15" hidden="1">
      <c r="O892" s="30" t="s">
        <v>25</v>
      </c>
    </row>
    <row r="893" spans="15:15" hidden="1">
      <c r="O893" s="30" t="s">
        <v>25</v>
      </c>
    </row>
    <row r="894" spans="15:15" hidden="1">
      <c r="O894" s="30" t="s">
        <v>25</v>
      </c>
    </row>
    <row r="895" spans="15:15" hidden="1">
      <c r="O895" s="30" t="s">
        <v>25</v>
      </c>
    </row>
    <row r="896" spans="15:15" hidden="1">
      <c r="O896" s="30" t="s">
        <v>25</v>
      </c>
    </row>
    <row r="897" spans="15:15" hidden="1">
      <c r="O897" s="30" t="s">
        <v>25</v>
      </c>
    </row>
    <row r="898" spans="15:15" hidden="1">
      <c r="O898" s="30" t="s">
        <v>25</v>
      </c>
    </row>
    <row r="899" spans="15:15" hidden="1">
      <c r="O899" s="30" t="s">
        <v>25</v>
      </c>
    </row>
    <row r="900" spans="15:15" hidden="1">
      <c r="O900" s="30" t="s">
        <v>25</v>
      </c>
    </row>
    <row r="901" spans="15:15" hidden="1">
      <c r="O901" s="30" t="s">
        <v>25</v>
      </c>
    </row>
    <row r="902" spans="15:15" hidden="1">
      <c r="O902" s="30" t="s">
        <v>25</v>
      </c>
    </row>
    <row r="903" spans="15:15" hidden="1">
      <c r="O903" s="30" t="s">
        <v>25</v>
      </c>
    </row>
    <row r="904" spans="15:15" hidden="1">
      <c r="O904" s="30" t="s">
        <v>25</v>
      </c>
    </row>
    <row r="905" spans="15:15" hidden="1">
      <c r="O905" s="30" t="s">
        <v>25</v>
      </c>
    </row>
    <row r="906" spans="15:15" hidden="1">
      <c r="O906" s="30" t="s">
        <v>25</v>
      </c>
    </row>
    <row r="907" spans="15:15" hidden="1">
      <c r="O907" s="30" t="s">
        <v>25</v>
      </c>
    </row>
    <row r="908" spans="15:15" hidden="1">
      <c r="O908" s="30" t="s">
        <v>25</v>
      </c>
    </row>
    <row r="909" spans="15:15" hidden="1">
      <c r="O909" s="30" t="s">
        <v>25</v>
      </c>
    </row>
    <row r="910" spans="15:15" hidden="1">
      <c r="O910" s="30" t="s">
        <v>25</v>
      </c>
    </row>
    <row r="911" spans="15:15" hidden="1">
      <c r="O911" s="30" t="s">
        <v>25</v>
      </c>
    </row>
    <row r="912" spans="15:15" hidden="1">
      <c r="O912" s="30" t="s">
        <v>25</v>
      </c>
    </row>
    <row r="913" spans="15:15" hidden="1">
      <c r="O913" s="30" t="s">
        <v>25</v>
      </c>
    </row>
    <row r="914" spans="15:15" hidden="1">
      <c r="O914" s="30" t="s">
        <v>25</v>
      </c>
    </row>
    <row r="915" spans="15:15" hidden="1">
      <c r="O915" s="30" t="s">
        <v>25</v>
      </c>
    </row>
    <row r="916" spans="15:15" hidden="1">
      <c r="O916" s="30" t="s">
        <v>25</v>
      </c>
    </row>
    <row r="917" spans="15:15" hidden="1">
      <c r="O917" s="30" t="s">
        <v>25</v>
      </c>
    </row>
    <row r="918" spans="15:15" hidden="1">
      <c r="O918" s="30" t="s">
        <v>25</v>
      </c>
    </row>
    <row r="919" spans="15:15" hidden="1">
      <c r="O919" s="30" t="s">
        <v>25</v>
      </c>
    </row>
    <row r="920" spans="15:15" hidden="1">
      <c r="O920" s="30" t="s">
        <v>25</v>
      </c>
    </row>
    <row r="921" spans="15:15" hidden="1">
      <c r="O921" s="30" t="s">
        <v>25</v>
      </c>
    </row>
    <row r="922" spans="15:15" hidden="1">
      <c r="O922" s="30" t="s">
        <v>25</v>
      </c>
    </row>
    <row r="923" spans="15:15" hidden="1">
      <c r="O923" s="30" t="s">
        <v>25</v>
      </c>
    </row>
    <row r="924" spans="15:15" hidden="1">
      <c r="O924" s="30" t="s">
        <v>25</v>
      </c>
    </row>
    <row r="925" spans="15:15" hidden="1">
      <c r="O925" s="30" t="s">
        <v>25</v>
      </c>
    </row>
    <row r="926" spans="15:15" hidden="1">
      <c r="O926" s="30" t="s">
        <v>25</v>
      </c>
    </row>
    <row r="927" spans="15:15" hidden="1">
      <c r="O927" s="30" t="s">
        <v>25</v>
      </c>
    </row>
    <row r="928" spans="15:15" hidden="1">
      <c r="O928" s="30" t="s">
        <v>25</v>
      </c>
    </row>
    <row r="929" spans="15:15" hidden="1">
      <c r="O929" s="30" t="s">
        <v>25</v>
      </c>
    </row>
    <row r="930" spans="15:15" hidden="1">
      <c r="O930" s="30" t="s">
        <v>25</v>
      </c>
    </row>
    <row r="931" spans="15:15" hidden="1">
      <c r="O931" s="30" t="s">
        <v>25</v>
      </c>
    </row>
    <row r="932" spans="15:15" hidden="1">
      <c r="O932" s="30" t="s">
        <v>25</v>
      </c>
    </row>
    <row r="933" spans="15:15" hidden="1">
      <c r="O933" s="30" t="s">
        <v>25</v>
      </c>
    </row>
    <row r="934" spans="15:15" hidden="1">
      <c r="O934" s="30" t="s">
        <v>25</v>
      </c>
    </row>
    <row r="935" spans="15:15" hidden="1">
      <c r="O935" s="30" t="s">
        <v>25</v>
      </c>
    </row>
    <row r="936" spans="15:15" hidden="1">
      <c r="O936" s="30" t="s">
        <v>25</v>
      </c>
    </row>
    <row r="937" spans="15:15" hidden="1">
      <c r="O937" s="30" t="s">
        <v>25</v>
      </c>
    </row>
    <row r="938" spans="15:15" hidden="1">
      <c r="O938" s="30" t="s">
        <v>25</v>
      </c>
    </row>
    <row r="939" spans="15:15" hidden="1">
      <c r="O939" s="30" t="s">
        <v>25</v>
      </c>
    </row>
    <row r="940" spans="15:15" hidden="1">
      <c r="O940" s="30" t="s">
        <v>25</v>
      </c>
    </row>
    <row r="941" spans="15:15" hidden="1">
      <c r="O941" s="30" t="s">
        <v>25</v>
      </c>
    </row>
    <row r="942" spans="15:15" hidden="1">
      <c r="O942" s="30" t="s">
        <v>25</v>
      </c>
    </row>
    <row r="943" spans="15:15" hidden="1">
      <c r="O943" s="30" t="s">
        <v>25</v>
      </c>
    </row>
    <row r="944" spans="15:15" hidden="1">
      <c r="O944" s="30" t="s">
        <v>25</v>
      </c>
    </row>
    <row r="945" spans="15:15" hidden="1">
      <c r="O945" s="30" t="s">
        <v>25</v>
      </c>
    </row>
    <row r="946" spans="15:15" hidden="1">
      <c r="O946" s="30" t="s">
        <v>25</v>
      </c>
    </row>
    <row r="947" spans="15:15" hidden="1">
      <c r="O947" s="30" t="s">
        <v>25</v>
      </c>
    </row>
    <row r="948" spans="15:15" hidden="1">
      <c r="O948" s="30" t="s">
        <v>25</v>
      </c>
    </row>
    <row r="949" spans="15:15" hidden="1">
      <c r="O949" s="30" t="s">
        <v>25</v>
      </c>
    </row>
    <row r="950" spans="15:15" hidden="1">
      <c r="O950" s="30" t="s">
        <v>25</v>
      </c>
    </row>
    <row r="951" spans="15:15" hidden="1">
      <c r="O951" s="30" t="s">
        <v>25</v>
      </c>
    </row>
    <row r="952" spans="15:15" hidden="1">
      <c r="O952" s="30" t="s">
        <v>25</v>
      </c>
    </row>
    <row r="953" spans="15:15" hidden="1">
      <c r="O953" s="30" t="s">
        <v>25</v>
      </c>
    </row>
    <row r="954" spans="15:15" hidden="1">
      <c r="O954" s="30" t="s">
        <v>25</v>
      </c>
    </row>
    <row r="955" spans="15:15" hidden="1">
      <c r="O955" s="30" t="s">
        <v>25</v>
      </c>
    </row>
    <row r="956" spans="15:15" hidden="1">
      <c r="O956" s="30" t="s">
        <v>25</v>
      </c>
    </row>
    <row r="957" spans="15:15" hidden="1">
      <c r="O957" s="30" t="s">
        <v>25</v>
      </c>
    </row>
    <row r="958" spans="15:15" hidden="1">
      <c r="O958" s="30" t="s">
        <v>25</v>
      </c>
    </row>
    <row r="959" spans="15:15" hidden="1">
      <c r="O959" s="30" t="s">
        <v>25</v>
      </c>
    </row>
    <row r="960" spans="15:15" hidden="1">
      <c r="O960" s="30" t="s">
        <v>25</v>
      </c>
    </row>
    <row r="961" spans="15:15" hidden="1">
      <c r="O961" s="30" t="s">
        <v>25</v>
      </c>
    </row>
    <row r="962" spans="15:15" hidden="1">
      <c r="O962" s="30" t="s">
        <v>25</v>
      </c>
    </row>
    <row r="963" spans="15:15" hidden="1">
      <c r="O963" s="30" t="s">
        <v>25</v>
      </c>
    </row>
    <row r="964" spans="15:15" hidden="1">
      <c r="O964" s="30" t="s">
        <v>25</v>
      </c>
    </row>
    <row r="965" spans="15:15" hidden="1">
      <c r="O965" s="30" t="s">
        <v>25</v>
      </c>
    </row>
    <row r="966" spans="15:15" hidden="1">
      <c r="O966" s="30" t="s">
        <v>25</v>
      </c>
    </row>
    <row r="967" spans="15:15" hidden="1">
      <c r="O967" s="30" t="s">
        <v>25</v>
      </c>
    </row>
    <row r="968" spans="15:15" hidden="1">
      <c r="O968" s="30" t="s">
        <v>25</v>
      </c>
    </row>
    <row r="969" spans="15:15" hidden="1">
      <c r="O969" s="30" t="s">
        <v>25</v>
      </c>
    </row>
    <row r="970" spans="15:15" hidden="1">
      <c r="O970" s="30" t="s">
        <v>25</v>
      </c>
    </row>
    <row r="971" spans="15:15" hidden="1">
      <c r="O971" s="30" t="s">
        <v>25</v>
      </c>
    </row>
    <row r="972" spans="15:15" hidden="1">
      <c r="O972" s="30" t="s">
        <v>25</v>
      </c>
    </row>
    <row r="973" spans="15:15" hidden="1">
      <c r="O973" s="30" t="s">
        <v>25</v>
      </c>
    </row>
    <row r="974" spans="15:15" hidden="1">
      <c r="O974" s="30" t="s">
        <v>25</v>
      </c>
    </row>
    <row r="975" spans="15:15" hidden="1">
      <c r="O975" s="30" t="s">
        <v>25</v>
      </c>
    </row>
    <row r="976" spans="15:15" hidden="1">
      <c r="O976" s="30" t="s">
        <v>25</v>
      </c>
    </row>
    <row r="977" spans="15:15" hidden="1">
      <c r="O977" s="30" t="s">
        <v>25</v>
      </c>
    </row>
    <row r="978" spans="15:15" hidden="1">
      <c r="O978" s="30" t="s">
        <v>25</v>
      </c>
    </row>
    <row r="979" spans="15:15" hidden="1">
      <c r="O979" s="30" t="s">
        <v>25</v>
      </c>
    </row>
    <row r="980" spans="15:15" hidden="1">
      <c r="O980" s="30" t="s">
        <v>25</v>
      </c>
    </row>
    <row r="981" spans="15:15" hidden="1">
      <c r="O981" s="30" t="s">
        <v>25</v>
      </c>
    </row>
    <row r="982" spans="15:15" hidden="1">
      <c r="O982" s="30" t="s">
        <v>25</v>
      </c>
    </row>
    <row r="983" spans="15:15" hidden="1">
      <c r="O983" s="30" t="s">
        <v>25</v>
      </c>
    </row>
    <row r="984" spans="15:15" hidden="1">
      <c r="O984" s="30" t="s">
        <v>25</v>
      </c>
    </row>
    <row r="985" spans="15:15" hidden="1">
      <c r="O985" s="30" t="s">
        <v>25</v>
      </c>
    </row>
    <row r="986" spans="15:15" hidden="1">
      <c r="O986" s="30" t="s">
        <v>25</v>
      </c>
    </row>
    <row r="987" spans="15:15" hidden="1">
      <c r="O987" s="30" t="s">
        <v>25</v>
      </c>
    </row>
    <row r="988" spans="15:15" hidden="1">
      <c r="O988" s="30" t="s">
        <v>25</v>
      </c>
    </row>
    <row r="989" spans="15:15" hidden="1">
      <c r="O989" s="30" t="s">
        <v>25</v>
      </c>
    </row>
    <row r="990" spans="15:15" hidden="1">
      <c r="O990" s="30" t="s">
        <v>25</v>
      </c>
    </row>
    <row r="991" spans="15:15" hidden="1">
      <c r="O991" s="30" t="s">
        <v>25</v>
      </c>
    </row>
    <row r="992" spans="15:15" hidden="1">
      <c r="O992" s="30" t="s">
        <v>25</v>
      </c>
    </row>
    <row r="993" spans="15:648" hidden="1">
      <c r="O993" s="30" t="s">
        <v>25</v>
      </c>
    </row>
    <row r="994" spans="15:648" hidden="1">
      <c r="O994" s="30" t="s">
        <v>25</v>
      </c>
    </row>
    <row r="995" spans="15:648" hidden="1">
      <c r="O995" s="30" t="s">
        <v>25</v>
      </c>
    </row>
    <row r="996" spans="15:648" hidden="1">
      <c r="O996" s="30" t="s">
        <v>25</v>
      </c>
    </row>
    <row r="997" spans="15:648" hidden="1">
      <c r="O997" s="30" t="s">
        <v>25</v>
      </c>
    </row>
    <row r="998" spans="15:648" hidden="1">
      <c r="O998" s="30" t="s">
        <v>25</v>
      </c>
    </row>
    <row r="999" spans="15:648" hidden="1">
      <c r="O999" s="30" t="s">
        <v>25</v>
      </c>
    </row>
    <row r="1000" spans="15:648" ht="15.5" hidden="1">
      <c r="O1000" s="30" t="s">
        <v>25</v>
      </c>
      <c r="XX1000" s="63">
        <v>56981</v>
      </c>
    </row>
    <row r="1001" spans="15:648" hidden="1">
      <c r="O1001" s="30" t="s">
        <v>25</v>
      </c>
    </row>
    <row r="1002" spans="15:648" hidden="1">
      <c r="O1002" s="30" t="s">
        <v>25</v>
      </c>
    </row>
    <row r="1003" spans="15:648" hidden="1">
      <c r="O1003" s="30" t="s">
        <v>25</v>
      </c>
    </row>
    <row r="1004" spans="15:648" hidden="1">
      <c r="O1004" s="30" t="s">
        <v>25</v>
      </c>
    </row>
    <row r="1005" spans="15:648" hidden="1">
      <c r="O1005" s="30" t="s">
        <v>25</v>
      </c>
    </row>
    <row r="1006" spans="15:648" hidden="1">
      <c r="O1006" s="30" t="s">
        <v>25</v>
      </c>
    </row>
    <row r="1007" spans="15:648" hidden="1">
      <c r="O1007" s="30" t="s">
        <v>25</v>
      </c>
    </row>
    <row r="1008" spans="15:648" hidden="1">
      <c r="O1008" s="30" t="s">
        <v>25</v>
      </c>
    </row>
    <row r="1009" spans="15:15" hidden="1">
      <c r="O1009" s="30" t="s">
        <v>25</v>
      </c>
    </row>
    <row r="1010" spans="15:15" hidden="1">
      <c r="O1010" s="30" t="s">
        <v>25</v>
      </c>
    </row>
    <row r="1011" spans="15:15" hidden="1">
      <c r="O1011" s="30" t="s">
        <v>25</v>
      </c>
    </row>
    <row r="1012" spans="15:15" hidden="1">
      <c r="O1012" s="30" t="s">
        <v>25</v>
      </c>
    </row>
    <row r="1013" spans="15:15" hidden="1">
      <c r="O1013" s="30" t="s">
        <v>25</v>
      </c>
    </row>
    <row r="1014" spans="15:15" hidden="1">
      <c r="O1014" s="30" t="s">
        <v>25</v>
      </c>
    </row>
    <row r="1015" spans="15:15" hidden="1">
      <c r="O1015" s="30" t="s">
        <v>25</v>
      </c>
    </row>
    <row r="1016" spans="15:15" hidden="1">
      <c r="O1016" s="30" t="s">
        <v>25</v>
      </c>
    </row>
    <row r="1017" spans="15:15" hidden="1">
      <c r="O1017" s="30" t="s">
        <v>25</v>
      </c>
    </row>
    <row r="1018" spans="15:15" hidden="1">
      <c r="O1018" s="30" t="s">
        <v>25</v>
      </c>
    </row>
    <row r="1019" spans="15:15" hidden="1">
      <c r="O1019" s="30" t="s">
        <v>25</v>
      </c>
    </row>
    <row r="1020" spans="15:15" hidden="1">
      <c r="O1020" s="30" t="s">
        <v>25</v>
      </c>
    </row>
    <row r="1021" spans="15:15" hidden="1">
      <c r="O1021" s="30" t="s">
        <v>25</v>
      </c>
    </row>
    <row r="1022" spans="15:15" hidden="1">
      <c r="O1022" s="30" t="s">
        <v>25</v>
      </c>
    </row>
    <row r="1023" spans="15:15" hidden="1">
      <c r="O1023" s="30" t="s">
        <v>25</v>
      </c>
    </row>
    <row r="1024" spans="15:15" hidden="1">
      <c r="O1024" s="30" t="s">
        <v>25</v>
      </c>
    </row>
    <row r="1025" spans="15:15" hidden="1">
      <c r="O1025" s="30" t="s">
        <v>25</v>
      </c>
    </row>
    <row r="1026" spans="15:15" hidden="1">
      <c r="O1026" s="30" t="s">
        <v>25</v>
      </c>
    </row>
    <row r="1027" spans="15:15" hidden="1">
      <c r="O1027" s="30" t="s">
        <v>25</v>
      </c>
    </row>
    <row r="1028" spans="15:15" hidden="1">
      <c r="O1028" s="30" t="s">
        <v>25</v>
      </c>
    </row>
    <row r="1029" spans="15:15" hidden="1">
      <c r="O1029" s="30" t="s">
        <v>25</v>
      </c>
    </row>
    <row r="1030" spans="15:15" hidden="1">
      <c r="O1030" s="30" t="s">
        <v>25</v>
      </c>
    </row>
    <row r="1031" spans="15:15" hidden="1">
      <c r="O1031" s="30" t="s">
        <v>25</v>
      </c>
    </row>
    <row r="1032" spans="15:15" hidden="1">
      <c r="O1032" s="30" t="s">
        <v>25</v>
      </c>
    </row>
    <row r="1033" spans="15:15" hidden="1">
      <c r="O1033" s="30" t="s">
        <v>25</v>
      </c>
    </row>
    <row r="1034" spans="15:15" hidden="1">
      <c r="O1034" s="30" t="s">
        <v>25</v>
      </c>
    </row>
    <row r="1035" spans="15:15" hidden="1">
      <c r="O1035" s="30" t="s">
        <v>25</v>
      </c>
    </row>
    <row r="1036" spans="15:15" hidden="1">
      <c r="O1036" s="30" t="s">
        <v>25</v>
      </c>
    </row>
    <row r="1037" spans="15:15" hidden="1">
      <c r="O1037" s="30" t="s">
        <v>25</v>
      </c>
    </row>
    <row r="1038" spans="15:15" hidden="1">
      <c r="O1038" s="30" t="s">
        <v>25</v>
      </c>
    </row>
    <row r="1039" spans="15:15" hidden="1">
      <c r="O1039" s="30" t="s">
        <v>25</v>
      </c>
    </row>
    <row r="1040" spans="15:15" hidden="1">
      <c r="O1040" s="30" t="s">
        <v>25</v>
      </c>
    </row>
    <row r="1041" spans="15:15" hidden="1">
      <c r="O1041" s="30" t="s">
        <v>25</v>
      </c>
    </row>
    <row r="1042" spans="15:15" hidden="1">
      <c r="O1042" s="30" t="s">
        <v>25</v>
      </c>
    </row>
    <row r="1043" spans="15:15" hidden="1">
      <c r="O1043" s="30" t="s">
        <v>25</v>
      </c>
    </row>
    <row r="1044" spans="15:15" hidden="1">
      <c r="O1044" s="30" t="s">
        <v>25</v>
      </c>
    </row>
    <row r="1045" spans="15:15" hidden="1">
      <c r="O1045" s="30" t="s">
        <v>25</v>
      </c>
    </row>
    <row r="1046" spans="15:15" hidden="1">
      <c r="O1046" s="30" t="s">
        <v>25</v>
      </c>
    </row>
    <row r="1047" spans="15:15" hidden="1">
      <c r="O1047" s="30" t="s">
        <v>25</v>
      </c>
    </row>
    <row r="1048" spans="15:15" hidden="1">
      <c r="O1048" s="30" t="s">
        <v>25</v>
      </c>
    </row>
    <row r="1049" spans="15:15" hidden="1">
      <c r="O1049" s="30" t="s">
        <v>25</v>
      </c>
    </row>
    <row r="1050" spans="15:15" hidden="1">
      <c r="O1050" s="30" t="s">
        <v>25</v>
      </c>
    </row>
    <row r="1051" spans="15:15" hidden="1">
      <c r="O1051" s="30" t="s">
        <v>25</v>
      </c>
    </row>
    <row r="1052" spans="15:15" hidden="1">
      <c r="O1052" s="30" t="s">
        <v>25</v>
      </c>
    </row>
    <row r="1053" spans="15:15" hidden="1">
      <c r="O1053" s="30" t="s">
        <v>25</v>
      </c>
    </row>
    <row r="1054" spans="15:15" hidden="1">
      <c r="O1054" s="30" t="s">
        <v>25</v>
      </c>
    </row>
    <row r="1055" spans="15:15" hidden="1">
      <c r="O1055" s="30" t="s">
        <v>25</v>
      </c>
    </row>
    <row r="1056" spans="15:15" hidden="1">
      <c r="O1056" s="30" t="s">
        <v>25</v>
      </c>
    </row>
    <row r="1057" spans="15:15" hidden="1">
      <c r="O1057" s="30" t="s">
        <v>25</v>
      </c>
    </row>
    <row r="1058" spans="15:15" hidden="1">
      <c r="O1058" s="30" t="s">
        <v>25</v>
      </c>
    </row>
    <row r="1059" spans="15:15" hidden="1">
      <c r="O1059" s="30" t="s">
        <v>25</v>
      </c>
    </row>
    <row r="1060" spans="15:15" hidden="1">
      <c r="O1060" s="30" t="s">
        <v>25</v>
      </c>
    </row>
    <row r="1061" spans="15:15" hidden="1">
      <c r="O1061" s="30" t="s">
        <v>25</v>
      </c>
    </row>
    <row r="1062" spans="15:15" hidden="1">
      <c r="O1062" s="30" t="s">
        <v>25</v>
      </c>
    </row>
    <row r="1063" spans="15:15" hidden="1">
      <c r="O1063" s="30" t="s">
        <v>25</v>
      </c>
    </row>
    <row r="1064" spans="15:15" hidden="1">
      <c r="O1064" s="30" t="s">
        <v>25</v>
      </c>
    </row>
    <row r="1065" spans="15:15" hidden="1">
      <c r="O1065" s="30" t="s">
        <v>25</v>
      </c>
    </row>
    <row r="1066" spans="15:15" hidden="1">
      <c r="O1066" s="30" t="s">
        <v>25</v>
      </c>
    </row>
    <row r="1067" spans="15:15" hidden="1">
      <c r="O1067" s="30" t="s">
        <v>25</v>
      </c>
    </row>
    <row r="1068" spans="15:15" hidden="1">
      <c r="O1068" s="30" t="s">
        <v>25</v>
      </c>
    </row>
    <row r="1069" spans="15:15" hidden="1">
      <c r="O1069" s="30" t="s">
        <v>25</v>
      </c>
    </row>
    <row r="1070" spans="15:15" hidden="1">
      <c r="O1070" s="30" t="s">
        <v>25</v>
      </c>
    </row>
    <row r="1071" spans="15:15" hidden="1">
      <c r="O1071" s="30" t="s">
        <v>25</v>
      </c>
    </row>
    <row r="1072" spans="15:15" hidden="1">
      <c r="O1072" s="30" t="s">
        <v>25</v>
      </c>
    </row>
    <row r="1073" spans="15:15" hidden="1">
      <c r="O1073" s="30" t="s">
        <v>25</v>
      </c>
    </row>
    <row r="1074" spans="15:15" hidden="1">
      <c r="O1074" s="30" t="s">
        <v>25</v>
      </c>
    </row>
    <row r="1075" spans="15:15" hidden="1">
      <c r="O1075" s="30" t="s">
        <v>25</v>
      </c>
    </row>
    <row r="1076" spans="15:15" hidden="1">
      <c r="O1076" s="30" t="s">
        <v>25</v>
      </c>
    </row>
    <row r="1077" spans="15:15" hidden="1">
      <c r="O1077" s="30" t="s">
        <v>25</v>
      </c>
    </row>
    <row r="1078" spans="15:15" hidden="1">
      <c r="O1078" s="30" t="s">
        <v>25</v>
      </c>
    </row>
    <row r="1079" spans="15:15" hidden="1">
      <c r="O1079" s="30" t="s">
        <v>25</v>
      </c>
    </row>
    <row r="1080" spans="15:15" hidden="1">
      <c r="O1080" s="30" t="s">
        <v>25</v>
      </c>
    </row>
    <row r="1081" spans="15:15" hidden="1">
      <c r="O1081" s="30" t="s">
        <v>25</v>
      </c>
    </row>
    <row r="1082" spans="15:15" hidden="1">
      <c r="O1082" s="30" t="s">
        <v>25</v>
      </c>
    </row>
    <row r="1083" spans="15:15" hidden="1">
      <c r="O1083" s="30" t="s">
        <v>25</v>
      </c>
    </row>
    <row r="1084" spans="15:15" hidden="1">
      <c r="O1084" s="30" t="s">
        <v>25</v>
      </c>
    </row>
    <row r="1085" spans="15:15" hidden="1">
      <c r="O1085" s="30" t="s">
        <v>25</v>
      </c>
    </row>
    <row r="1086" spans="15:15" hidden="1">
      <c r="O1086" s="30" t="s">
        <v>25</v>
      </c>
    </row>
    <row r="1087" spans="15:15" hidden="1">
      <c r="O1087" s="30" t="s">
        <v>25</v>
      </c>
    </row>
    <row r="1088" spans="15:15" hidden="1">
      <c r="O1088" s="30" t="s">
        <v>25</v>
      </c>
    </row>
    <row r="1089" spans="15:15" hidden="1">
      <c r="O1089" s="30" t="s">
        <v>25</v>
      </c>
    </row>
    <row r="1090" spans="15:15" hidden="1">
      <c r="O1090" s="30" t="s">
        <v>25</v>
      </c>
    </row>
    <row r="1091" spans="15:15" hidden="1">
      <c r="O1091" s="30" t="s">
        <v>25</v>
      </c>
    </row>
    <row r="1092" spans="15:15" hidden="1">
      <c r="O1092" s="30" t="s">
        <v>25</v>
      </c>
    </row>
    <row r="1093" spans="15:15" hidden="1">
      <c r="O1093" s="30" t="s">
        <v>25</v>
      </c>
    </row>
    <row r="1094" spans="15:15" hidden="1">
      <c r="O1094" s="30" t="s">
        <v>25</v>
      </c>
    </row>
    <row r="1095" spans="15:15" hidden="1">
      <c r="O1095" s="30" t="s">
        <v>25</v>
      </c>
    </row>
    <row r="1096" spans="15:15" hidden="1">
      <c r="O1096" s="30" t="s">
        <v>25</v>
      </c>
    </row>
    <row r="1097" spans="15:15" hidden="1">
      <c r="O1097" s="30" t="s">
        <v>25</v>
      </c>
    </row>
    <row r="1098" spans="15:15" hidden="1">
      <c r="O1098" s="30" t="s">
        <v>25</v>
      </c>
    </row>
    <row r="1099" spans="15:15" hidden="1">
      <c r="O1099" s="30" t="s">
        <v>25</v>
      </c>
    </row>
    <row r="1100" spans="15:15" hidden="1">
      <c r="O1100" s="30" t="s">
        <v>25</v>
      </c>
    </row>
    <row r="1101" spans="15:15" hidden="1">
      <c r="O1101" s="30" t="s">
        <v>25</v>
      </c>
    </row>
    <row r="1102" spans="15:15" hidden="1">
      <c r="O1102" s="30" t="s">
        <v>25</v>
      </c>
    </row>
    <row r="1103" spans="15:15" hidden="1">
      <c r="O1103" s="30" t="s">
        <v>25</v>
      </c>
    </row>
    <row r="1104" spans="15:15" hidden="1">
      <c r="O1104" s="30" t="s">
        <v>25</v>
      </c>
    </row>
    <row r="1105" spans="15:15" hidden="1">
      <c r="O1105" s="30" t="s">
        <v>25</v>
      </c>
    </row>
    <row r="1106" spans="15:15" hidden="1">
      <c r="O1106" s="30" t="s">
        <v>25</v>
      </c>
    </row>
    <row r="1107" spans="15:15" hidden="1">
      <c r="O1107" s="30" t="s">
        <v>25</v>
      </c>
    </row>
    <row r="1108" spans="15:15" hidden="1">
      <c r="O1108" s="30" t="s">
        <v>25</v>
      </c>
    </row>
    <row r="1109" spans="15:15" hidden="1">
      <c r="O1109" s="30" t="s">
        <v>25</v>
      </c>
    </row>
    <row r="1110" spans="15:15" hidden="1">
      <c r="O1110" s="30" t="s">
        <v>25</v>
      </c>
    </row>
    <row r="1111" spans="15:15" hidden="1">
      <c r="O1111" s="30" t="s">
        <v>25</v>
      </c>
    </row>
    <row r="1112" spans="15:15" hidden="1">
      <c r="O1112" s="30" t="s">
        <v>25</v>
      </c>
    </row>
    <row r="1113" spans="15:15" hidden="1">
      <c r="O1113" s="30" t="s">
        <v>25</v>
      </c>
    </row>
    <row r="1114" spans="15:15" hidden="1">
      <c r="O1114" s="30" t="s">
        <v>25</v>
      </c>
    </row>
    <row r="1115" spans="15:15" hidden="1">
      <c r="O1115" s="30" t="s">
        <v>25</v>
      </c>
    </row>
    <row r="1116" spans="15:15" hidden="1">
      <c r="O1116" s="30" t="s">
        <v>25</v>
      </c>
    </row>
    <row r="1117" spans="15:15" hidden="1">
      <c r="O1117" s="30" t="s">
        <v>25</v>
      </c>
    </row>
    <row r="1118" spans="15:15" hidden="1">
      <c r="O1118" s="30" t="s">
        <v>25</v>
      </c>
    </row>
    <row r="1119" spans="15:15" hidden="1">
      <c r="O1119" s="30" t="s">
        <v>25</v>
      </c>
    </row>
    <row r="1120" spans="15:15" hidden="1">
      <c r="O1120" s="30" t="s">
        <v>25</v>
      </c>
    </row>
    <row r="1121" spans="15:15" hidden="1">
      <c r="O1121" s="30" t="s">
        <v>25</v>
      </c>
    </row>
    <row r="1122" spans="15:15" hidden="1">
      <c r="O1122" s="30" t="s">
        <v>25</v>
      </c>
    </row>
    <row r="1123" spans="15:15" hidden="1">
      <c r="O1123" s="30" t="s">
        <v>25</v>
      </c>
    </row>
    <row r="1124" spans="15:15" hidden="1">
      <c r="O1124" s="30" t="s">
        <v>25</v>
      </c>
    </row>
    <row r="1125" spans="15:15" hidden="1">
      <c r="O1125" s="30" t="s">
        <v>25</v>
      </c>
    </row>
    <row r="1126" spans="15:15" hidden="1">
      <c r="O1126" s="30" t="s">
        <v>25</v>
      </c>
    </row>
    <row r="1127" spans="15:15" hidden="1">
      <c r="O1127" s="30" t="s">
        <v>25</v>
      </c>
    </row>
    <row r="1128" spans="15:15" hidden="1">
      <c r="O1128" s="30" t="s">
        <v>25</v>
      </c>
    </row>
    <row r="1129" spans="15:15" hidden="1">
      <c r="O1129" s="30" t="s">
        <v>25</v>
      </c>
    </row>
    <row r="1130" spans="15:15" hidden="1">
      <c r="O1130" s="30" t="s">
        <v>25</v>
      </c>
    </row>
    <row r="1131" spans="15:15" hidden="1">
      <c r="O1131" s="30" t="s">
        <v>25</v>
      </c>
    </row>
    <row r="1132" spans="15:15" hidden="1">
      <c r="O1132" s="30" t="s">
        <v>25</v>
      </c>
    </row>
    <row r="1133" spans="15:15" hidden="1">
      <c r="O1133" s="30" t="s">
        <v>25</v>
      </c>
    </row>
    <row r="1134" spans="15:15" hidden="1">
      <c r="O1134" s="30" t="s">
        <v>25</v>
      </c>
    </row>
    <row r="1135" spans="15:15" hidden="1">
      <c r="O1135" s="30" t="s">
        <v>25</v>
      </c>
    </row>
    <row r="1136" spans="15:15" hidden="1">
      <c r="O1136" s="30" t="s">
        <v>25</v>
      </c>
    </row>
    <row r="1137" spans="15:15" hidden="1">
      <c r="O1137" s="30" t="s">
        <v>25</v>
      </c>
    </row>
    <row r="1138" spans="15:15" hidden="1">
      <c r="O1138" s="30" t="s">
        <v>25</v>
      </c>
    </row>
    <row r="1139" spans="15:15" hidden="1">
      <c r="O1139" s="30" t="s">
        <v>25</v>
      </c>
    </row>
    <row r="1140" spans="15:15" hidden="1">
      <c r="O1140" s="30" t="s">
        <v>25</v>
      </c>
    </row>
    <row r="1141" spans="15:15" hidden="1">
      <c r="O1141" s="30" t="s">
        <v>25</v>
      </c>
    </row>
    <row r="1142" spans="15:15" hidden="1">
      <c r="O1142" s="30" t="s">
        <v>25</v>
      </c>
    </row>
    <row r="1143" spans="15:15" hidden="1">
      <c r="O1143" s="30" t="s">
        <v>25</v>
      </c>
    </row>
    <row r="1144" spans="15:15" hidden="1">
      <c r="O1144" s="30" t="s">
        <v>25</v>
      </c>
    </row>
    <row r="1145" spans="15:15" hidden="1">
      <c r="O1145" s="30" t="s">
        <v>25</v>
      </c>
    </row>
    <row r="1146" spans="15:15" hidden="1">
      <c r="O1146" s="30" t="s">
        <v>25</v>
      </c>
    </row>
    <row r="1147" spans="15:15" hidden="1">
      <c r="O1147" s="30" t="s">
        <v>25</v>
      </c>
    </row>
    <row r="1148" spans="15:15" hidden="1">
      <c r="O1148" s="30" t="s">
        <v>25</v>
      </c>
    </row>
    <row r="1149" spans="15:15" hidden="1">
      <c r="O1149" s="30" t="s">
        <v>25</v>
      </c>
    </row>
    <row r="1150" spans="15:15" hidden="1">
      <c r="O1150" s="30" t="s">
        <v>25</v>
      </c>
    </row>
    <row r="1151" spans="15:15" hidden="1">
      <c r="O1151" s="30" t="s">
        <v>25</v>
      </c>
    </row>
    <row r="1152" spans="15:15" hidden="1">
      <c r="O1152" s="30" t="s">
        <v>25</v>
      </c>
    </row>
    <row r="1153" spans="15:15" hidden="1">
      <c r="O1153" s="30" t="s">
        <v>25</v>
      </c>
    </row>
    <row r="1154" spans="15:15" hidden="1">
      <c r="O1154" s="30" t="s">
        <v>25</v>
      </c>
    </row>
    <row r="1155" spans="15:15" hidden="1">
      <c r="O1155" s="30" t="s">
        <v>25</v>
      </c>
    </row>
    <row r="1156" spans="15:15" hidden="1">
      <c r="O1156" s="30" t="s">
        <v>25</v>
      </c>
    </row>
    <row r="1157" spans="15:15" hidden="1">
      <c r="O1157" s="30" t="s">
        <v>25</v>
      </c>
    </row>
    <row r="1158" spans="15:15" hidden="1">
      <c r="O1158" s="30" t="s">
        <v>25</v>
      </c>
    </row>
    <row r="1159" spans="15:15" hidden="1">
      <c r="O1159" s="30" t="s">
        <v>25</v>
      </c>
    </row>
    <row r="1160" spans="15:15" hidden="1">
      <c r="O1160" s="30" t="s">
        <v>25</v>
      </c>
    </row>
    <row r="1161" spans="15:15" hidden="1">
      <c r="O1161" s="30" t="s">
        <v>25</v>
      </c>
    </row>
    <row r="1162" spans="15:15" hidden="1">
      <c r="O1162" s="30" t="s">
        <v>25</v>
      </c>
    </row>
    <row r="1163" spans="15:15" hidden="1">
      <c r="O1163" s="30" t="s">
        <v>25</v>
      </c>
    </row>
    <row r="1164" spans="15:15" hidden="1">
      <c r="O1164" s="30" t="s">
        <v>25</v>
      </c>
    </row>
    <row r="1165" spans="15:15" hidden="1">
      <c r="O1165" s="30" t="s">
        <v>25</v>
      </c>
    </row>
    <row r="1166" spans="15:15" hidden="1">
      <c r="O1166" s="30" t="s">
        <v>25</v>
      </c>
    </row>
    <row r="1167" spans="15:15" hidden="1">
      <c r="O1167" s="30" t="s">
        <v>25</v>
      </c>
    </row>
    <row r="1168" spans="15:15" hidden="1">
      <c r="O1168" s="30" t="s">
        <v>25</v>
      </c>
    </row>
    <row r="1169" spans="15:15" hidden="1">
      <c r="O1169" s="30" t="s">
        <v>25</v>
      </c>
    </row>
    <row r="1170" spans="15:15" hidden="1">
      <c r="O1170" s="30" t="s">
        <v>25</v>
      </c>
    </row>
    <row r="1171" spans="15:15" hidden="1">
      <c r="O1171" s="30" t="s">
        <v>25</v>
      </c>
    </row>
    <row r="1172" spans="15:15" hidden="1">
      <c r="O1172" s="30" t="s">
        <v>25</v>
      </c>
    </row>
    <row r="1173" spans="15:15" hidden="1">
      <c r="O1173" s="30" t="s">
        <v>25</v>
      </c>
    </row>
    <row r="1174" spans="15:15" hidden="1">
      <c r="O1174" s="30" t="s">
        <v>25</v>
      </c>
    </row>
    <row r="1175" spans="15:15" hidden="1">
      <c r="O1175" s="30" t="s">
        <v>25</v>
      </c>
    </row>
    <row r="1176" spans="15:15" hidden="1">
      <c r="O1176" s="30" t="s">
        <v>25</v>
      </c>
    </row>
    <row r="1177" spans="15:15" hidden="1">
      <c r="O1177" s="30" t="s">
        <v>25</v>
      </c>
    </row>
    <row r="1178" spans="15:15" hidden="1">
      <c r="O1178" s="30" t="s">
        <v>25</v>
      </c>
    </row>
    <row r="1179" spans="15:15" hidden="1">
      <c r="O1179" s="30" t="s">
        <v>25</v>
      </c>
    </row>
    <row r="1180" spans="15:15" hidden="1">
      <c r="O1180" s="30" t="s">
        <v>25</v>
      </c>
    </row>
    <row r="1181" spans="15:15" hidden="1">
      <c r="O1181" s="30" t="s">
        <v>25</v>
      </c>
    </row>
    <row r="1182" spans="15:15" hidden="1">
      <c r="O1182" s="30" t="s">
        <v>25</v>
      </c>
    </row>
    <row r="1183" spans="15:15" hidden="1">
      <c r="O1183" s="30" t="s">
        <v>25</v>
      </c>
    </row>
    <row r="1184" spans="15:15" hidden="1">
      <c r="O1184" s="30" t="s">
        <v>25</v>
      </c>
    </row>
    <row r="1185" spans="15:15" hidden="1">
      <c r="O1185" s="30" t="s">
        <v>25</v>
      </c>
    </row>
    <row r="1186" spans="15:15" hidden="1">
      <c r="O1186" s="30" t="s">
        <v>25</v>
      </c>
    </row>
    <row r="1187" spans="15:15" hidden="1">
      <c r="O1187" s="30" t="s">
        <v>25</v>
      </c>
    </row>
    <row r="1188" spans="15:15" hidden="1">
      <c r="O1188" s="30" t="s">
        <v>25</v>
      </c>
    </row>
    <row r="1189" spans="15:15" hidden="1">
      <c r="O1189" s="30" t="s">
        <v>25</v>
      </c>
    </row>
    <row r="1190" spans="15:15" hidden="1">
      <c r="O1190" s="30" t="s">
        <v>25</v>
      </c>
    </row>
    <row r="1191" spans="15:15" hidden="1">
      <c r="O1191" s="30" t="s">
        <v>25</v>
      </c>
    </row>
    <row r="1192" spans="15:15" hidden="1">
      <c r="O1192" s="30" t="s">
        <v>25</v>
      </c>
    </row>
    <row r="1193" spans="15:15" hidden="1">
      <c r="O1193" s="30" t="s">
        <v>25</v>
      </c>
    </row>
    <row r="1194" spans="15:15" hidden="1">
      <c r="O1194" s="30" t="s">
        <v>25</v>
      </c>
    </row>
    <row r="1195" spans="15:15" hidden="1">
      <c r="O1195" s="30" t="s">
        <v>25</v>
      </c>
    </row>
    <row r="1196" spans="15:15" hidden="1">
      <c r="O1196" s="30" t="s">
        <v>25</v>
      </c>
    </row>
    <row r="1197" spans="15:15" hidden="1">
      <c r="O1197" s="30" t="s">
        <v>25</v>
      </c>
    </row>
    <row r="1198" spans="15:15" hidden="1">
      <c r="O1198" s="30" t="s">
        <v>25</v>
      </c>
    </row>
    <row r="1199" spans="15:15" hidden="1">
      <c r="O1199" s="30" t="s">
        <v>25</v>
      </c>
    </row>
    <row r="1200" spans="15:15" hidden="1">
      <c r="O1200" s="30" t="s">
        <v>25</v>
      </c>
    </row>
    <row r="1201" spans="15:15" hidden="1">
      <c r="O1201" s="30" t="s">
        <v>25</v>
      </c>
    </row>
    <row r="1202" spans="15:15" hidden="1">
      <c r="O1202" s="30" t="s">
        <v>25</v>
      </c>
    </row>
    <row r="1203" spans="15:15" hidden="1">
      <c r="O1203" s="30" t="s">
        <v>25</v>
      </c>
    </row>
  </sheetData>
  <hyperlinks>
    <hyperlink ref="B9" r:id="rId1" xr:uid="{F788ACD6-056F-4C6C-A1D6-7B12972FF5E3}"/>
    <hyperlink ref="B23" r:id="rId2" xr:uid="{E4FB6513-2847-4D27-85E5-E9CA60B65B11}"/>
  </hyperlinks>
  <pageMargins left="0.7" right="0.7" top="0.75" bottom="0.75" header="0.3" footer="0.3"/>
  <pageSetup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Drop Down 2">
              <controlPr defaultSize="0" autoLine="0" autoPict="0">
                <anchor moveWithCells="1">
                  <from>
                    <xdr:col>2</xdr:col>
                    <xdr:colOff>869950</xdr:colOff>
                    <xdr:row>24</xdr:row>
                    <xdr:rowOff>177800</xdr:rowOff>
                  </from>
                  <to>
                    <xdr:col>2</xdr:col>
                    <xdr:colOff>1784350</xdr:colOff>
                    <xdr:row>26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876300</xdr:colOff>
                    <xdr:row>27</xdr:row>
                    <xdr:rowOff>0</xdr:rowOff>
                  </from>
                  <to>
                    <xdr:col>2</xdr:col>
                    <xdr:colOff>1790700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2</xdr:col>
                    <xdr:colOff>869950</xdr:colOff>
                    <xdr:row>29</xdr:row>
                    <xdr:rowOff>6350</xdr:rowOff>
                  </from>
                  <to>
                    <xdr:col>2</xdr:col>
                    <xdr:colOff>1784350</xdr:colOff>
                    <xdr:row>30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14FC0-0984-4894-B06A-612EAC82997F}">
  <sheetPr codeName="Sheet3"/>
  <dimension ref="A1:CZ30"/>
  <sheetViews>
    <sheetView topLeftCell="CM1" workbookViewId="0">
      <selection activeCell="CZ20" sqref="CZ20"/>
    </sheetView>
  </sheetViews>
  <sheetFormatPr defaultColWidth="6.1796875" defaultRowHeight="14.5" zeroHeight="1"/>
  <cols>
    <col min="1" max="26" width="5.81640625" style="33" customWidth="1"/>
    <col min="27" max="69" width="5.6328125" style="33" customWidth="1"/>
    <col min="70" max="70" width="8.6328125" style="33" customWidth="1"/>
    <col min="71" max="71" width="5.6328125" style="33" customWidth="1"/>
    <col min="72" max="72" width="8.6328125" style="33" customWidth="1"/>
    <col min="73" max="73" width="5.6328125" style="33" customWidth="1"/>
    <col min="74" max="74" width="5.6328125" style="33" hidden="1" customWidth="1"/>
    <col min="75" max="103" width="5.6328125" style="33" customWidth="1"/>
    <col min="104" max="104" width="8.6328125" style="33" customWidth="1"/>
    <col min="105" max="16384" width="6.1796875" style="33"/>
  </cols>
  <sheetData>
    <row r="1" spans="1:101">
      <c r="A1" s="32"/>
      <c r="B1" s="32"/>
      <c r="C1" s="32"/>
      <c r="D1" s="32"/>
      <c r="E1" s="32"/>
      <c r="F1" s="32"/>
      <c r="T1" s="32"/>
      <c r="U1" s="32"/>
      <c r="V1" s="32"/>
      <c r="W1" s="32"/>
      <c r="X1" s="32"/>
      <c r="Y1" s="32"/>
      <c r="AM1" s="32"/>
      <c r="AN1" s="32"/>
      <c r="AO1" s="32"/>
      <c r="AP1" s="32"/>
      <c r="AQ1" s="32"/>
      <c r="AR1" s="32"/>
      <c r="BF1" s="32"/>
      <c r="BG1" s="32"/>
      <c r="BH1" s="32"/>
      <c r="BI1" s="32"/>
      <c r="BJ1" s="32"/>
      <c r="BK1" s="32"/>
      <c r="BY1" s="32"/>
      <c r="BZ1" s="32"/>
      <c r="CA1" s="32"/>
      <c r="CB1" s="32"/>
      <c r="CC1" s="32"/>
      <c r="CD1" s="32"/>
      <c r="CR1" s="32"/>
      <c r="CS1" s="32"/>
      <c r="CT1" s="32"/>
      <c r="CU1" s="32"/>
      <c r="CV1" s="32"/>
      <c r="CW1" s="32"/>
    </row>
    <row r="2" spans="1:101">
      <c r="A2" s="32"/>
      <c r="B2" s="32"/>
      <c r="C2" s="32"/>
      <c r="D2" s="32"/>
      <c r="E2" s="32"/>
      <c r="F2" s="32"/>
      <c r="T2" s="32"/>
      <c r="U2" s="32"/>
      <c r="V2" s="32"/>
      <c r="W2" s="32"/>
      <c r="X2" s="32"/>
      <c r="Y2" s="32"/>
      <c r="AM2" s="32"/>
      <c r="AN2" s="32"/>
      <c r="AO2" s="32"/>
      <c r="AP2" s="32"/>
      <c r="AQ2" s="32"/>
      <c r="AR2" s="32"/>
      <c r="BF2" s="32"/>
      <c r="BG2" s="32"/>
      <c r="BH2" s="32"/>
      <c r="BI2" s="32"/>
      <c r="BJ2" s="32"/>
      <c r="BK2" s="32"/>
      <c r="BY2" s="32"/>
      <c r="BZ2" s="32"/>
      <c r="CA2" s="32"/>
      <c r="CB2" s="32"/>
      <c r="CC2" s="32"/>
      <c r="CD2" s="32"/>
      <c r="CR2" s="32"/>
      <c r="CS2" s="32"/>
      <c r="CT2" s="32"/>
      <c r="CU2" s="32"/>
      <c r="CV2" s="32"/>
      <c r="CW2" s="32"/>
    </row>
    <row r="3" spans="1:101">
      <c r="A3" s="32"/>
      <c r="B3" s="32"/>
      <c r="C3" s="32"/>
      <c r="D3" s="32"/>
      <c r="E3" s="32"/>
      <c r="F3" s="32"/>
      <c r="T3" s="32"/>
      <c r="U3" s="32"/>
      <c r="V3" s="32"/>
      <c r="W3" s="32"/>
      <c r="X3" s="32"/>
      <c r="Y3" s="32"/>
      <c r="AM3" s="32"/>
      <c r="AN3" s="32"/>
      <c r="AO3" s="32"/>
      <c r="AP3" s="32"/>
      <c r="AQ3" s="32"/>
      <c r="AR3" s="32"/>
      <c r="BF3" s="32"/>
      <c r="BG3" s="32"/>
      <c r="BH3" s="32"/>
      <c r="BI3" s="32"/>
      <c r="BJ3" s="32"/>
      <c r="BK3" s="32"/>
      <c r="BY3" s="32"/>
      <c r="BZ3" s="32"/>
      <c r="CA3" s="32"/>
      <c r="CB3" s="32"/>
      <c r="CC3" s="32"/>
      <c r="CD3" s="32"/>
      <c r="CR3" s="32"/>
      <c r="CS3" s="32"/>
      <c r="CT3" s="32"/>
      <c r="CU3" s="32"/>
      <c r="CV3" s="32"/>
      <c r="CW3" s="32"/>
    </row>
    <row r="4" spans="1:101">
      <c r="A4" s="32"/>
      <c r="B4" s="32"/>
      <c r="C4" s="32"/>
      <c r="D4" s="32"/>
      <c r="E4" s="32"/>
      <c r="F4" s="32"/>
      <c r="T4" s="32"/>
      <c r="U4" s="32"/>
      <c r="V4" s="32"/>
      <c r="W4" s="32"/>
      <c r="X4" s="32"/>
      <c r="Y4" s="32"/>
      <c r="AM4" s="32"/>
      <c r="AN4" s="32"/>
      <c r="AO4" s="32"/>
      <c r="AP4" s="32"/>
      <c r="AQ4" s="32"/>
      <c r="AR4" s="32"/>
      <c r="BF4" s="32"/>
      <c r="BG4" s="32"/>
      <c r="BH4" s="32"/>
      <c r="BI4" s="32"/>
      <c r="BJ4" s="32"/>
      <c r="BK4" s="32"/>
      <c r="BY4" s="32"/>
      <c r="BZ4" s="32"/>
      <c r="CA4" s="32"/>
      <c r="CB4" s="32"/>
      <c r="CC4" s="32"/>
      <c r="CD4" s="32"/>
      <c r="CR4" s="32"/>
      <c r="CS4" s="32"/>
      <c r="CT4" s="32"/>
      <c r="CU4" s="32"/>
      <c r="CV4" s="32"/>
      <c r="CW4" s="32"/>
    </row>
    <row r="5" spans="1:101">
      <c r="A5" s="32"/>
      <c r="B5" s="32"/>
      <c r="C5" s="32"/>
      <c r="D5" s="32"/>
      <c r="E5" s="32"/>
      <c r="F5" s="32"/>
      <c r="T5" s="32"/>
      <c r="U5" s="32"/>
      <c r="V5" s="32"/>
      <c r="W5" s="32"/>
      <c r="X5" s="32"/>
      <c r="Y5" s="32"/>
      <c r="AM5" s="32"/>
      <c r="AN5" s="32"/>
      <c r="AO5" s="32"/>
      <c r="AP5" s="32"/>
      <c r="AQ5" s="32"/>
      <c r="AR5" s="32"/>
      <c r="BF5" s="32"/>
      <c r="BG5" s="32"/>
      <c r="BH5" s="32"/>
      <c r="BI5" s="32"/>
      <c r="BJ5" s="32"/>
      <c r="BK5" s="32"/>
      <c r="BY5" s="32"/>
      <c r="BZ5" s="32"/>
      <c r="CA5" s="32"/>
      <c r="CB5" s="32"/>
      <c r="CC5" s="32"/>
      <c r="CD5" s="32"/>
      <c r="CR5" s="32"/>
      <c r="CS5" s="32"/>
      <c r="CT5" s="32"/>
      <c r="CU5" s="32"/>
      <c r="CV5" s="32"/>
      <c r="CW5" s="32"/>
    </row>
    <row r="6" spans="1:101">
      <c r="A6" s="32"/>
      <c r="B6" s="32"/>
      <c r="C6" s="32"/>
      <c r="D6" s="32"/>
      <c r="E6" s="32"/>
      <c r="F6" s="32"/>
      <c r="T6" s="32"/>
      <c r="U6" s="32"/>
      <c r="V6" s="32"/>
      <c r="W6" s="32"/>
      <c r="X6" s="32"/>
      <c r="Y6" s="32"/>
      <c r="AM6" s="32"/>
      <c r="AN6" s="32"/>
      <c r="AO6" s="32"/>
      <c r="AP6" s="32"/>
      <c r="AQ6" s="32"/>
      <c r="AR6" s="32"/>
      <c r="BF6" s="32"/>
      <c r="BG6" s="32"/>
      <c r="BH6" s="32"/>
      <c r="BI6" s="32"/>
      <c r="BJ6" s="32"/>
      <c r="BK6" s="32"/>
      <c r="BY6" s="32"/>
      <c r="BZ6" s="32"/>
      <c r="CA6" s="32"/>
      <c r="CB6" s="32"/>
      <c r="CC6" s="32"/>
      <c r="CD6" s="32"/>
      <c r="CR6" s="32"/>
      <c r="CS6" s="32"/>
      <c r="CT6" s="32"/>
      <c r="CU6" s="32"/>
      <c r="CV6" s="32"/>
      <c r="CW6" s="32"/>
    </row>
    <row r="7" spans="1:101" ht="15" thickBot="1">
      <c r="A7" s="32"/>
      <c r="B7" s="32"/>
      <c r="C7" s="32"/>
      <c r="D7" s="32"/>
      <c r="E7" s="32"/>
      <c r="F7" s="32"/>
      <c r="V7" s="66">
        <v>1</v>
      </c>
      <c r="W7" s="66">
        <v>1</v>
      </c>
      <c r="X7" s="66">
        <v>1</v>
      </c>
      <c r="Y7" s="66">
        <v>1</v>
      </c>
      <c r="Z7" s="66">
        <v>1</v>
      </c>
      <c r="AA7" s="66">
        <v>1</v>
      </c>
      <c r="AB7" s="66">
        <v>1</v>
      </c>
      <c r="AC7" s="66">
        <f>SUM(V7:AB7)</f>
        <v>7</v>
      </c>
      <c r="AD7" s="33">
        <f>SUM(V7:AB7)</f>
        <v>7</v>
      </c>
    </row>
    <row r="8" spans="1:101" ht="15.5">
      <c r="K8" s="35">
        <v>5</v>
      </c>
      <c r="V8" s="33" t="str">
        <f>Track</f>
        <v>XXXXX</v>
      </c>
      <c r="AC8" s="33" t="str">
        <f t="shared" ref="AC8:AC20" si="0">Track</f>
        <v>XXXXX</v>
      </c>
      <c r="CO8" s="33" t="str">
        <f>Track</f>
        <v>XXXXX</v>
      </c>
      <c r="CP8" s="33" t="str">
        <f>Track</f>
        <v>XXXXX</v>
      </c>
      <c r="CQ8" s="33" t="str">
        <f>Track</f>
        <v>XXXXX</v>
      </c>
      <c r="CR8" s="74" t="str">
        <f>EmptyCell</f>
        <v>-------</v>
      </c>
    </row>
    <row r="9" spans="1:101" ht="15" thickBot="1">
      <c r="K9" s="36">
        <v>4</v>
      </c>
      <c r="V9" s="33" t="str">
        <f>Track</f>
        <v>XXXXX</v>
      </c>
      <c r="AC9" s="33" t="str">
        <f t="shared" si="0"/>
        <v>XXXXX</v>
      </c>
      <c r="CO9" s="33" t="str">
        <f>Track</f>
        <v>XXXXX</v>
      </c>
    </row>
    <row r="10" spans="1:101" ht="15" thickBot="1">
      <c r="K10" s="37">
        <v>3</v>
      </c>
      <c r="V10" s="33" t="str">
        <f>Track</f>
        <v>XXXXX</v>
      </c>
      <c r="AC10" s="33" t="str">
        <f t="shared" si="0"/>
        <v>XXXXX</v>
      </c>
      <c r="AQ10" s="38">
        <v>12</v>
      </c>
      <c r="AR10" s="39">
        <v>16</v>
      </c>
      <c r="AS10" s="39">
        <v>5</v>
      </c>
      <c r="AT10" s="39">
        <v>4</v>
      </c>
      <c r="AU10" s="40">
        <v>9</v>
      </c>
      <c r="AY10" s="33">
        <v>2</v>
      </c>
      <c r="AZ10" s="33">
        <v>2</v>
      </c>
      <c r="BA10" s="46" cm="1">
        <f t="array" ref="BA10:BA15">_xlfn.SEQUENCE(6)</f>
        <v>1</v>
      </c>
      <c r="BB10" s="33">
        <f>SUM(AY10:BA10)</f>
        <v>5</v>
      </c>
      <c r="CO10" s="33" t="str">
        <f>Track</f>
        <v>XXXXX</v>
      </c>
    </row>
    <row r="11" spans="1:101" ht="16" thickBot="1">
      <c r="H11" s="33" t="str">
        <f>Track</f>
        <v>XXXXX</v>
      </c>
      <c r="I11" s="33" t="str">
        <f>Track</f>
        <v>XXXXX</v>
      </c>
      <c r="J11" s="33" t="str">
        <f>Track</f>
        <v>XXXXX</v>
      </c>
      <c r="K11" s="66">
        <f>SUM(K8:K10)</f>
        <v>12</v>
      </c>
      <c r="L11" s="33" t="str">
        <f>Track</f>
        <v>XXXXX</v>
      </c>
      <c r="M11" s="33" t="str">
        <f>Track</f>
        <v>XXXXX</v>
      </c>
      <c r="N11" s="33" t="str">
        <f>Track</f>
        <v>XXXXX</v>
      </c>
      <c r="O11" s="33" t="str">
        <f>Track</f>
        <v>XXXXX</v>
      </c>
      <c r="P11" s="33" t="str">
        <f>Track</f>
        <v>XXXXX</v>
      </c>
      <c r="Q11" s="66" cm="1">
        <f t="array" ref="Q11:U11">_xlfn.SEQUENCE(1,5)</f>
        <v>1</v>
      </c>
      <c r="R11" s="33">
        <v>2</v>
      </c>
      <c r="S11" s="33">
        <v>3</v>
      </c>
      <c r="T11" s="33">
        <v>4</v>
      </c>
      <c r="U11" s="33">
        <v>5</v>
      </c>
      <c r="V11" s="33" t="str">
        <f>Track</f>
        <v>XXXXX</v>
      </c>
      <c r="AC11" s="33" t="str">
        <f t="shared" si="0"/>
        <v>XXXXX</v>
      </c>
      <c r="AQ11" s="41">
        <v>7</v>
      </c>
      <c r="AR11" s="33">
        <v>17</v>
      </c>
      <c r="AS11" s="33">
        <v>2</v>
      </c>
      <c r="AT11" s="33">
        <v>1</v>
      </c>
      <c r="AU11" s="42">
        <v>2</v>
      </c>
      <c r="AY11" s="33">
        <v>2</v>
      </c>
      <c r="AZ11" s="33">
        <v>2</v>
      </c>
      <c r="BA11" s="46">
        <v>2</v>
      </c>
      <c r="BB11" s="33">
        <f t="shared" ref="BB11:BB15" si="1">SUM(AY11:BA11)</f>
        <v>6</v>
      </c>
      <c r="CL11" s="33" t="str">
        <f>Track</f>
        <v>XXXXX</v>
      </c>
      <c r="CM11" s="33" t="str">
        <f>Track</f>
        <v>XXXXX</v>
      </c>
      <c r="CN11" s="33" t="str">
        <f>Track</f>
        <v>XXXXX</v>
      </c>
      <c r="CO11" s="33" t="str">
        <f>Track</f>
        <v>XXXXX</v>
      </c>
      <c r="CT11" s="75" t="s">
        <v>57</v>
      </c>
      <c r="CU11" s="76" t="s">
        <v>57</v>
      </c>
    </row>
    <row r="12" spans="1:101">
      <c r="G12" s="33" t="str">
        <f>Track</f>
        <v>XXXXX</v>
      </c>
      <c r="H12" s="33" t="str">
        <f>Track</f>
        <v>XXXXX</v>
      </c>
      <c r="AC12" s="33" t="str">
        <f t="shared" si="0"/>
        <v>XXXXX</v>
      </c>
      <c r="AE12" s="38">
        <v>17</v>
      </c>
      <c r="AF12" s="39">
        <v>12</v>
      </c>
      <c r="AG12" s="39">
        <v>16</v>
      </c>
      <c r="AH12" s="39">
        <v>5</v>
      </c>
      <c r="AI12" s="39">
        <v>4</v>
      </c>
      <c r="AJ12" s="40">
        <v>9</v>
      </c>
      <c r="AQ12" s="41">
        <v>2</v>
      </c>
      <c r="AR12" s="33">
        <v>2</v>
      </c>
      <c r="AS12" s="33">
        <v>2</v>
      </c>
      <c r="AT12" s="33">
        <v>17</v>
      </c>
      <c r="AU12" s="42">
        <v>2</v>
      </c>
      <c r="AY12" s="33">
        <v>2</v>
      </c>
      <c r="AZ12" s="33">
        <v>2</v>
      </c>
      <c r="BA12" s="46">
        <v>3</v>
      </c>
      <c r="BB12" s="33">
        <f t="shared" si="1"/>
        <v>7</v>
      </c>
      <c r="CL12" s="33" t="str">
        <f>Track</f>
        <v>XXXXX</v>
      </c>
      <c r="CU12" s="33" t="s">
        <v>58</v>
      </c>
    </row>
    <row r="13" spans="1:101">
      <c r="B13" s="34" t="s">
        <v>59</v>
      </c>
      <c r="C13" s="33" t="str">
        <f>Track</f>
        <v>XXXXX</v>
      </c>
      <c r="D13" s="33" t="str">
        <f>Track</f>
        <v>XXXXX</v>
      </c>
      <c r="E13" s="33" t="str">
        <f>Track</f>
        <v>XXXXX</v>
      </c>
      <c r="F13" s="33" t="str">
        <f>Track</f>
        <v>XXXXX</v>
      </c>
      <c r="G13" s="33" t="str">
        <f>Track</f>
        <v>XXXXX</v>
      </c>
      <c r="AC13" s="33" t="str">
        <f t="shared" si="0"/>
        <v>XXXXX</v>
      </c>
      <c r="AE13" s="41">
        <v>12</v>
      </c>
      <c r="AF13" s="33">
        <v>7</v>
      </c>
      <c r="AG13" s="33">
        <v>17</v>
      </c>
      <c r="AH13" s="33">
        <v>6</v>
      </c>
      <c r="AI13" s="33">
        <v>1</v>
      </c>
      <c r="AJ13" s="42">
        <v>12</v>
      </c>
      <c r="AQ13" s="41">
        <v>19</v>
      </c>
      <c r="AR13" s="33">
        <v>8</v>
      </c>
      <c r="AS13" s="33">
        <v>12</v>
      </c>
      <c r="AT13" s="33">
        <v>2</v>
      </c>
      <c r="AU13" s="42">
        <v>13</v>
      </c>
      <c r="AY13" s="33">
        <v>2</v>
      </c>
      <c r="AZ13" s="33">
        <v>2</v>
      </c>
      <c r="BA13" s="46">
        <v>4</v>
      </c>
      <c r="BB13" s="33">
        <f t="shared" si="1"/>
        <v>8</v>
      </c>
      <c r="CL13" s="33" t="str">
        <f>Track</f>
        <v>XXXXX</v>
      </c>
      <c r="CU13" s="33" t="s">
        <v>58</v>
      </c>
    </row>
    <row r="14" spans="1:101">
      <c r="AC14" s="33" t="str">
        <f t="shared" si="0"/>
        <v>XXXXX</v>
      </c>
      <c r="AE14" s="41">
        <v>4</v>
      </c>
      <c r="AF14" s="33">
        <v>5</v>
      </c>
      <c r="AG14" s="33">
        <v>15</v>
      </c>
      <c r="AH14" s="33">
        <v>2</v>
      </c>
      <c r="AI14" s="33">
        <v>17</v>
      </c>
      <c r="AJ14" s="42">
        <v>2</v>
      </c>
      <c r="AQ14" s="41">
        <v>2</v>
      </c>
      <c r="AR14" s="33">
        <v>10</v>
      </c>
      <c r="AS14" s="33">
        <v>4</v>
      </c>
      <c r="AT14" s="33">
        <v>17</v>
      </c>
      <c r="AU14" s="42">
        <v>16</v>
      </c>
      <c r="AY14" s="33">
        <v>2</v>
      </c>
      <c r="AZ14" s="33">
        <v>2</v>
      </c>
      <c r="BA14" s="46">
        <v>5</v>
      </c>
      <c r="BB14" s="33">
        <f t="shared" si="1"/>
        <v>9</v>
      </c>
      <c r="BF14" s="46">
        <v>1010</v>
      </c>
      <c r="BG14" s="33" t="str">
        <f>Track</f>
        <v>XXXXX</v>
      </c>
      <c r="CI14" s="33" t="str">
        <f>Track</f>
        <v>XXXXX</v>
      </c>
      <c r="CJ14" s="33" t="str">
        <f>Track</f>
        <v>XXXXX</v>
      </c>
      <c r="CK14" s="33" t="str">
        <f>Track</f>
        <v>XXXXX</v>
      </c>
      <c r="CL14" s="33" t="str">
        <f>Track</f>
        <v>XXXXX</v>
      </c>
      <c r="CU14" s="33" t="s">
        <v>58</v>
      </c>
    </row>
    <row r="15" spans="1:101" ht="15" thickBot="1">
      <c r="AC15" s="33" t="str">
        <f t="shared" si="0"/>
        <v>XXXXX</v>
      </c>
      <c r="AE15" s="41">
        <v>20</v>
      </c>
      <c r="AF15" s="33">
        <v>19</v>
      </c>
      <c r="AG15" s="33">
        <v>8</v>
      </c>
      <c r="AH15" s="33">
        <v>12</v>
      </c>
      <c r="AI15" s="33">
        <v>13</v>
      </c>
      <c r="AJ15" s="42">
        <v>13</v>
      </c>
      <c r="AQ15" s="43">
        <v>5</v>
      </c>
      <c r="AR15" s="44">
        <v>8</v>
      </c>
      <c r="AS15" s="44">
        <v>2</v>
      </c>
      <c r="AT15" s="44">
        <v>11</v>
      </c>
      <c r="AU15" s="45">
        <v>7</v>
      </c>
      <c r="AY15" s="33">
        <v>2</v>
      </c>
      <c r="AZ15" s="33">
        <v>2</v>
      </c>
      <c r="BA15" s="46">
        <v>6</v>
      </c>
      <c r="BB15" s="33">
        <f t="shared" si="1"/>
        <v>10</v>
      </c>
      <c r="BF15" s="33" t="str">
        <f>Track</f>
        <v>XXXXX</v>
      </c>
      <c r="CI15" s="33" t="str">
        <f>Track</f>
        <v>XXXXX</v>
      </c>
      <c r="CU15" s="33" t="s">
        <v>58</v>
      </c>
    </row>
    <row r="16" spans="1:101">
      <c r="AC16" s="33" t="str">
        <f t="shared" si="0"/>
        <v>XXXXX</v>
      </c>
      <c r="AE16" s="41">
        <v>8</v>
      </c>
      <c r="AF16" s="33">
        <v>14</v>
      </c>
      <c r="AG16" s="33">
        <v>10</v>
      </c>
      <c r="AH16" s="33">
        <v>4</v>
      </c>
      <c r="AI16" s="33">
        <v>17</v>
      </c>
      <c r="AJ16" s="42">
        <v>16</v>
      </c>
      <c r="AU16" s="33" t="str">
        <f>Track</f>
        <v>XXXXX</v>
      </c>
      <c r="BA16" s="33" t="str">
        <f>Track</f>
        <v>XXXXX</v>
      </c>
      <c r="BF16" s="33" t="str">
        <f>Track</f>
        <v>XXXXX</v>
      </c>
      <c r="CI16" s="33" t="str">
        <f>Track</f>
        <v>XXXXX</v>
      </c>
      <c r="CU16" s="33" t="s">
        <v>58</v>
      </c>
    </row>
    <row r="17" spans="29:104" ht="15" thickBot="1">
      <c r="AC17" s="33" t="str">
        <f t="shared" si="0"/>
        <v>XXXXX</v>
      </c>
      <c r="AE17" s="43">
        <v>6</v>
      </c>
      <c r="AF17" s="44">
        <v>5</v>
      </c>
      <c r="AG17" s="44">
        <v>8</v>
      </c>
      <c r="AH17" s="44">
        <v>17</v>
      </c>
      <c r="AI17" s="44">
        <v>11</v>
      </c>
      <c r="AJ17" s="45">
        <v>7</v>
      </c>
      <c r="AU17" s="33" t="str">
        <f>Track</f>
        <v>XXXXX</v>
      </c>
      <c r="BA17" s="33" t="str">
        <f>Track</f>
        <v>XXXXX</v>
      </c>
      <c r="BE17" s="33" t="str">
        <f>Track</f>
        <v>XXXXX</v>
      </c>
      <c r="BF17" s="33" t="str">
        <f>Track</f>
        <v>XXXXX</v>
      </c>
      <c r="CF17" s="33" t="str">
        <f>Track</f>
        <v>XXXXX</v>
      </c>
      <c r="CG17" s="33" t="str">
        <f>Track</f>
        <v>XXXXX</v>
      </c>
      <c r="CH17" s="33" t="str">
        <f>Track</f>
        <v>XXXXX</v>
      </c>
      <c r="CI17" s="33" t="str">
        <f>Track</f>
        <v>XXXXX</v>
      </c>
      <c r="CU17" s="33" t="s">
        <v>58</v>
      </c>
    </row>
    <row r="18" spans="29:104" ht="15" thickBot="1">
      <c r="AC18" s="33" t="str">
        <f t="shared" si="0"/>
        <v>XXXXX</v>
      </c>
      <c r="AU18" s="33" t="str">
        <f>Track</f>
        <v>XXXXX</v>
      </c>
      <c r="BA18" s="33" t="str">
        <f>Track</f>
        <v>XXXXX</v>
      </c>
      <c r="BD18" s="33" t="str">
        <f>Track</f>
        <v>XXXXX</v>
      </c>
      <c r="BE18" s="33" t="str">
        <f>Track</f>
        <v>XXXXX</v>
      </c>
      <c r="BP18" s="67">
        <v>0.124</v>
      </c>
      <c r="BQ18" s="33" t="str">
        <f>Track</f>
        <v>XXXXX</v>
      </c>
      <c r="BR18" s="68">
        <v>12.4</v>
      </c>
      <c r="BS18" s="33" t="str">
        <f>Track</f>
        <v>XXXXX</v>
      </c>
      <c r="BT18" s="69">
        <v>44348</v>
      </c>
      <c r="BU18" s="33" t="str">
        <f>Track</f>
        <v>XXXXX</v>
      </c>
      <c r="BV18" s="33" t="str">
        <f>Track</f>
        <v>XXXXX</v>
      </c>
      <c r="BW18" s="71" t="str">
        <f>EmptyCell</f>
        <v>-------</v>
      </c>
      <c r="BX18" s="33" t="str">
        <f>Track</f>
        <v>XXXXX</v>
      </c>
      <c r="BY18" s="72" t="str">
        <f>EmptyCell</f>
        <v>-------</v>
      </c>
      <c r="BZ18" s="33" t="str">
        <f>Track</f>
        <v>XXXXX</v>
      </c>
      <c r="CA18" s="73" t="str">
        <f>EmptyCell</f>
        <v>-------</v>
      </c>
      <c r="CB18" s="33" t="str">
        <f>Track</f>
        <v>XXXXX</v>
      </c>
      <c r="CC18" s="70" t="str">
        <f>EmptyCell</f>
        <v>-------</v>
      </c>
      <c r="CF18" s="33" t="str">
        <f>Track</f>
        <v>XXXXX</v>
      </c>
      <c r="CU18" s="33" t="s">
        <v>58</v>
      </c>
    </row>
    <row r="19" spans="29:104">
      <c r="AC19" s="33" t="str">
        <f t="shared" si="0"/>
        <v>XXXXX</v>
      </c>
      <c r="AU19" s="33" t="str">
        <f>Track</f>
        <v>XXXXX</v>
      </c>
      <c r="BA19" s="33" t="str">
        <f>Track</f>
        <v>XXXXX</v>
      </c>
      <c r="BC19" s="33" t="str">
        <f>Track</f>
        <v>XXXXX</v>
      </c>
      <c r="BD19" s="33" t="str">
        <f>Track</f>
        <v>XXXXX</v>
      </c>
      <c r="BP19" s="33" t="str">
        <f>Track</f>
        <v>XXXXX</v>
      </c>
      <c r="CC19" s="33" t="str">
        <f>Track</f>
        <v>XXXXX</v>
      </c>
      <c r="CF19" s="33" t="str">
        <f>Track</f>
        <v>XXXXX</v>
      </c>
      <c r="CU19" s="33" t="s">
        <v>58</v>
      </c>
    </row>
    <row r="20" spans="29:104">
      <c r="AC20" s="33" t="str">
        <f t="shared" si="0"/>
        <v>XXXXX</v>
      </c>
      <c r="AD20" s="33" t="str">
        <f t="shared" ref="AD20:AI20" si="2">Track</f>
        <v>XXXXX</v>
      </c>
      <c r="AE20" s="33" t="str">
        <f t="shared" si="2"/>
        <v>XXXXX</v>
      </c>
      <c r="AF20" s="33" t="str">
        <f t="shared" si="2"/>
        <v>XXXXX</v>
      </c>
      <c r="AG20" s="33" t="str">
        <f t="shared" si="2"/>
        <v>XXXXX</v>
      </c>
      <c r="AH20" s="33" t="str">
        <f t="shared" si="2"/>
        <v>XXXXX</v>
      </c>
      <c r="AI20" s="33" t="str">
        <f t="shared" si="2"/>
        <v>XXXXX</v>
      </c>
      <c r="AJ20" s="46">
        <f>SUM(AE12:AJ17)</f>
        <v>371</v>
      </c>
      <c r="AK20" s="33" t="str">
        <f t="shared" ref="AK20:AT20" si="3">Track</f>
        <v>XXXXX</v>
      </c>
      <c r="AL20" s="33" t="str">
        <f t="shared" si="3"/>
        <v>XXXXX</v>
      </c>
      <c r="AM20" s="33" t="str">
        <f t="shared" si="3"/>
        <v>XXXXX</v>
      </c>
      <c r="AN20" s="33" t="str">
        <f t="shared" si="3"/>
        <v>XXXXX</v>
      </c>
      <c r="AO20" s="33" t="str">
        <f t="shared" si="3"/>
        <v>XXXXX</v>
      </c>
      <c r="AP20" s="33" t="str">
        <f t="shared" si="3"/>
        <v>XXXXX</v>
      </c>
      <c r="AQ20" s="33" t="str">
        <f t="shared" si="3"/>
        <v>XXXXX</v>
      </c>
      <c r="AR20" s="33" t="str">
        <f t="shared" si="3"/>
        <v>XXXXX</v>
      </c>
      <c r="AS20" s="33" t="str">
        <f t="shared" si="3"/>
        <v>XXXXX</v>
      </c>
      <c r="AT20" s="33" t="str">
        <f t="shared" si="3"/>
        <v>XXXXX</v>
      </c>
      <c r="AU20" s="33" t="str">
        <f>EmptyCell</f>
        <v>-------</v>
      </c>
      <c r="AV20" s="33" t="str">
        <f>Track</f>
        <v>XXXXX</v>
      </c>
      <c r="AW20" s="33" t="str">
        <f>Track</f>
        <v>XXXXX</v>
      </c>
      <c r="AX20" s="33" t="str">
        <f>Track</f>
        <v>XXXXX</v>
      </c>
      <c r="AY20" s="33" t="str">
        <f>Track</f>
        <v>XXXXX</v>
      </c>
      <c r="AZ20" s="33" t="str">
        <f>Track</f>
        <v>XXXXX</v>
      </c>
      <c r="BA20" s="33" t="str">
        <f>Track</f>
        <v>XXXXX</v>
      </c>
      <c r="BB20" s="33" t="str">
        <f>Track</f>
        <v>XXXXX</v>
      </c>
      <c r="BC20" s="33" t="str">
        <f>Track</f>
        <v>XXXXX</v>
      </c>
      <c r="BG20" s="33">
        <f t="shared" ref="BG20:BN20" si="4">IFERROR(_xlfn.SINGLE(GoExcel),"")</f>
        <v>1010</v>
      </c>
      <c r="BH20" s="33">
        <f t="shared" si="4"/>
        <v>1010</v>
      </c>
      <c r="BI20" s="33">
        <f t="shared" si="4"/>
        <v>1010</v>
      </c>
      <c r="BJ20" s="33">
        <f t="shared" si="4"/>
        <v>1010</v>
      </c>
      <c r="BK20" s="33">
        <f t="shared" si="4"/>
        <v>1010</v>
      </c>
      <c r="BL20" s="33">
        <f t="shared" si="4"/>
        <v>1010</v>
      </c>
      <c r="BM20" s="33">
        <f t="shared" si="4"/>
        <v>1010</v>
      </c>
      <c r="BN20" s="33">
        <f t="shared" si="4"/>
        <v>1010</v>
      </c>
      <c r="BO20" s="33" t="str">
        <f>Track</f>
        <v>XXXXX</v>
      </c>
      <c r="BP20" s="33" t="str">
        <f>Track</f>
        <v>XXXXX</v>
      </c>
      <c r="CC20" s="33" t="str">
        <f>Track</f>
        <v>XXXXX</v>
      </c>
      <c r="CD20" s="33" t="str">
        <f>Track</f>
        <v>XXXXX</v>
      </c>
      <c r="CE20" s="33" t="str">
        <f>Track</f>
        <v>XXXXX</v>
      </c>
      <c r="CF20" s="33" t="str">
        <f>Track</f>
        <v>XXXXX</v>
      </c>
      <c r="CU20" s="33" t="str">
        <f>Track</f>
        <v>XXXXX</v>
      </c>
      <c r="CV20" s="33" t="str">
        <f>Track</f>
        <v>XXXXX</v>
      </c>
      <c r="CW20" s="33" t="str">
        <f>Track</f>
        <v>XXXXX</v>
      </c>
      <c r="CX20" s="33" t="str">
        <f>Track</f>
        <v>XXXXX</v>
      </c>
      <c r="CY20" s="33" t="str">
        <f>Track</f>
        <v>XXXXX</v>
      </c>
      <c r="CZ20" s="47" t="s">
        <v>60</v>
      </c>
    </row>
    <row r="21" spans="29:104"/>
    <row r="22" spans="29:104"/>
    <row r="23" spans="29:104"/>
    <row r="24" spans="29:104"/>
    <row r="25" spans="29:104"/>
    <row r="26" spans="29:104"/>
    <row r="27" spans="29:104"/>
    <row r="28" spans="29:104"/>
    <row r="29" spans="29:104"/>
    <row r="30" spans="29:104"/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03C0-38C8-4BD9-AC7F-4C3A2C189A35}">
  <sheetPr codeName="Sheet7"/>
  <dimension ref="A1:XX1000"/>
  <sheetViews>
    <sheetView tabSelected="1" topLeftCell="A5" zoomScale="115" zoomScaleNormal="115" workbookViewId="0">
      <selection activeCell="B5" sqref="B5:E5"/>
    </sheetView>
  </sheetViews>
  <sheetFormatPr defaultColWidth="0" defaultRowHeight="14.5" zeroHeight="1"/>
  <cols>
    <col min="1" max="1" width="3.1796875" style="2" customWidth="1"/>
    <col min="2" max="2" width="19.81640625" style="7" customWidth="1"/>
    <col min="3" max="5" width="19.81640625" style="2" customWidth="1"/>
    <col min="6" max="6" width="3.1796875" style="2" customWidth="1"/>
    <col min="7" max="8" width="0" style="2" hidden="1" customWidth="1"/>
    <col min="9" max="26" width="8.81640625" style="2" hidden="1"/>
    <col min="27" max="69" width="5.81640625" style="2" hidden="1" customWidth="1"/>
    <col min="70" max="70" width="8.81640625" style="2" hidden="1" customWidth="1"/>
    <col min="71" max="71" width="5.81640625" style="2" hidden="1" customWidth="1"/>
    <col min="72" max="72" width="8.81640625" style="2" hidden="1" customWidth="1"/>
    <col min="73" max="103" width="5.81640625" style="2" hidden="1" customWidth="1"/>
    <col min="104" max="104" width="8.81640625" style="2" hidden="1" customWidth="1"/>
    <col min="105" max="16384" width="8.81640625" style="2" hidden="1"/>
  </cols>
  <sheetData>
    <row r="1" spans="1:99" ht="18.5">
      <c r="A1" s="12"/>
      <c r="B1" s="28"/>
      <c r="C1" s="12"/>
      <c r="D1" s="12"/>
      <c r="E1" s="12"/>
      <c r="F1" s="12"/>
    </row>
    <row r="2" spans="1:99" ht="18.5">
      <c r="A2" s="12"/>
      <c r="B2" s="28" t="str">
        <f>"Results for "&amp;SpreadsheetName</f>
        <v>Results for MECC Keyboarding Challenge</v>
      </c>
      <c r="C2" s="12"/>
      <c r="D2" s="12"/>
      <c r="E2" s="12"/>
      <c r="F2" s="12"/>
    </row>
    <row r="3" spans="1:99">
      <c r="A3" s="12"/>
      <c r="B3" s="27"/>
      <c r="C3" s="12"/>
      <c r="D3" s="12"/>
      <c r="E3" s="12"/>
      <c r="F3" s="12"/>
    </row>
    <row r="4" spans="1:99" ht="16" thickBot="1">
      <c r="A4" s="12"/>
      <c r="B4" s="49" t="s">
        <v>136</v>
      </c>
      <c r="C4" s="12"/>
      <c r="D4" s="12"/>
      <c r="E4" s="12"/>
      <c r="F4" s="12"/>
    </row>
    <row r="5" spans="1:99" ht="39.75" customHeight="1" thickBot="1">
      <c r="A5" s="12"/>
      <c r="B5" s="61" t="str">
        <f>BackgroundCalcs!D55</f>
        <v>I finished the MECC Keyboarding Challenge in 336 seconds. Sign up for the Microsoft Excel Collegiate Challenge and give it a try! #ExcelEsports #ExcelAtEller</v>
      </c>
      <c r="C5" s="59"/>
      <c r="D5" s="59"/>
      <c r="E5" s="60"/>
      <c r="F5" s="12"/>
    </row>
    <row r="6" spans="1:99" ht="15" thickBot="1">
      <c r="A6" s="12"/>
      <c r="B6" s="12"/>
      <c r="C6" s="12"/>
      <c r="D6" s="12"/>
      <c r="E6" s="12"/>
      <c r="F6" s="12"/>
    </row>
    <row r="7" spans="1:99">
      <c r="A7" s="12"/>
      <c r="B7" s="12"/>
      <c r="C7" s="64" t="str">
        <f>HYPERLINK(BackgroundCalcs!D65,"Post to Twitter")</f>
        <v>Post to Twitter</v>
      </c>
      <c r="D7" s="64" t="str">
        <f>HYPERLINK(BackgroundCalcs!D59,"Post to LinkedIn")</f>
        <v>Post to LinkedIn</v>
      </c>
      <c r="E7" s="12"/>
      <c r="F7" s="12"/>
    </row>
    <row r="8" spans="1:99" ht="15" thickBot="1">
      <c r="A8" s="12"/>
      <c r="B8" s="12"/>
      <c r="C8" s="65"/>
      <c r="D8" s="65"/>
      <c r="E8" s="12"/>
      <c r="F8" s="12"/>
      <c r="CT8" s="32"/>
      <c r="CU8" s="32"/>
    </row>
    <row r="9" spans="1:99">
      <c r="A9" s="12"/>
      <c r="B9" s="12"/>
      <c r="C9" s="12"/>
      <c r="D9" s="12"/>
      <c r="E9" s="12"/>
      <c r="F9" s="12"/>
    </row>
    <row r="10" spans="1:99">
      <c r="A10" s="12"/>
      <c r="B10" s="29" t="s">
        <v>15</v>
      </c>
      <c r="C10" s="12"/>
      <c r="D10" s="12"/>
      <c r="E10" s="12"/>
      <c r="F10" s="12"/>
    </row>
    <row r="11" spans="1:99" ht="15" thickBot="1">
      <c r="A11" s="12"/>
      <c r="B11" s="13" t="s">
        <v>16</v>
      </c>
      <c r="C11" s="13" t="s">
        <v>120</v>
      </c>
      <c r="D11" s="13" t="s">
        <v>38</v>
      </c>
      <c r="E11" s="13" t="s">
        <v>41</v>
      </c>
      <c r="F11" s="12"/>
      <c r="BF11" s="55"/>
    </row>
    <row r="12" spans="1:99">
      <c r="A12" s="12"/>
      <c r="B12" s="15">
        <v>44827.672638888886</v>
      </c>
      <c r="C12" s="14">
        <v>326</v>
      </c>
      <c r="D12" s="14">
        <v>1</v>
      </c>
      <c r="E12" s="16">
        <v>336</v>
      </c>
      <c r="F12" s="12"/>
    </row>
    <row r="13" spans="1:99">
      <c r="A13" s="12"/>
      <c r="B13" s="12"/>
      <c r="C13" s="12"/>
      <c r="D13" s="12"/>
      <c r="E13" s="12"/>
      <c r="F13" s="12"/>
    </row>
    <row r="14" spans="1:99" ht="15" thickBot="1">
      <c r="A14" s="12"/>
      <c r="B14" s="29" t="s">
        <v>121</v>
      </c>
      <c r="C14" s="12"/>
      <c r="D14" s="12"/>
      <c r="E14" s="12"/>
      <c r="F14" s="12"/>
    </row>
    <row r="15" spans="1:99" ht="15" thickBot="1">
      <c r="A15" s="12"/>
      <c r="B15" s="13" t="s">
        <v>16</v>
      </c>
      <c r="C15" s="13" t="s">
        <v>120</v>
      </c>
      <c r="D15" s="13" t="s">
        <v>38</v>
      </c>
      <c r="E15" s="13" t="s">
        <v>41</v>
      </c>
      <c r="F15" s="12"/>
      <c r="BP15" s="56"/>
      <c r="BR15" s="56"/>
      <c r="BT15" s="56"/>
      <c r="BW15" s="55"/>
      <c r="BY15" s="55"/>
      <c r="CA15" s="55"/>
      <c r="CC15" s="57"/>
    </row>
    <row r="16" spans="1:99">
      <c r="A16" s="12"/>
      <c r="B16" s="15">
        <f>IF(ISBLANK(B20),"",INDEX(B20:B138,MATCH(C16,C20:C138,0)))</f>
        <v>44827.672638888886</v>
      </c>
      <c r="C16" s="14">
        <f>IF(ISBLANK(C20),"",INDEX(C20:C138,MATCH($E$16,$E$20:$E$138,0)))</f>
        <v>326</v>
      </c>
      <c r="D16" s="14">
        <f>IF(ISBLANK(D20),"",INDEX(D20:D138,MATCH($E$16,$E$20:$E$138,0)))</f>
        <v>1</v>
      </c>
      <c r="E16" s="16">
        <f>IF(ISBLANK(E20),"",MIN(E20:E138))</f>
        <v>336</v>
      </c>
      <c r="F16" s="12"/>
    </row>
    <row r="17" spans="1:104">
      <c r="A17" s="12"/>
      <c r="B17" s="12"/>
      <c r="C17" s="12"/>
      <c r="D17" s="12"/>
      <c r="E17" s="12"/>
      <c r="F17" s="12"/>
      <c r="CZ17" s="55"/>
    </row>
    <row r="18" spans="1:104">
      <c r="A18" s="12"/>
      <c r="B18" s="29" t="s">
        <v>122</v>
      </c>
      <c r="C18" s="12"/>
      <c r="D18" s="12"/>
      <c r="E18" s="12"/>
      <c r="F18" s="12"/>
    </row>
    <row r="19" spans="1:104" ht="15" thickBot="1">
      <c r="A19" s="12"/>
      <c r="B19" s="13" t="s">
        <v>16</v>
      </c>
      <c r="C19" s="13" t="s">
        <v>120</v>
      </c>
      <c r="D19" s="13" t="s">
        <v>38</v>
      </c>
      <c r="E19" s="13" t="s">
        <v>41</v>
      </c>
      <c r="F19" s="12"/>
    </row>
    <row r="20" spans="1:104">
      <c r="A20" s="12"/>
      <c r="B20" s="15">
        <v>44824.344085648147</v>
      </c>
      <c r="C20" s="16">
        <v>909</v>
      </c>
      <c r="D20" s="16">
        <v>8</v>
      </c>
      <c r="E20" s="16">
        <v>989</v>
      </c>
      <c r="F20" s="12"/>
    </row>
    <row r="21" spans="1:104">
      <c r="A21" s="12"/>
      <c r="B21" s="15">
        <v>44824.793321759258</v>
      </c>
      <c r="C21" s="16">
        <v>664</v>
      </c>
      <c r="D21" s="16">
        <v>4</v>
      </c>
      <c r="E21" s="16">
        <v>704</v>
      </c>
      <c r="F21" s="12"/>
    </row>
    <row r="22" spans="1:104">
      <c r="A22" s="12"/>
      <c r="B22" s="15">
        <v>44827.666250000002</v>
      </c>
      <c r="C22" s="16">
        <v>511</v>
      </c>
      <c r="D22" s="16">
        <v>1</v>
      </c>
      <c r="E22" s="16">
        <v>521</v>
      </c>
      <c r="F22" s="12"/>
    </row>
    <row r="23" spans="1:104">
      <c r="A23" s="12"/>
      <c r="B23" s="15">
        <v>44827.672638888886</v>
      </c>
      <c r="C23" s="16">
        <v>326</v>
      </c>
      <c r="D23" s="16">
        <v>1</v>
      </c>
      <c r="E23" s="16">
        <v>336</v>
      </c>
      <c r="F23" s="12"/>
    </row>
    <row r="24" spans="1:104">
      <c r="A24" s="12"/>
      <c r="B24" s="15"/>
      <c r="C24" s="16"/>
      <c r="D24" s="16"/>
      <c r="E24" s="16"/>
      <c r="F24" s="12"/>
    </row>
    <row r="25" spans="1:104">
      <c r="A25" s="12"/>
      <c r="B25" s="15"/>
      <c r="C25" s="16"/>
      <c r="D25" s="16"/>
      <c r="E25" s="16"/>
      <c r="F25" s="12"/>
    </row>
    <row r="26" spans="1:104">
      <c r="A26" s="12"/>
      <c r="B26" s="15"/>
      <c r="C26" s="16"/>
      <c r="D26" s="16"/>
      <c r="E26" s="16"/>
      <c r="F26" s="12"/>
    </row>
    <row r="27" spans="1:104">
      <c r="A27" s="12"/>
      <c r="B27" s="15"/>
      <c r="C27" s="16"/>
      <c r="D27" s="16"/>
      <c r="E27" s="16"/>
      <c r="F27" s="12"/>
    </row>
    <row r="28" spans="1:104">
      <c r="A28" s="12"/>
      <c r="B28" s="15"/>
      <c r="C28" s="16"/>
      <c r="D28" s="16"/>
      <c r="E28" s="16"/>
      <c r="F28" s="12"/>
    </row>
    <row r="29" spans="1:104">
      <c r="A29" s="12"/>
      <c r="B29" s="15"/>
      <c r="C29" s="16"/>
      <c r="D29" s="16"/>
      <c r="E29" s="16"/>
      <c r="F29" s="12"/>
    </row>
    <row r="30" spans="1:104">
      <c r="A30" s="12"/>
      <c r="B30" s="15"/>
      <c r="C30" s="16"/>
      <c r="D30" s="16"/>
      <c r="E30" s="16"/>
      <c r="F30" s="12"/>
    </row>
    <row r="31" spans="1:104">
      <c r="A31" s="12"/>
      <c r="B31" s="15"/>
      <c r="C31" s="16"/>
      <c r="D31" s="16"/>
      <c r="E31" s="16"/>
      <c r="F31" s="12"/>
    </row>
    <row r="32" spans="1:104">
      <c r="A32" s="12"/>
      <c r="B32" s="15"/>
      <c r="C32" s="16"/>
      <c r="D32" s="16"/>
      <c r="E32" s="16"/>
      <c r="F32" s="12"/>
    </row>
    <row r="33" spans="1:6">
      <c r="A33" s="12"/>
      <c r="B33" s="15"/>
      <c r="C33" s="16"/>
      <c r="D33" s="16"/>
      <c r="E33" s="16"/>
      <c r="F33" s="12"/>
    </row>
    <row r="34" spans="1:6">
      <c r="A34" s="12"/>
      <c r="B34" s="15"/>
      <c r="C34" s="16"/>
      <c r="D34" s="16"/>
      <c r="E34" s="16"/>
      <c r="F34" s="12"/>
    </row>
    <row r="35" spans="1:6">
      <c r="A35" s="12"/>
      <c r="B35" s="15"/>
      <c r="C35" s="16"/>
      <c r="D35" s="16"/>
      <c r="E35" s="16"/>
      <c r="F35" s="12"/>
    </row>
    <row r="36" spans="1:6">
      <c r="A36" s="12"/>
      <c r="B36" s="15"/>
      <c r="C36" s="16"/>
      <c r="D36" s="16"/>
      <c r="E36" s="16"/>
      <c r="F36" s="12"/>
    </row>
    <row r="37" spans="1:6">
      <c r="A37" s="12"/>
      <c r="B37" s="15"/>
      <c r="C37" s="16"/>
      <c r="D37" s="16"/>
      <c r="E37" s="16"/>
      <c r="F37" s="12"/>
    </row>
    <row r="38" spans="1:6">
      <c r="A38" s="12"/>
      <c r="B38" s="15"/>
      <c r="C38" s="16"/>
      <c r="D38" s="16"/>
      <c r="E38" s="16"/>
      <c r="F38" s="12"/>
    </row>
    <row r="39" spans="1:6">
      <c r="A39" s="12"/>
      <c r="B39" s="15"/>
      <c r="C39" s="16"/>
      <c r="D39" s="16"/>
      <c r="E39" s="16"/>
      <c r="F39" s="12"/>
    </row>
    <row r="40" spans="1:6">
      <c r="A40" s="12"/>
      <c r="B40" s="15"/>
      <c r="C40" s="16"/>
      <c r="D40" s="16"/>
      <c r="E40" s="16"/>
      <c r="F40" s="12"/>
    </row>
    <row r="41" spans="1:6">
      <c r="A41" s="12"/>
      <c r="B41" s="15"/>
      <c r="C41" s="16"/>
      <c r="D41" s="16"/>
      <c r="E41" s="16"/>
      <c r="F41" s="12"/>
    </row>
    <row r="42" spans="1:6">
      <c r="A42" s="12"/>
      <c r="B42" s="15"/>
      <c r="C42" s="16"/>
      <c r="D42" s="16"/>
      <c r="E42" s="16"/>
      <c r="F42" s="12"/>
    </row>
    <row r="43" spans="1:6">
      <c r="A43" s="12"/>
      <c r="B43" s="15"/>
      <c r="C43" s="16"/>
      <c r="D43" s="16"/>
      <c r="E43" s="16"/>
      <c r="F43" s="12"/>
    </row>
    <row r="44" spans="1:6">
      <c r="A44" s="12"/>
      <c r="B44" s="15"/>
      <c r="C44" s="16"/>
      <c r="D44" s="16"/>
      <c r="E44" s="16"/>
      <c r="F44" s="12"/>
    </row>
    <row r="45" spans="1:6">
      <c r="A45" s="12"/>
      <c r="B45" s="15"/>
      <c r="C45" s="16"/>
      <c r="D45" s="16"/>
      <c r="E45" s="16"/>
      <c r="F45" s="12"/>
    </row>
    <row r="46" spans="1:6">
      <c r="A46" s="12"/>
      <c r="B46" s="15"/>
      <c r="C46" s="16"/>
      <c r="D46" s="16"/>
      <c r="E46" s="16"/>
      <c r="F46" s="12"/>
    </row>
    <row r="47" spans="1:6">
      <c r="A47" s="12"/>
      <c r="B47" s="15"/>
      <c r="C47" s="16"/>
      <c r="D47" s="16"/>
      <c r="E47" s="16"/>
      <c r="F47" s="12"/>
    </row>
    <row r="48" spans="1:6">
      <c r="A48" s="12"/>
      <c r="B48" s="15"/>
      <c r="C48" s="16"/>
      <c r="D48" s="16"/>
      <c r="E48" s="16"/>
      <c r="F48" s="12"/>
    </row>
    <row r="49" spans="1:6">
      <c r="A49" s="12"/>
      <c r="B49" s="15"/>
      <c r="C49" s="16"/>
      <c r="D49" s="16"/>
      <c r="E49" s="16"/>
      <c r="F49" s="12"/>
    </row>
    <row r="50" spans="1:6">
      <c r="A50" s="12"/>
      <c r="B50" s="15"/>
      <c r="C50" s="16"/>
      <c r="D50" s="16"/>
      <c r="E50" s="16"/>
      <c r="F50" s="12"/>
    </row>
    <row r="51" spans="1:6">
      <c r="A51" s="12"/>
      <c r="B51" s="15"/>
      <c r="C51" s="16"/>
      <c r="D51" s="16"/>
      <c r="E51" s="16"/>
      <c r="F51" s="12"/>
    </row>
    <row r="52" spans="1:6">
      <c r="A52" s="12"/>
      <c r="B52" s="15"/>
      <c r="C52" s="16"/>
      <c r="D52" s="16"/>
      <c r="E52" s="16"/>
      <c r="F52" s="12"/>
    </row>
    <row r="53" spans="1:6">
      <c r="A53" s="12"/>
      <c r="B53" s="15"/>
      <c r="C53" s="16"/>
      <c r="D53" s="16"/>
      <c r="E53" s="16"/>
      <c r="F53" s="12"/>
    </row>
    <row r="54" spans="1:6">
      <c r="A54" s="12"/>
      <c r="B54" s="15"/>
      <c r="C54" s="16"/>
      <c r="D54" s="16"/>
      <c r="E54" s="16"/>
      <c r="F54" s="12"/>
    </row>
    <row r="55" spans="1:6">
      <c r="A55" s="12"/>
      <c r="B55" s="15"/>
      <c r="C55" s="16"/>
      <c r="D55" s="16"/>
      <c r="E55" s="16"/>
      <c r="F55" s="12"/>
    </row>
    <row r="56" spans="1:6">
      <c r="A56" s="12"/>
      <c r="B56" s="15"/>
      <c r="C56" s="16"/>
      <c r="D56" s="16"/>
      <c r="E56" s="16"/>
      <c r="F56" s="12"/>
    </row>
    <row r="57" spans="1:6">
      <c r="A57" s="12"/>
      <c r="B57" s="15"/>
      <c r="C57" s="16"/>
      <c r="D57" s="16"/>
      <c r="E57" s="16"/>
      <c r="F57" s="12"/>
    </row>
    <row r="58" spans="1:6">
      <c r="A58" s="12"/>
      <c r="B58" s="15"/>
      <c r="C58" s="16"/>
      <c r="D58" s="16"/>
      <c r="E58" s="16"/>
      <c r="F58" s="12"/>
    </row>
    <row r="59" spans="1:6">
      <c r="A59" s="12"/>
      <c r="B59" s="15"/>
      <c r="C59" s="16"/>
      <c r="D59" s="16"/>
      <c r="E59" s="16"/>
      <c r="F59" s="12"/>
    </row>
    <row r="60" spans="1:6">
      <c r="A60" s="12"/>
      <c r="B60" s="15"/>
      <c r="C60" s="16"/>
      <c r="D60" s="16"/>
      <c r="E60" s="16"/>
      <c r="F60" s="12"/>
    </row>
    <row r="61" spans="1:6">
      <c r="A61" s="12"/>
      <c r="B61" s="15"/>
      <c r="C61" s="16"/>
      <c r="D61" s="16"/>
      <c r="E61" s="16"/>
      <c r="F61" s="12"/>
    </row>
    <row r="62" spans="1:6">
      <c r="A62" s="12"/>
      <c r="B62" s="15"/>
      <c r="C62" s="16"/>
      <c r="D62" s="16"/>
      <c r="E62" s="16"/>
      <c r="F62" s="12"/>
    </row>
    <row r="63" spans="1:6">
      <c r="A63" s="12"/>
      <c r="B63" s="15"/>
      <c r="C63" s="16"/>
      <c r="D63" s="16"/>
      <c r="E63" s="16"/>
      <c r="F63" s="12"/>
    </row>
    <row r="64" spans="1:6">
      <c r="A64" s="12"/>
      <c r="B64" s="15"/>
      <c r="C64" s="16"/>
      <c r="D64" s="16"/>
      <c r="E64" s="16"/>
      <c r="F64" s="12"/>
    </row>
    <row r="65" spans="1:6">
      <c r="A65" s="12"/>
      <c r="B65" s="15"/>
      <c r="C65" s="16"/>
      <c r="D65" s="16"/>
      <c r="E65" s="16"/>
      <c r="F65" s="12"/>
    </row>
    <row r="66" spans="1:6">
      <c r="A66" s="12"/>
      <c r="B66" s="15"/>
      <c r="C66" s="16"/>
      <c r="D66" s="16"/>
      <c r="E66" s="16"/>
      <c r="F66" s="12"/>
    </row>
    <row r="67" spans="1:6">
      <c r="A67" s="12"/>
      <c r="B67" s="15"/>
      <c r="C67" s="16"/>
      <c r="D67" s="16"/>
      <c r="E67" s="16"/>
      <c r="F67" s="12"/>
    </row>
    <row r="68" spans="1:6">
      <c r="A68" s="12"/>
      <c r="B68" s="15"/>
      <c r="C68" s="16"/>
      <c r="D68" s="16"/>
      <c r="E68" s="16"/>
      <c r="F68" s="12"/>
    </row>
    <row r="69" spans="1:6">
      <c r="A69" s="12"/>
      <c r="B69" s="15"/>
      <c r="C69" s="16"/>
      <c r="D69" s="16"/>
      <c r="E69" s="16"/>
      <c r="F69" s="12"/>
    </row>
    <row r="70" spans="1:6">
      <c r="A70" s="12"/>
      <c r="B70" s="15"/>
      <c r="C70" s="16"/>
      <c r="D70" s="16"/>
      <c r="E70" s="16"/>
      <c r="F70" s="12"/>
    </row>
    <row r="71" spans="1:6">
      <c r="A71" s="12"/>
      <c r="B71" s="15"/>
      <c r="C71" s="16"/>
      <c r="D71" s="16"/>
      <c r="E71" s="16"/>
      <c r="F71" s="12"/>
    </row>
    <row r="72" spans="1:6">
      <c r="A72" s="12"/>
      <c r="B72" s="15"/>
      <c r="C72" s="16"/>
      <c r="D72" s="16"/>
      <c r="E72" s="16"/>
      <c r="F72" s="12"/>
    </row>
    <row r="73" spans="1:6">
      <c r="A73" s="12"/>
      <c r="B73" s="15"/>
      <c r="C73" s="16"/>
      <c r="D73" s="16"/>
      <c r="E73" s="16"/>
      <c r="F73" s="12"/>
    </row>
    <row r="74" spans="1:6">
      <c r="A74" s="12"/>
      <c r="B74" s="15"/>
      <c r="C74" s="16"/>
      <c r="D74" s="16"/>
      <c r="E74" s="16"/>
      <c r="F74" s="12"/>
    </row>
    <row r="75" spans="1:6">
      <c r="A75" s="12"/>
      <c r="B75" s="15"/>
      <c r="C75" s="16"/>
      <c r="D75" s="16"/>
      <c r="E75" s="16"/>
      <c r="F75" s="12"/>
    </row>
    <row r="76" spans="1:6">
      <c r="A76" s="12"/>
      <c r="B76" s="15"/>
      <c r="C76" s="16"/>
      <c r="D76" s="16"/>
      <c r="E76" s="16"/>
      <c r="F76" s="12"/>
    </row>
    <row r="77" spans="1:6">
      <c r="A77" s="12"/>
      <c r="B77" s="15"/>
      <c r="C77" s="16"/>
      <c r="D77" s="16"/>
      <c r="E77" s="16"/>
      <c r="F77" s="12"/>
    </row>
    <row r="78" spans="1:6">
      <c r="A78" s="12"/>
      <c r="B78" s="15"/>
      <c r="C78" s="16"/>
      <c r="D78" s="16"/>
      <c r="E78" s="16"/>
      <c r="F78" s="12"/>
    </row>
    <row r="79" spans="1:6">
      <c r="A79" s="12"/>
      <c r="B79" s="15"/>
      <c r="C79" s="16"/>
      <c r="D79" s="16"/>
      <c r="E79" s="16"/>
      <c r="F79" s="12"/>
    </row>
    <row r="80" spans="1:6">
      <c r="A80" s="12"/>
      <c r="B80" s="15"/>
      <c r="C80" s="16"/>
      <c r="D80" s="16"/>
      <c r="E80" s="16"/>
      <c r="F80" s="12"/>
    </row>
    <row r="81" spans="1:6">
      <c r="A81" s="12"/>
      <c r="B81" s="15"/>
      <c r="C81" s="16"/>
      <c r="D81" s="16"/>
      <c r="E81" s="16"/>
      <c r="F81" s="12"/>
    </row>
    <row r="82" spans="1:6">
      <c r="A82" s="12"/>
      <c r="B82" s="15"/>
      <c r="C82" s="16"/>
      <c r="D82" s="16"/>
      <c r="E82" s="16"/>
      <c r="F82" s="12"/>
    </row>
    <row r="83" spans="1:6">
      <c r="A83" s="12"/>
      <c r="B83" s="15"/>
      <c r="C83" s="16"/>
      <c r="D83" s="16"/>
      <c r="E83" s="16"/>
      <c r="F83" s="12"/>
    </row>
    <row r="84" spans="1:6">
      <c r="A84" s="12"/>
      <c r="B84" s="15"/>
      <c r="C84" s="16"/>
      <c r="D84" s="16"/>
      <c r="E84" s="16"/>
      <c r="F84" s="12"/>
    </row>
    <row r="85" spans="1:6">
      <c r="A85" s="12"/>
      <c r="B85" s="15"/>
      <c r="C85" s="16"/>
      <c r="D85" s="16"/>
      <c r="E85" s="16"/>
      <c r="F85" s="12"/>
    </row>
    <row r="86" spans="1:6">
      <c r="A86" s="12"/>
      <c r="B86" s="15"/>
      <c r="C86" s="16"/>
      <c r="D86" s="16"/>
      <c r="E86" s="16"/>
      <c r="F86" s="12"/>
    </row>
    <row r="87" spans="1:6">
      <c r="A87" s="12"/>
      <c r="B87" s="15"/>
      <c r="C87" s="16"/>
      <c r="D87" s="16"/>
      <c r="E87" s="16"/>
      <c r="F87" s="12"/>
    </row>
    <row r="88" spans="1:6">
      <c r="A88" s="12"/>
      <c r="B88" s="15"/>
      <c r="C88" s="16"/>
      <c r="D88" s="16"/>
      <c r="E88" s="16"/>
      <c r="F88" s="12"/>
    </row>
    <row r="89" spans="1:6">
      <c r="A89" s="12"/>
      <c r="B89" s="15"/>
      <c r="C89" s="16"/>
      <c r="D89" s="16"/>
      <c r="E89" s="16"/>
      <c r="F89" s="12"/>
    </row>
    <row r="90" spans="1:6">
      <c r="A90" s="12"/>
      <c r="B90" s="15"/>
      <c r="C90" s="16"/>
      <c r="D90" s="16"/>
      <c r="E90" s="16"/>
      <c r="F90" s="12"/>
    </row>
    <row r="91" spans="1:6">
      <c r="A91" s="12"/>
      <c r="B91" s="15"/>
      <c r="C91" s="16"/>
      <c r="D91" s="16"/>
      <c r="E91" s="16"/>
      <c r="F91" s="12"/>
    </row>
    <row r="92" spans="1:6">
      <c r="A92" s="12"/>
      <c r="B92" s="15"/>
      <c r="C92" s="16"/>
      <c r="D92" s="16"/>
      <c r="E92" s="16"/>
      <c r="F92" s="12"/>
    </row>
    <row r="93" spans="1:6">
      <c r="A93" s="12"/>
      <c r="B93" s="15"/>
      <c r="C93" s="16"/>
      <c r="D93" s="16"/>
      <c r="E93" s="16"/>
      <c r="F93" s="12"/>
    </row>
    <row r="94" spans="1:6">
      <c r="A94" s="12"/>
      <c r="B94" s="15"/>
      <c r="C94" s="16"/>
      <c r="D94" s="16"/>
      <c r="E94" s="16"/>
      <c r="F94" s="12"/>
    </row>
    <row r="95" spans="1:6">
      <c r="A95" s="12"/>
      <c r="B95" s="15"/>
      <c r="C95" s="16"/>
      <c r="D95" s="16"/>
      <c r="E95" s="16"/>
      <c r="F95" s="12"/>
    </row>
    <row r="96" spans="1:6">
      <c r="A96" s="12"/>
      <c r="B96" s="15"/>
      <c r="C96" s="16"/>
      <c r="D96" s="16"/>
      <c r="E96" s="16"/>
      <c r="F96" s="12"/>
    </row>
    <row r="97" spans="1:6">
      <c r="A97" s="12"/>
      <c r="B97" s="15"/>
      <c r="C97" s="16"/>
      <c r="D97" s="16"/>
      <c r="E97" s="16"/>
      <c r="F97" s="12"/>
    </row>
    <row r="98" spans="1:6">
      <c r="A98" s="12"/>
      <c r="B98" s="15"/>
      <c r="C98" s="16"/>
      <c r="D98" s="16"/>
      <c r="E98" s="16"/>
      <c r="F98" s="12"/>
    </row>
    <row r="99" spans="1:6">
      <c r="A99" s="12"/>
      <c r="B99" s="15"/>
      <c r="C99" s="16"/>
      <c r="D99" s="16"/>
      <c r="E99" s="16"/>
      <c r="F99" s="12"/>
    </row>
    <row r="100" spans="1:6">
      <c r="A100" s="12"/>
      <c r="B100" s="15"/>
      <c r="C100" s="16"/>
      <c r="D100" s="16"/>
      <c r="E100" s="16"/>
      <c r="F100" s="12"/>
    </row>
    <row r="101" spans="1:6">
      <c r="A101" s="12"/>
      <c r="B101" s="15"/>
      <c r="C101" s="16"/>
      <c r="D101" s="16"/>
      <c r="E101" s="16"/>
      <c r="F101" s="12"/>
    </row>
    <row r="102" spans="1:6">
      <c r="A102" s="12"/>
      <c r="B102" s="15"/>
      <c r="C102" s="16"/>
      <c r="D102" s="16"/>
      <c r="E102" s="16"/>
      <c r="F102" s="12"/>
    </row>
    <row r="103" spans="1:6">
      <c r="A103" s="12"/>
      <c r="B103" s="15"/>
      <c r="C103" s="16"/>
      <c r="D103" s="16"/>
      <c r="E103" s="16"/>
      <c r="F103" s="12"/>
    </row>
    <row r="104" spans="1:6">
      <c r="A104" s="12"/>
      <c r="B104" s="15"/>
      <c r="C104" s="16"/>
      <c r="D104" s="16"/>
      <c r="E104" s="16"/>
      <c r="F104" s="12"/>
    </row>
    <row r="105" spans="1:6">
      <c r="A105" s="12"/>
      <c r="B105" s="15"/>
      <c r="C105" s="16"/>
      <c r="D105" s="16"/>
      <c r="E105" s="16"/>
      <c r="F105" s="12"/>
    </row>
    <row r="106" spans="1:6">
      <c r="A106" s="12"/>
      <c r="B106" s="15"/>
      <c r="C106" s="16"/>
      <c r="D106" s="16"/>
      <c r="E106" s="16"/>
      <c r="F106" s="12"/>
    </row>
    <row r="107" spans="1:6">
      <c r="A107" s="12"/>
      <c r="B107" s="15"/>
      <c r="C107" s="16"/>
      <c r="D107" s="16"/>
      <c r="E107" s="16"/>
      <c r="F107" s="12"/>
    </row>
    <row r="108" spans="1:6">
      <c r="A108" s="12"/>
      <c r="B108" s="15"/>
      <c r="C108" s="16"/>
      <c r="D108" s="16"/>
      <c r="E108" s="16"/>
      <c r="F108" s="12"/>
    </row>
    <row r="109" spans="1:6">
      <c r="A109" s="12"/>
      <c r="B109" s="15"/>
      <c r="C109" s="16"/>
      <c r="D109" s="16"/>
      <c r="E109" s="16"/>
      <c r="F109" s="12"/>
    </row>
    <row r="110" spans="1:6">
      <c r="A110" s="12"/>
      <c r="B110" s="15"/>
      <c r="C110" s="16"/>
      <c r="D110" s="16"/>
      <c r="E110" s="16"/>
      <c r="F110" s="12"/>
    </row>
    <row r="111" spans="1:6">
      <c r="A111" s="12"/>
      <c r="B111" s="15"/>
      <c r="C111" s="16"/>
      <c r="D111" s="16"/>
      <c r="E111" s="16"/>
      <c r="F111" s="12"/>
    </row>
    <row r="112" spans="1:6">
      <c r="A112" s="12"/>
      <c r="B112" s="15"/>
      <c r="C112" s="16"/>
      <c r="D112" s="16"/>
      <c r="E112" s="16"/>
      <c r="F112" s="12"/>
    </row>
    <row r="113" spans="1:6">
      <c r="A113" s="12"/>
      <c r="B113" s="15"/>
      <c r="C113" s="16"/>
      <c r="D113" s="16"/>
      <c r="E113" s="16"/>
      <c r="F113" s="12"/>
    </row>
    <row r="114" spans="1:6">
      <c r="A114" s="12"/>
      <c r="B114" s="15"/>
      <c r="C114" s="16"/>
      <c r="D114" s="16"/>
      <c r="E114" s="16"/>
      <c r="F114" s="12"/>
    </row>
    <row r="115" spans="1:6">
      <c r="A115" s="12"/>
      <c r="B115" s="15"/>
      <c r="C115" s="16"/>
      <c r="D115" s="16"/>
      <c r="E115" s="16"/>
      <c r="F115" s="12"/>
    </row>
    <row r="116" spans="1:6">
      <c r="A116" s="12"/>
      <c r="B116" s="15"/>
      <c r="C116" s="16"/>
      <c r="D116" s="16"/>
      <c r="E116" s="16"/>
      <c r="F116" s="12"/>
    </row>
    <row r="117" spans="1:6">
      <c r="A117" s="12"/>
      <c r="B117" s="15"/>
      <c r="C117" s="16"/>
      <c r="D117" s="16"/>
      <c r="E117" s="16"/>
      <c r="F117" s="12"/>
    </row>
    <row r="118" spans="1:6">
      <c r="A118" s="12"/>
      <c r="B118" s="15"/>
      <c r="C118" s="16"/>
      <c r="D118" s="16"/>
      <c r="E118" s="16"/>
      <c r="F118" s="12"/>
    </row>
    <row r="119" spans="1:6">
      <c r="A119" s="12"/>
      <c r="B119" s="15"/>
      <c r="C119" s="16"/>
      <c r="D119" s="16"/>
      <c r="E119" s="16"/>
      <c r="F119" s="12"/>
    </row>
    <row r="120" spans="1:6">
      <c r="A120" s="12"/>
      <c r="B120" s="15"/>
      <c r="C120" s="16"/>
      <c r="D120" s="16"/>
      <c r="E120" s="16"/>
      <c r="F120" s="12"/>
    </row>
    <row r="121" spans="1:6">
      <c r="A121" s="12"/>
      <c r="B121" s="15"/>
      <c r="C121" s="16"/>
      <c r="D121" s="16"/>
      <c r="E121" s="16"/>
      <c r="F121" s="12"/>
    </row>
    <row r="122" spans="1:6">
      <c r="A122" s="12"/>
      <c r="B122" s="15"/>
      <c r="C122" s="16"/>
      <c r="D122" s="16"/>
      <c r="E122" s="16"/>
      <c r="F122" s="12"/>
    </row>
    <row r="123" spans="1:6">
      <c r="A123" s="12"/>
      <c r="B123" s="15"/>
      <c r="C123" s="16"/>
      <c r="D123" s="16"/>
      <c r="E123" s="16"/>
      <c r="F123" s="12"/>
    </row>
    <row r="124" spans="1:6">
      <c r="A124" s="12"/>
      <c r="B124" s="15"/>
      <c r="C124" s="16"/>
      <c r="D124" s="16"/>
      <c r="E124" s="16"/>
      <c r="F124" s="12"/>
    </row>
    <row r="125" spans="1:6">
      <c r="A125" s="12"/>
      <c r="B125" s="15"/>
      <c r="C125" s="16"/>
      <c r="D125" s="16"/>
      <c r="E125" s="16"/>
      <c r="F125" s="12"/>
    </row>
    <row r="126" spans="1:6">
      <c r="A126" s="12"/>
      <c r="B126" s="15"/>
      <c r="C126" s="16"/>
      <c r="D126" s="16"/>
      <c r="E126" s="16"/>
      <c r="F126" s="12"/>
    </row>
    <row r="127" spans="1:6">
      <c r="A127" s="12"/>
      <c r="B127" s="15"/>
      <c r="C127" s="16"/>
      <c r="D127" s="16"/>
      <c r="E127" s="16"/>
      <c r="F127" s="12"/>
    </row>
    <row r="128" spans="1:6">
      <c r="A128" s="12"/>
      <c r="B128" s="15"/>
      <c r="C128" s="16"/>
      <c r="D128" s="16"/>
      <c r="E128" s="16"/>
      <c r="F128" s="12"/>
    </row>
    <row r="129" spans="1:6">
      <c r="A129" s="12"/>
      <c r="B129" s="15"/>
      <c r="C129" s="16"/>
      <c r="D129" s="16"/>
      <c r="E129" s="16"/>
      <c r="F129" s="12"/>
    </row>
    <row r="130" spans="1:6">
      <c r="A130" s="12"/>
      <c r="B130" s="15"/>
      <c r="C130" s="16"/>
      <c r="D130" s="16"/>
      <c r="E130" s="16"/>
      <c r="F130" s="12"/>
    </row>
    <row r="131" spans="1:6">
      <c r="A131" s="12"/>
      <c r="B131" s="15"/>
      <c r="C131" s="16"/>
      <c r="D131" s="16"/>
      <c r="E131" s="16"/>
      <c r="F131" s="12"/>
    </row>
    <row r="132" spans="1:6">
      <c r="A132" s="12"/>
      <c r="B132" s="15"/>
      <c r="C132" s="16"/>
      <c r="D132" s="16"/>
      <c r="E132" s="16"/>
      <c r="F132" s="12"/>
    </row>
    <row r="133" spans="1:6">
      <c r="A133" s="12"/>
      <c r="B133" s="15"/>
      <c r="C133" s="16"/>
      <c r="D133" s="16"/>
      <c r="E133" s="16"/>
      <c r="F133" s="12"/>
    </row>
    <row r="134" spans="1:6">
      <c r="A134" s="12"/>
      <c r="B134" s="15"/>
      <c r="C134" s="16"/>
      <c r="D134" s="16"/>
      <c r="E134" s="16"/>
      <c r="F134" s="12"/>
    </row>
    <row r="135" spans="1:6">
      <c r="A135" s="12"/>
      <c r="B135" s="15"/>
      <c r="C135" s="16"/>
      <c r="D135" s="16"/>
      <c r="E135" s="16"/>
      <c r="F135" s="12"/>
    </row>
    <row r="136" spans="1:6">
      <c r="A136" s="12"/>
      <c r="B136" s="15"/>
      <c r="C136" s="16"/>
      <c r="D136" s="16"/>
      <c r="E136" s="16"/>
      <c r="F136" s="12"/>
    </row>
    <row r="137" spans="1:6">
      <c r="A137" s="12"/>
      <c r="B137" s="15"/>
      <c r="C137" s="16"/>
      <c r="D137" s="16"/>
      <c r="E137" s="16"/>
      <c r="F137" s="12"/>
    </row>
    <row r="138" spans="1:6">
      <c r="A138" s="12"/>
      <c r="B138" s="15"/>
      <c r="C138" s="16"/>
      <c r="D138" s="16"/>
      <c r="E138" s="16"/>
      <c r="F138" s="12"/>
    </row>
    <row r="139" spans="1:6"/>
    <row r="140" spans="1:6"/>
    <row r="141" spans="1:6"/>
    <row r="142" spans="1:6"/>
    <row r="1000" spans="648:648" ht="15.5">
      <c r="XX1000" s="63">
        <v>56981</v>
      </c>
    </row>
  </sheetData>
  <mergeCells count="2">
    <mergeCell ref="C7:C8"/>
    <mergeCell ref="D7:D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34687-DFFB-41D0-B4E2-8B517011F5D4}">
  <sheetPr codeName="Sheet8"/>
  <dimension ref="A1:AO1102"/>
  <sheetViews>
    <sheetView topLeftCell="A11" workbookViewId="0">
      <selection activeCell="Y2" sqref="Y2:Y18"/>
    </sheetView>
  </sheetViews>
  <sheetFormatPr defaultColWidth="8.81640625" defaultRowHeight="14.5"/>
  <cols>
    <col min="1" max="1" width="8.81640625" style="3"/>
    <col min="2" max="2" width="15.90625" style="3" bestFit="1" customWidth="1"/>
    <col min="3" max="3" width="3.90625" style="3" customWidth="1"/>
    <col min="4" max="4" width="23.54296875" style="3" bestFit="1" customWidth="1"/>
    <col min="5" max="5" width="3.90625" style="3" customWidth="1"/>
    <col min="6" max="6" width="15.453125" style="3" customWidth="1"/>
    <col min="7" max="7" width="21.81640625" style="3" bestFit="1" customWidth="1"/>
    <col min="8" max="8" width="3.90625" style="3" customWidth="1"/>
    <col min="9" max="9" width="17.90625" style="3" bestFit="1" customWidth="1"/>
    <col min="10" max="12" width="15.453125" style="3" customWidth="1"/>
    <col min="13" max="13" width="3.90625" style="3" customWidth="1"/>
    <col min="14" max="15" width="15.453125" style="3" customWidth="1"/>
    <col min="16" max="16" width="3.90625" style="3" customWidth="1"/>
    <col min="17" max="18" width="15.453125" style="3" customWidth="1"/>
    <col min="19" max="19" width="16.90625" style="3" bestFit="1" customWidth="1"/>
    <col min="20" max="20" width="16.90625" style="3" customWidth="1"/>
    <col min="21" max="21" width="3.90625" style="3" customWidth="1"/>
    <col min="22" max="22" width="14.08984375" style="3" bestFit="1" customWidth="1"/>
    <col min="23" max="23" width="13" style="3" customWidth="1"/>
    <col min="24" max="24" width="3.90625" style="3" customWidth="1"/>
    <col min="25" max="28" width="15.1796875" style="3" customWidth="1"/>
    <col min="29" max="29" width="3.90625" style="3" customWidth="1"/>
    <col min="30" max="30" width="9.08984375" style="3" bestFit="1" customWidth="1"/>
    <col min="31" max="31" width="8.453125" style="3" bestFit="1" customWidth="1"/>
    <col min="32" max="32" width="17.453125" style="3" bestFit="1" customWidth="1"/>
    <col min="33" max="33" width="23.1796875" style="3" bestFit="1" customWidth="1"/>
    <col min="34" max="34" width="9.1796875" style="3" bestFit="1" customWidth="1"/>
    <col min="35" max="35" width="3.90625" style="3" customWidth="1"/>
    <col min="36" max="36" width="8.81640625" style="3" customWidth="1"/>
    <col min="37" max="16384" width="8.81640625" style="3"/>
  </cols>
  <sheetData>
    <row r="1" spans="1:41">
      <c r="A1" s="4"/>
      <c r="B1" s="4"/>
      <c r="D1" s="4" t="s">
        <v>13</v>
      </c>
      <c r="F1" s="4" t="s">
        <v>1</v>
      </c>
      <c r="G1" s="4" t="s">
        <v>2</v>
      </c>
      <c r="I1" s="4" t="s">
        <v>6</v>
      </c>
      <c r="J1" s="4" t="s">
        <v>7</v>
      </c>
      <c r="K1" s="4" t="s">
        <v>8</v>
      </c>
      <c r="L1" s="4" t="s">
        <v>9</v>
      </c>
      <c r="N1" s="4" t="s">
        <v>6</v>
      </c>
      <c r="O1" s="4" t="s">
        <v>11</v>
      </c>
      <c r="P1"/>
      <c r="Q1" s="22" t="s">
        <v>0</v>
      </c>
      <c r="R1" s="25" t="s">
        <v>36</v>
      </c>
      <c r="S1" s="25" t="s">
        <v>37</v>
      </c>
      <c r="T1" s="20" t="s">
        <v>39</v>
      </c>
      <c r="V1" t="s">
        <v>69</v>
      </c>
      <c r="W1" t="s">
        <v>70</v>
      </c>
      <c r="X1"/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/>
      <c r="AE1"/>
      <c r="AF1"/>
      <c r="AJ1" s="18"/>
    </row>
    <row r="2" spans="1:41">
      <c r="B2" s="5"/>
      <c r="D2" s="3" t="s">
        <v>21</v>
      </c>
      <c r="F2" s="6">
        <v>44827.672638888886</v>
      </c>
      <c r="G2" s="6">
        <v>44827.676412037035</v>
      </c>
      <c r="I2" s="6" t="s">
        <v>61</v>
      </c>
      <c r="J2" s="6" t="s">
        <v>116</v>
      </c>
      <c r="K2" s="6"/>
      <c r="L2" s="6" t="s">
        <v>117</v>
      </c>
      <c r="N2" s="3" t="s">
        <v>18</v>
      </c>
      <c r="O2" s="3" t="s">
        <v>19</v>
      </c>
      <c r="P2">
        <v>1</v>
      </c>
      <c r="Q2" s="23" t="s">
        <v>26</v>
      </c>
      <c r="R2" s="23" t="b">
        <v>1</v>
      </c>
      <c r="S2" s="26">
        <v>1</v>
      </c>
      <c r="T2" s="26">
        <f>pCountNew+COUNTIF(R2:R18,"&lt;&gt;TRUE")</f>
        <v>1</v>
      </c>
      <c r="V2" cm="1">
        <f t="array" ref="V2:V18">_xlfn.SEQUENCE(17)</f>
        <v>1</v>
      </c>
      <c r="W2">
        <f>IF(AA2=AB2,1,0)</f>
        <v>1</v>
      </c>
      <c r="X2"/>
      <c r="Y2">
        <v>0</v>
      </c>
      <c r="Z2">
        <f>W2*Y2</f>
        <v>0</v>
      </c>
      <c r="AA2">
        <v>12</v>
      </c>
      <c r="AB2">
        <f>'Keyboarding Challenge'!K11</f>
        <v>12</v>
      </c>
      <c r="AC2" t="s">
        <v>76</v>
      </c>
      <c r="AD2" t="s">
        <v>77</v>
      </c>
      <c r="AE2" cm="1">
        <f t="array" aca="1" ref="AE2" ca="1">COLUMN(INDIRECT(AC2&amp;"1"))</f>
        <v>12</v>
      </c>
      <c r="AF2" cm="1">
        <f t="array" aca="1" ref="AF2" ca="1">COLUMN(INDIRECT(AD2&amp;"1"))</f>
        <v>21</v>
      </c>
      <c r="AG2" s="18"/>
      <c r="AJ2" s="7"/>
    </row>
    <row r="3" spans="1:41">
      <c r="B3" s="5"/>
      <c r="I3" s="6"/>
      <c r="J3" s="6"/>
      <c r="K3" s="6"/>
      <c r="L3" s="6"/>
      <c r="N3" s="3" t="s">
        <v>22</v>
      </c>
      <c r="O3" s="3" t="s">
        <v>24</v>
      </c>
      <c r="P3">
        <v>2</v>
      </c>
      <c r="Q3" s="23" t="s">
        <v>27</v>
      </c>
      <c r="R3" s="23" t="b">
        <v>1</v>
      </c>
      <c r="S3" s="5"/>
      <c r="T3" s="5"/>
      <c r="V3">
        <v>2</v>
      </c>
      <c r="W3">
        <f t="shared" ref="W3:W18" si="0">IF(AA3=AB3,1,0)</f>
        <v>1</v>
      </c>
      <c r="X3"/>
      <c r="Y3">
        <v>0</v>
      </c>
      <c r="Z3">
        <f t="shared" ref="Z3:Z18" si="1">W3*Y3</f>
        <v>0</v>
      </c>
      <c r="AA3">
        <v>5</v>
      </c>
      <c r="AB3">
        <f>'Keyboarding Challenge'!U11</f>
        <v>5</v>
      </c>
      <c r="AC3" t="s">
        <v>78</v>
      </c>
      <c r="AD3" t="s">
        <v>79</v>
      </c>
      <c r="AE3" cm="1">
        <f t="array" aca="1" ref="AE3" ca="1">COLUMN(INDIRECT(AC3&amp;"1"))</f>
        <v>22</v>
      </c>
      <c r="AF3" cm="1">
        <f t="array" aca="1" ref="AF3" ca="1">COLUMN(INDIRECT(AD3&amp;"1"))</f>
        <v>28</v>
      </c>
      <c r="AG3" s="17"/>
    </row>
    <row r="4" spans="1:41">
      <c r="B4" s="5"/>
      <c r="C4" s="8"/>
      <c r="D4" s="4" t="s">
        <v>3</v>
      </c>
      <c r="F4" s="4" t="s">
        <v>5</v>
      </c>
      <c r="G4" s="4" t="s">
        <v>4</v>
      </c>
      <c r="I4" s="6"/>
      <c r="J4" s="6"/>
      <c r="K4" s="6"/>
      <c r="L4" s="6"/>
      <c r="O4" s="6"/>
      <c r="P4">
        <v>3</v>
      </c>
      <c r="Q4" s="23" t="s">
        <v>28</v>
      </c>
      <c r="R4" s="23" t="b">
        <v>1</v>
      </c>
      <c r="S4" s="5"/>
      <c r="T4" s="5"/>
      <c r="U4" s="8"/>
      <c r="V4">
        <v>3</v>
      </c>
      <c r="W4">
        <f t="shared" si="0"/>
        <v>1</v>
      </c>
      <c r="X4"/>
      <c r="Y4">
        <v>0</v>
      </c>
      <c r="Z4">
        <f t="shared" si="1"/>
        <v>0</v>
      </c>
      <c r="AA4">
        <v>7</v>
      </c>
      <c r="AB4">
        <f>SUM('Keyboarding Challenge'!V7:AB7)</f>
        <v>7</v>
      </c>
      <c r="AC4" t="s">
        <v>80</v>
      </c>
      <c r="AD4" t="s">
        <v>80</v>
      </c>
      <c r="AE4" cm="1">
        <f t="array" aca="1" ref="AE4" ca="1">COLUMN(INDIRECT(AC4&amp;"1"))</f>
        <v>29</v>
      </c>
      <c r="AF4" cm="1">
        <f t="array" aca="1" ref="AF4" ca="1">COLUMN(INDIRECT(AD4&amp;"1"))</f>
        <v>29</v>
      </c>
      <c r="AG4" s="17"/>
      <c r="AI4" s="8"/>
    </row>
    <row r="5" spans="1:41">
      <c r="B5" s="5"/>
      <c r="D5" s="3" t="s">
        <v>137</v>
      </c>
      <c r="F5" s="3" t="b">
        <v>0</v>
      </c>
      <c r="G5" s="3">
        <f>ROUND((endTime-startTime)*3600*24,0)</f>
        <v>326</v>
      </c>
      <c r="I5" s="6"/>
      <c r="J5" s="6"/>
      <c r="K5" s="6"/>
      <c r="L5" s="6"/>
      <c r="P5">
        <v>4</v>
      </c>
      <c r="Q5" s="23" t="s">
        <v>29</v>
      </c>
      <c r="R5" s="23" t="b">
        <v>1</v>
      </c>
      <c r="S5" s="5"/>
      <c r="T5" s="5"/>
      <c r="V5">
        <v>4</v>
      </c>
      <c r="W5">
        <f t="shared" si="0"/>
        <v>1</v>
      </c>
      <c r="X5"/>
      <c r="Y5">
        <v>0</v>
      </c>
      <c r="Z5">
        <f t="shared" si="1"/>
        <v>0</v>
      </c>
      <c r="AA5">
        <v>7</v>
      </c>
      <c r="AB5">
        <f>'Keyboarding Challenge'!AC7</f>
        <v>7</v>
      </c>
      <c r="AC5" t="s">
        <v>81</v>
      </c>
      <c r="AD5" t="s">
        <v>82</v>
      </c>
      <c r="AE5" cm="1">
        <f t="array" aca="1" ref="AE5" ca="1">COLUMN(INDIRECT(AC5&amp;"1"))</f>
        <v>30</v>
      </c>
      <c r="AF5" cm="1">
        <f t="array" aca="1" ref="AF5" ca="1">COLUMN(INDIRECT(AD5&amp;"1"))</f>
        <v>36</v>
      </c>
      <c r="AG5" s="17"/>
    </row>
    <row r="6" spans="1:41">
      <c r="B6" s="5"/>
      <c r="J6" s="6"/>
      <c r="K6" s="6"/>
      <c r="L6" s="6"/>
      <c r="N6" s="6"/>
      <c r="O6" s="6"/>
      <c r="P6">
        <v>5</v>
      </c>
      <c r="Q6" s="23" t="s">
        <v>30</v>
      </c>
      <c r="R6" s="23" t="b">
        <v>1</v>
      </c>
      <c r="S6" s="5"/>
      <c r="T6" s="5"/>
      <c r="V6">
        <v>5</v>
      </c>
      <c r="W6">
        <f t="shared" si="0"/>
        <v>1</v>
      </c>
      <c r="X6"/>
      <c r="Y6">
        <v>0</v>
      </c>
      <c r="Z6">
        <f t="shared" si="1"/>
        <v>0</v>
      </c>
      <c r="AA6">
        <v>371</v>
      </c>
      <c r="AB6">
        <f>'Keyboarding Challenge'!AJ20</f>
        <v>371</v>
      </c>
      <c r="AC6" t="s">
        <v>83</v>
      </c>
      <c r="AD6" t="s">
        <v>84</v>
      </c>
      <c r="AE6" cm="1">
        <f t="array" aca="1" ref="AE6" ca="1">COLUMN(INDIRECT(AC6&amp;"1"))</f>
        <v>37</v>
      </c>
      <c r="AF6" cm="1">
        <f t="array" aca="1" ref="AF6" ca="1">COLUMN(INDIRECT(AD6&amp;"1"))</f>
        <v>47</v>
      </c>
      <c r="AG6" s="17"/>
    </row>
    <row r="7" spans="1:41">
      <c r="B7" s="5"/>
      <c r="D7" s="4"/>
      <c r="F7" s="4" t="s">
        <v>17</v>
      </c>
      <c r="G7" s="4" t="s">
        <v>23</v>
      </c>
      <c r="J7" s="6"/>
      <c r="K7" s="6"/>
      <c r="L7" s="6"/>
      <c r="N7" s="6"/>
      <c r="P7">
        <v>6</v>
      </c>
      <c r="Q7" s="23" t="s">
        <v>31</v>
      </c>
      <c r="R7" s="23" t="b">
        <v>1</v>
      </c>
      <c r="S7" s="5"/>
      <c r="T7" s="5"/>
      <c r="V7">
        <v>6</v>
      </c>
      <c r="W7">
        <f t="shared" si="0"/>
        <v>1</v>
      </c>
      <c r="X7"/>
      <c r="Y7">
        <v>0</v>
      </c>
      <c r="Z7">
        <f t="shared" si="1"/>
        <v>0</v>
      </c>
      <c r="AA7">
        <v>236</v>
      </c>
      <c r="AB7">
        <f>SUM('Keyboarding Challenge'!AQ10:AU15)</f>
        <v>236</v>
      </c>
      <c r="AC7" t="s">
        <v>85</v>
      </c>
      <c r="AD7" t="s">
        <v>86</v>
      </c>
      <c r="AE7" cm="1">
        <f t="array" aca="1" ref="AE7" ca="1">COLUMN(INDIRECT(AC7&amp;"1"))</f>
        <v>48</v>
      </c>
      <c r="AF7" cm="1">
        <f t="array" aca="1" ref="AF7" ca="1">COLUMN(INDIRECT(AD7&amp;"1"))</f>
        <v>53</v>
      </c>
      <c r="AG7" s="17"/>
    </row>
    <row r="8" spans="1:41">
      <c r="B8" s="5"/>
      <c r="F8" s="3" t="b">
        <f>IF(AND(ISERROR(MATCH(FALSE,R2:R18,0)),PRODUCT(W2:W18)=1),TRUE,FALSE)</f>
        <v>1</v>
      </c>
      <c r="G8" s="3" t="b">
        <v>0</v>
      </c>
      <c r="N8" s="6"/>
      <c r="O8" s="6"/>
      <c r="P8">
        <v>7</v>
      </c>
      <c r="Q8" s="23" t="s">
        <v>32</v>
      </c>
      <c r="R8" s="23" t="b">
        <v>1</v>
      </c>
      <c r="S8" s="21"/>
      <c r="T8" s="21"/>
      <c r="V8">
        <v>7</v>
      </c>
      <c r="W8">
        <f t="shared" si="0"/>
        <v>1</v>
      </c>
      <c r="X8"/>
      <c r="Y8">
        <v>0</v>
      </c>
      <c r="Z8">
        <f t="shared" si="1"/>
        <v>0</v>
      </c>
      <c r="AA8">
        <v>21</v>
      </c>
      <c r="AB8">
        <f>SUM('Keyboarding Challenge'!BA10:BA15)</f>
        <v>21</v>
      </c>
      <c r="AC8" t="s">
        <v>87</v>
      </c>
      <c r="AD8" t="s">
        <v>87</v>
      </c>
      <c r="AE8" cm="1">
        <f t="array" aca="1" ref="AE8" ca="1">COLUMN(INDIRECT(AC8&amp;"1"))</f>
        <v>54</v>
      </c>
      <c r="AF8" cm="1">
        <f t="array" aca="1" ref="AF8" ca="1">COLUMN(INDIRECT(AD8&amp;"1"))</f>
        <v>54</v>
      </c>
      <c r="AG8" s="17"/>
    </row>
    <row r="9" spans="1:41">
      <c r="B9" s="5"/>
      <c r="N9" s="6"/>
      <c r="P9">
        <v>8</v>
      </c>
      <c r="Q9" s="23" t="s">
        <v>33</v>
      </c>
      <c r="R9" s="23" t="b">
        <v>1</v>
      </c>
      <c r="V9">
        <v>8</v>
      </c>
      <c r="W9">
        <f t="shared" si="0"/>
        <v>1</v>
      </c>
      <c r="X9"/>
      <c r="Y9">
        <v>0</v>
      </c>
      <c r="Z9">
        <f t="shared" si="1"/>
        <v>0</v>
      </c>
      <c r="AA9">
        <v>45</v>
      </c>
      <c r="AB9">
        <f>SUM('Keyboarding Challenge'!BB10:BB15)</f>
        <v>45</v>
      </c>
      <c r="AC9" t="s">
        <v>88</v>
      </c>
      <c r="AD9" t="s">
        <v>89</v>
      </c>
      <c r="AE9" cm="1">
        <f t="array" aca="1" ref="AE9" ca="1">COLUMN(INDIRECT(AC9&amp;"1"))</f>
        <v>55</v>
      </c>
      <c r="AF9" cm="1">
        <f t="array" aca="1" ref="AF9" ca="1">COLUMN(INDIRECT(AD9&amp;"1"))</f>
        <v>66</v>
      </c>
      <c r="AG9" s="17"/>
    </row>
    <row r="10" spans="1:41">
      <c r="B10" s="5"/>
      <c r="D10" s="4"/>
      <c r="F10" s="4"/>
      <c r="G10" s="4"/>
      <c r="N10" s="6"/>
      <c r="O10" s="6"/>
      <c r="P10">
        <v>9</v>
      </c>
      <c r="Q10" s="23" t="s">
        <v>34</v>
      </c>
      <c r="R10" s="23" t="b">
        <v>1</v>
      </c>
      <c r="S10" s="5"/>
      <c r="T10" s="5"/>
      <c r="V10">
        <v>9</v>
      </c>
      <c r="W10">
        <f t="shared" si="0"/>
        <v>1</v>
      </c>
      <c r="X10"/>
      <c r="Y10">
        <v>0</v>
      </c>
      <c r="Z10">
        <f t="shared" si="1"/>
        <v>0</v>
      </c>
      <c r="AA10">
        <v>8080</v>
      </c>
      <c r="AB10">
        <f>SUM('Keyboarding Challenge'!BG20:BN20)</f>
        <v>8080</v>
      </c>
      <c r="AC10" t="s">
        <v>90</v>
      </c>
      <c r="AD10" t="s">
        <v>91</v>
      </c>
      <c r="AE10" cm="1">
        <f t="array" aca="1" ref="AE10" ca="1">COLUMN(INDIRECT(AC10&amp;"1"))</f>
        <v>67</v>
      </c>
      <c r="AF10" cm="1">
        <f t="array" aca="1" ref="AF10" ca="1">COLUMN(INDIRECT(AD10&amp;"1"))</f>
        <v>69</v>
      </c>
      <c r="AG10" s="17"/>
    </row>
    <row r="11" spans="1:41">
      <c r="B11" s="5"/>
      <c r="N11" s="6"/>
      <c r="P11">
        <v>10</v>
      </c>
      <c r="Q11" s="23" t="s">
        <v>35</v>
      </c>
      <c r="R11" s="23" t="b">
        <v>1</v>
      </c>
      <c r="V11">
        <v>10</v>
      </c>
      <c r="W11">
        <f t="shared" si="0"/>
        <v>1</v>
      </c>
      <c r="X11"/>
      <c r="Y11">
        <v>0</v>
      </c>
      <c r="Z11">
        <f t="shared" si="1"/>
        <v>0</v>
      </c>
      <c r="AA11">
        <v>1</v>
      </c>
      <c r="AB11">
        <v>1</v>
      </c>
      <c r="AC11" t="s">
        <v>92</v>
      </c>
      <c r="AD11" t="s">
        <v>93</v>
      </c>
      <c r="AE11" cm="1">
        <f t="array" aca="1" ref="AE11" ca="1">COLUMN(INDIRECT(AC11&amp;"1"))</f>
        <v>70</v>
      </c>
      <c r="AF11" cm="1">
        <f t="array" aca="1" ref="AF11" ca="1">COLUMN(INDIRECT(AD11&amp;"1"))</f>
        <v>71</v>
      </c>
      <c r="AG11" s="17"/>
    </row>
    <row r="12" spans="1:41">
      <c r="B12" s="5"/>
      <c r="N12" s="6"/>
      <c r="O12" s="6"/>
      <c r="P12">
        <v>11</v>
      </c>
      <c r="Q12" s="24" t="s">
        <v>114</v>
      </c>
      <c r="R12" s="23" t="b">
        <v>1</v>
      </c>
      <c r="V12">
        <v>11</v>
      </c>
      <c r="W12">
        <f t="shared" si="0"/>
        <v>1</v>
      </c>
      <c r="X12"/>
      <c r="Y12">
        <v>0</v>
      </c>
      <c r="Z12">
        <f t="shared" si="1"/>
        <v>0</v>
      </c>
      <c r="AA12">
        <v>1</v>
      </c>
      <c r="AB12">
        <v>1</v>
      </c>
      <c r="AC12" t="s">
        <v>94</v>
      </c>
      <c r="AD12" t="s">
        <v>95</v>
      </c>
      <c r="AE12" cm="1">
        <f t="array" aca="1" ref="AE12" ca="1">COLUMN(INDIRECT(AC12&amp;"1"))</f>
        <v>72</v>
      </c>
      <c r="AF12" cm="1">
        <f t="array" aca="1" ref="AF12" ca="1">COLUMN(INDIRECT(AD12&amp;"1"))</f>
        <v>73</v>
      </c>
      <c r="AG12" s="17"/>
      <c r="AL12" s="2"/>
      <c r="AM12" s="2"/>
      <c r="AN12" s="2"/>
      <c r="AO12" s="2"/>
    </row>
    <row r="13" spans="1:41">
      <c r="B13" s="5"/>
      <c r="D13" s="4" t="s">
        <v>10</v>
      </c>
      <c r="F13" s="4"/>
      <c r="N13" s="6"/>
      <c r="P13">
        <v>12</v>
      </c>
      <c r="Q13" s="24" t="s">
        <v>115</v>
      </c>
      <c r="R13" s="23" t="b">
        <v>1</v>
      </c>
      <c r="V13">
        <v>12</v>
      </c>
      <c r="W13">
        <f t="shared" si="0"/>
        <v>1</v>
      </c>
      <c r="X13"/>
      <c r="Y13">
        <v>0</v>
      </c>
      <c r="Z13">
        <f t="shared" si="1"/>
        <v>0</v>
      </c>
      <c r="AA13">
        <v>1</v>
      </c>
      <c r="AB13">
        <v>1</v>
      </c>
      <c r="AC13" t="s">
        <v>96</v>
      </c>
      <c r="AD13" t="s">
        <v>97</v>
      </c>
      <c r="AE13" cm="1">
        <f t="array" aca="1" ref="AE13" ca="1">COLUMN(INDIRECT(AC13&amp;"1"))</f>
        <v>75</v>
      </c>
      <c r="AF13" cm="1">
        <f t="array" aca="1" ref="AF13" ca="1">COLUMN(INDIRECT(AD13&amp;"1"))</f>
        <v>76</v>
      </c>
      <c r="AG13" s="17"/>
    </row>
    <row r="14" spans="1:41">
      <c r="B14" s="5"/>
      <c r="D14" s="3">
        <f>COUNTA(I2:I26)</f>
        <v>1</v>
      </c>
      <c r="P14">
        <v>13</v>
      </c>
      <c r="Q14" s="23" t="s">
        <v>109</v>
      </c>
      <c r="R14" s="23" t="b">
        <v>1</v>
      </c>
      <c r="V14">
        <v>13</v>
      </c>
      <c r="W14">
        <f t="shared" si="0"/>
        <v>1</v>
      </c>
      <c r="X14"/>
      <c r="Y14">
        <v>0</v>
      </c>
      <c r="Z14">
        <f t="shared" si="1"/>
        <v>0</v>
      </c>
      <c r="AA14">
        <v>1</v>
      </c>
      <c r="AB14">
        <v>1</v>
      </c>
      <c r="AC14" t="s">
        <v>98</v>
      </c>
      <c r="AD14" t="s">
        <v>99</v>
      </c>
      <c r="AE14" cm="1">
        <f t="array" aca="1" ref="AE14" ca="1">COLUMN(INDIRECT(AC14&amp;"1"))</f>
        <v>77</v>
      </c>
      <c r="AF14" cm="1">
        <f t="array" aca="1" ref="AF14" ca="1">COLUMN(INDIRECT(AD14&amp;"1"))</f>
        <v>78</v>
      </c>
      <c r="AG14" s="17"/>
    </row>
    <row r="15" spans="1:41">
      <c r="B15" s="5"/>
      <c r="G15" s="4" t="s">
        <v>143</v>
      </c>
      <c r="P15">
        <v>14</v>
      </c>
      <c r="Q15" s="23" t="s">
        <v>110</v>
      </c>
      <c r="R15" s="23" t="b">
        <v>1</v>
      </c>
      <c r="V15">
        <v>14</v>
      </c>
      <c r="W15">
        <f t="shared" si="0"/>
        <v>1</v>
      </c>
      <c r="X15"/>
      <c r="Y15">
        <v>0</v>
      </c>
      <c r="Z15">
        <f t="shared" si="1"/>
        <v>0</v>
      </c>
      <c r="AA15">
        <v>1</v>
      </c>
      <c r="AB15">
        <v>1</v>
      </c>
      <c r="AC15" t="s">
        <v>100</v>
      </c>
      <c r="AD15" t="s">
        <v>101</v>
      </c>
      <c r="AE15" cm="1">
        <f t="array" aca="1" ref="AE15" ca="1">COLUMN(INDIRECT(AC15&amp;"1"))</f>
        <v>79</v>
      </c>
      <c r="AF15" cm="1">
        <f t="array" aca="1" ref="AF15" ca="1">COLUMN(INDIRECT(AD15&amp;"1"))</f>
        <v>80</v>
      </c>
      <c r="AG15" s="17"/>
    </row>
    <row r="16" spans="1:41">
      <c r="B16" s="5"/>
      <c r="D16" s="4" t="s">
        <v>12</v>
      </c>
      <c r="G16" s="3">
        <f>SUM(W2:W18)</f>
        <v>17</v>
      </c>
      <c r="P16">
        <v>15</v>
      </c>
      <c r="Q16" s="24" t="s">
        <v>111</v>
      </c>
      <c r="R16" s="23" t="b">
        <v>1</v>
      </c>
      <c r="V16">
        <v>15</v>
      </c>
      <c r="W16">
        <f t="shared" si="0"/>
        <v>1</v>
      </c>
      <c r="X16"/>
      <c r="Y16">
        <v>0</v>
      </c>
      <c r="Z16">
        <f t="shared" si="1"/>
        <v>0</v>
      </c>
      <c r="AA16">
        <v>1</v>
      </c>
      <c r="AB16">
        <v>1</v>
      </c>
      <c r="AC16" t="s">
        <v>102</v>
      </c>
      <c r="AD16" t="s">
        <v>102</v>
      </c>
      <c r="AE16" cm="1">
        <f t="array" aca="1" ref="AE16" ca="1">COLUMN(INDIRECT(AC16&amp;"1"))</f>
        <v>81</v>
      </c>
      <c r="AF16" cm="1">
        <f t="array" aca="1" ref="AF16" ca="1">COLUMN(INDIRECT(AD16&amp;"1"))</f>
        <v>81</v>
      </c>
      <c r="AG16" s="17"/>
    </row>
    <row r="17" spans="2:34">
      <c r="B17" s="5"/>
      <c r="D17" s="3">
        <f>COUNTA(N2:N100)</f>
        <v>2</v>
      </c>
      <c r="P17">
        <v>16</v>
      </c>
      <c r="Q17" s="24" t="s">
        <v>112</v>
      </c>
      <c r="R17" s="23" t="b">
        <v>1</v>
      </c>
      <c r="V17">
        <v>16</v>
      </c>
      <c r="W17">
        <f t="shared" si="0"/>
        <v>1</v>
      </c>
      <c r="X17"/>
      <c r="Y17">
        <v>0</v>
      </c>
      <c r="Z17">
        <f t="shared" si="1"/>
        <v>0</v>
      </c>
      <c r="AA17">
        <v>1</v>
      </c>
      <c r="AB17">
        <v>1</v>
      </c>
      <c r="AC17" t="s">
        <v>103</v>
      </c>
      <c r="AD17" t="s">
        <v>104</v>
      </c>
      <c r="AE17" cm="1">
        <f t="array" aca="1" ref="AE17" ca="1">COLUMN(INDIRECT(AC17&amp;"1"))</f>
        <v>82</v>
      </c>
      <c r="AF17" cm="1">
        <f t="array" aca="1" ref="AF17" ca="1">COLUMN(INDIRECT(AD17&amp;"1"))</f>
        <v>100</v>
      </c>
      <c r="AG17" s="17"/>
    </row>
    <row r="18" spans="2:34">
      <c r="B18" s="5"/>
      <c r="P18">
        <v>17</v>
      </c>
      <c r="Q18" s="24" t="s">
        <v>113</v>
      </c>
      <c r="R18" s="23" t="b">
        <v>1</v>
      </c>
      <c r="V18">
        <v>17</v>
      </c>
      <c r="W18">
        <f t="shared" si="0"/>
        <v>1</v>
      </c>
      <c r="X18"/>
      <c r="Y18">
        <v>0</v>
      </c>
      <c r="Z18">
        <f t="shared" si="1"/>
        <v>0</v>
      </c>
      <c r="AA18">
        <v>1</v>
      </c>
      <c r="AB18">
        <v>1</v>
      </c>
      <c r="AC18" t="s">
        <v>105</v>
      </c>
      <c r="AD18" t="s">
        <v>106</v>
      </c>
      <c r="AE18" cm="1">
        <f t="array" aca="1" ref="AE18" ca="1">COLUMN(INDIRECT(AC18&amp;"1"))</f>
        <v>101</v>
      </c>
      <c r="AF18" cm="1">
        <f t="array" aca="1" ref="AF18" ca="1">COLUMN(INDIRECT(AD18&amp;"1"))</f>
        <v>104</v>
      </c>
      <c r="AH18" s="17"/>
    </row>
    <row r="19" spans="2:34">
      <c r="B19" s="5"/>
      <c r="D19" s="4" t="s">
        <v>14</v>
      </c>
      <c r="P19"/>
      <c r="Q19" s="24"/>
      <c r="R19" s="23" t="b">
        <v>0</v>
      </c>
      <c r="AE19" s="19"/>
      <c r="AF19" s="17"/>
      <c r="AG19" s="17"/>
    </row>
    <row r="20" spans="2:34">
      <c r="B20" s="5"/>
      <c r="D20" s="3">
        <f>COUNTA(AB2:AB100)</f>
        <v>17</v>
      </c>
      <c r="J20" s="2"/>
      <c r="P20"/>
      <c r="Q20" s="24"/>
      <c r="R20" s="23" t="b">
        <v>0</v>
      </c>
      <c r="AD20" s="18"/>
      <c r="AE20" s="19"/>
      <c r="AF20" s="17"/>
      <c r="AG20" s="17"/>
    </row>
    <row r="21" spans="2:34">
      <c r="B21" s="5"/>
      <c r="J21" s="2"/>
      <c r="P21"/>
      <c r="Q21" s="24"/>
      <c r="R21" t="b">
        <v>0</v>
      </c>
      <c r="AD21" s="18"/>
      <c r="AE21" s="18"/>
      <c r="AF21" s="18"/>
      <c r="AG21" s="18"/>
    </row>
    <row r="22" spans="2:34">
      <c r="B22" s="5"/>
      <c r="F22" s="4"/>
      <c r="G22" s="4" t="s">
        <v>42</v>
      </c>
      <c r="J22" s="2"/>
      <c r="P22"/>
      <c r="Q22" s="23"/>
      <c r="R22" t="b">
        <v>0</v>
      </c>
      <c r="AE22" s="19"/>
      <c r="AF22" s="17"/>
      <c r="AG22" s="17"/>
    </row>
    <row r="23" spans="2:34">
      <c r="B23" s="5"/>
      <c r="G23" s="3">
        <v>0</v>
      </c>
      <c r="J23" s="2"/>
      <c r="P23"/>
      <c r="Q23" s="23"/>
      <c r="R23" t="b">
        <v>0</v>
      </c>
      <c r="AE23" s="19"/>
      <c r="AF23" s="17"/>
      <c r="AG23" s="17"/>
    </row>
    <row r="24" spans="2:34">
      <c r="B24" s="5"/>
      <c r="J24" s="2"/>
      <c r="P24"/>
      <c r="Q24" s="23"/>
      <c r="R24" t="b">
        <v>0</v>
      </c>
      <c r="AE24" s="19"/>
      <c r="AF24" s="17"/>
      <c r="AG24" s="17"/>
    </row>
    <row r="25" spans="2:34">
      <c r="B25" s="5"/>
      <c r="F25" s="4" t="s">
        <v>43</v>
      </c>
      <c r="G25" s="4" t="s">
        <v>44</v>
      </c>
      <c r="J25" s="2"/>
      <c r="P25"/>
      <c r="Q25" s="23"/>
      <c r="R25" t="b">
        <v>0</v>
      </c>
      <c r="AE25" s="19"/>
      <c r="AF25" s="17"/>
      <c r="AG25" s="17"/>
    </row>
    <row r="26" spans="2:34">
      <c r="B26" s="5"/>
      <c r="F26" s="3" t="b">
        <v>1</v>
      </c>
      <c r="G26" s="5">
        <v>44827.676412037035</v>
      </c>
      <c r="J26" s="2"/>
      <c r="P26"/>
      <c r="Q26" s="23"/>
      <c r="R26" t="b">
        <v>0</v>
      </c>
      <c r="AE26" s="19"/>
      <c r="AF26" s="17"/>
      <c r="AG26" s="17"/>
    </row>
    <row r="27" spans="2:34">
      <c r="B27" s="5"/>
      <c r="J27" s="2"/>
      <c r="P27"/>
      <c r="Q27" s="24"/>
      <c r="R27" t="b">
        <v>0</v>
      </c>
      <c r="AE27" s="19"/>
      <c r="AF27" s="17"/>
      <c r="AG27" s="17"/>
    </row>
    <row r="28" spans="2:34">
      <c r="B28" s="5"/>
      <c r="F28" s="4" t="s">
        <v>41</v>
      </c>
      <c r="G28" s="4" t="s">
        <v>45</v>
      </c>
      <c r="J28" s="2"/>
      <c r="P28"/>
      <c r="Q28" s="24"/>
      <c r="R28" t="b">
        <v>0</v>
      </c>
      <c r="AE28" s="19"/>
      <c r="AF28" s="17"/>
      <c r="AG28" s="17"/>
    </row>
    <row r="29" spans="2:34">
      <c r="B29" s="5"/>
      <c r="F29" s="62">
        <v>2.9282407405844424E-2</v>
      </c>
      <c r="G29" s="3">
        <f>totalTime*24*3600</f>
        <v>2529.9999998649582</v>
      </c>
      <c r="J29" s="2"/>
      <c r="P29"/>
      <c r="Q29" s="24"/>
      <c r="R29" t="b">
        <v>0</v>
      </c>
      <c r="AE29" s="19"/>
      <c r="AF29" s="17"/>
      <c r="AG29" s="17"/>
    </row>
    <row r="30" spans="2:34">
      <c r="B30" s="5"/>
      <c r="J30" s="2"/>
      <c r="P30"/>
      <c r="Q30" s="24"/>
      <c r="R30" t="b">
        <v>0</v>
      </c>
      <c r="AE30" s="19"/>
      <c r="AF30" s="17"/>
      <c r="AG30" s="17"/>
    </row>
    <row r="31" spans="2:34">
      <c r="B31" s="5"/>
      <c r="J31" s="2"/>
      <c r="P31"/>
      <c r="Q31" s="24"/>
      <c r="R31" t="b">
        <v>0</v>
      </c>
      <c r="AE31" s="19"/>
      <c r="AF31" s="17"/>
      <c r="AG31" s="17"/>
    </row>
    <row r="32" spans="2:34">
      <c r="B32" s="5"/>
      <c r="J32" s="2"/>
      <c r="P32"/>
      <c r="Q32" s="24"/>
      <c r="R32" t="b">
        <v>0</v>
      </c>
      <c r="AE32" s="19"/>
      <c r="AF32" s="17"/>
      <c r="AG32" s="17"/>
    </row>
    <row r="33" spans="2:34">
      <c r="B33" s="5"/>
      <c r="P33"/>
      <c r="Q33" s="24"/>
      <c r="R33" t="b">
        <v>0</v>
      </c>
      <c r="AE33" s="19"/>
      <c r="AF33" s="17"/>
      <c r="AG33" s="17"/>
    </row>
    <row r="34" spans="2:34">
      <c r="B34" s="5"/>
      <c r="P34"/>
      <c r="Q34" s="24"/>
      <c r="R34" t="b">
        <v>0</v>
      </c>
      <c r="AE34" s="19"/>
      <c r="AF34" s="17"/>
      <c r="AG34" s="17"/>
    </row>
    <row r="35" spans="2:34">
      <c r="B35" s="5"/>
      <c r="D35" s="4" t="s">
        <v>40</v>
      </c>
      <c r="AE35" s="19"/>
      <c r="AF35" s="17"/>
      <c r="AG35" s="17"/>
    </row>
    <row r="36" spans="2:34">
      <c r="B36" s="5"/>
      <c r="D36" s="3">
        <f>StudentIDCell</f>
        <v>0</v>
      </c>
      <c r="AE36" s="19"/>
      <c r="AF36" s="17"/>
      <c r="AG36" s="17"/>
    </row>
    <row r="37" spans="2:34">
      <c r="B37" s="5"/>
      <c r="D37" s="3">
        <f>StudentNameCell</f>
        <v>0</v>
      </c>
      <c r="AE37" s="19"/>
      <c r="AF37" s="17"/>
      <c r="AG37" s="17"/>
    </row>
    <row r="38" spans="2:34">
      <c r="B38" s="5"/>
      <c r="AE38" s="19"/>
      <c r="AF38" s="17"/>
      <c r="AH38" s="17"/>
    </row>
    <row r="39" spans="2:34">
      <c r="B39" s="5"/>
      <c r="AE39" s="19"/>
      <c r="AF39" s="17"/>
      <c r="AG39" s="17"/>
    </row>
    <row r="40" spans="2:34">
      <c r="B40" s="5"/>
      <c r="AD40" s="18"/>
      <c r="AE40" s="19"/>
      <c r="AF40" s="17"/>
      <c r="AG40" s="17"/>
    </row>
    <row r="41" spans="2:34">
      <c r="B41" s="5"/>
      <c r="AD41" s="18"/>
      <c r="AE41" s="18"/>
      <c r="AF41" s="18"/>
      <c r="AG41" s="18"/>
    </row>
    <row r="42" spans="2:34">
      <c r="B42" s="5"/>
      <c r="AE42" s="19"/>
      <c r="AF42" s="17"/>
      <c r="AG42" s="17"/>
    </row>
    <row r="43" spans="2:34">
      <c r="B43" s="5"/>
      <c r="AE43" s="19"/>
      <c r="AF43" s="17"/>
      <c r="AG43" s="17"/>
    </row>
    <row r="44" spans="2:34">
      <c r="B44" s="5"/>
      <c r="AE44" s="19"/>
      <c r="AF44" s="17"/>
      <c r="AG44" s="17"/>
    </row>
    <row r="45" spans="2:34">
      <c r="B45" s="5"/>
      <c r="D45" s="18" t="s">
        <v>68</v>
      </c>
      <c r="F45" s="18" t="s">
        <v>67</v>
      </c>
      <c r="AE45" s="19"/>
      <c r="AF45" s="17"/>
      <c r="AG45" s="17"/>
    </row>
    <row r="46" spans="2:34">
      <c r="B46" s="5"/>
      <c r="D46" s="3" t="s">
        <v>63</v>
      </c>
      <c r="F46" s="3">
        <v>1</v>
      </c>
      <c r="AE46" s="19"/>
      <c r="AF46" s="17"/>
      <c r="AG46" s="17"/>
    </row>
    <row r="47" spans="2:34">
      <c r="B47" s="5"/>
      <c r="D47" s="3" t="s">
        <v>21</v>
      </c>
      <c r="AE47" s="19"/>
      <c r="AF47" s="17"/>
      <c r="AG47" s="17"/>
    </row>
    <row r="48" spans="2:34">
      <c r="B48" s="5"/>
      <c r="F48" s="18" t="s">
        <v>107</v>
      </c>
      <c r="AE48" s="19"/>
      <c r="AF48" s="17"/>
      <c r="AG48" s="17"/>
    </row>
    <row r="49" spans="2:34">
      <c r="B49" s="5"/>
      <c r="D49" s="18" t="s">
        <v>118</v>
      </c>
      <c r="F49" s="3">
        <v>1</v>
      </c>
      <c r="AE49" s="19"/>
      <c r="AF49" s="17"/>
      <c r="AG49" s="17"/>
    </row>
    <row r="50" spans="2:34">
      <c r="B50" s="5"/>
      <c r="D50" s="31" t="s">
        <v>57</v>
      </c>
      <c r="AE50" s="19"/>
      <c r="AF50" s="17"/>
      <c r="AG50" s="17"/>
    </row>
    <row r="51" spans="2:34">
      <c r="B51" s="5"/>
      <c r="D51" t="s">
        <v>119</v>
      </c>
      <c r="F51" s="18" t="s">
        <v>108</v>
      </c>
      <c r="AE51" s="19"/>
      <c r="AF51" s="17"/>
      <c r="AG51" s="17"/>
    </row>
    <row r="52" spans="2:34">
      <c r="B52" s="5"/>
      <c r="F52" s="3">
        <v>2</v>
      </c>
      <c r="AE52" s="19"/>
      <c r="AF52" s="17"/>
      <c r="AG52" s="17"/>
    </row>
    <row r="53" spans="2:34">
      <c r="B53" s="5"/>
      <c r="AE53" s="19"/>
      <c r="AF53" s="17"/>
      <c r="AG53" s="17"/>
    </row>
    <row r="54" spans="2:34">
      <c r="B54" s="5"/>
      <c r="AE54" s="19"/>
      <c r="AF54" s="17"/>
      <c r="AG54" s="17"/>
    </row>
    <row r="55" spans="2:34">
      <c r="B55" s="5"/>
      <c r="D55" s="23" t="str">
        <f>"I finished the MECC Keyboarding Challenge in "&amp;Results!$E$16&amp;" seconds. Sign up for the Microsoft Excel Collegiate Challenge and give it a try! #ExcelEsports #ExcelAtEller"</f>
        <v>I finished the MECC Keyboarding Challenge in 336 seconds. Sign up for the Microsoft Excel Collegiate Challenge and give it a try! #ExcelEsports #ExcelAtEller</v>
      </c>
      <c r="AE55" s="19"/>
      <c r="AF55" s="17"/>
      <c r="AG55" s="17"/>
    </row>
    <row r="56" spans="2:34">
      <c r="D56" s="3">
        <f>LEN(D55)</f>
        <v>157</v>
      </c>
      <c r="AE56" s="19"/>
      <c r="AF56" s="17"/>
      <c r="AG56" s="17"/>
    </row>
    <row r="57" spans="2:34">
      <c r="AE57" s="19"/>
      <c r="AF57" s="17"/>
      <c r="AG57" s="17"/>
    </row>
    <row r="58" spans="2:34">
      <c r="D58" s="50"/>
      <c r="AD58" s="18"/>
      <c r="AE58" s="18"/>
      <c r="AF58" s="18"/>
      <c r="AH58" s="17"/>
    </row>
    <row r="59" spans="2:34">
      <c r="D59" s="51" t="s">
        <v>139</v>
      </c>
      <c r="AE59" s="19"/>
      <c r="AF59" s="17"/>
      <c r="AG59" s="17"/>
    </row>
    <row r="60" spans="2:34">
      <c r="AD60" s="18"/>
      <c r="AE60" s="19"/>
      <c r="AF60" s="17"/>
      <c r="AG60" s="17"/>
    </row>
    <row r="61" spans="2:34">
      <c r="D61" s="7" t="s">
        <v>140</v>
      </c>
      <c r="AD61" s="18"/>
      <c r="AE61" s="18"/>
      <c r="AF61" s="18"/>
      <c r="AG61" s="18"/>
    </row>
    <row r="62" spans="2:34">
      <c r="AE62" s="19"/>
      <c r="AF62" s="17"/>
      <c r="AG62" s="17"/>
    </row>
    <row r="63" spans="2:34">
      <c r="D63" s="52"/>
      <c r="AE63" s="19"/>
      <c r="AF63" s="17"/>
      <c r="AG63" s="17"/>
    </row>
    <row r="64" spans="2:34">
      <c r="D64" s="7"/>
      <c r="AE64" s="19"/>
      <c r="AF64" s="17"/>
      <c r="AG64" s="17"/>
    </row>
    <row r="65" spans="4:34">
      <c r="D65" s="7" t="str">
        <f>"https://twitter.com/intent/tweet?text=I+finished+the+MECC+Keyboarding+Challenge+in+"&amp;Results!$E$16&amp;"+seconds.+Sign+up+and+give+it+a+try!&amp;hashtags=ExcelEsports,ExcelAtEller"</f>
        <v>https://twitter.com/intent/tweet?text=I+finished+the+MECC+Keyboarding+Challenge+in+336+seconds.+Sign+up+and+give+it+a+try!&amp;hashtags=ExcelEsports,ExcelAtEller</v>
      </c>
      <c r="AE65" s="19"/>
      <c r="AF65" s="17"/>
      <c r="AG65" s="17"/>
    </row>
    <row r="66" spans="4:34">
      <c r="AE66" s="19"/>
      <c r="AF66" s="17"/>
      <c r="AG66" s="17"/>
    </row>
    <row r="67" spans="4:34">
      <c r="D67" s="53" t="s">
        <v>141</v>
      </c>
      <c r="AE67" s="19"/>
      <c r="AF67" s="17"/>
      <c r="AG67" s="17"/>
    </row>
    <row r="68" spans="4:34">
      <c r="AE68" s="19"/>
      <c r="AF68" s="17"/>
      <c r="AG68" s="17"/>
    </row>
    <row r="69" spans="4:34">
      <c r="D69" s="7" t="str">
        <f>"http://www.facebook.com/sharer.php?t=I%20finished%20the%20MECC%20Keyboarding%20Challenge%20in%20"&amp;Results!$E$16&amp;"%20seconds.%20Sign%20up%20for%20the%20Microsoft%20Excel%20Collegiate%20Challenge%20and%20give%20it%20a%20try!"</f>
        <v>http://www.facebook.com/sharer.php?t=I%20finished%20the%20MECC%20Keyboarding%20Challenge%20in%20336%20seconds.%20Sign%20up%20for%20the%20Microsoft%20Excel%20Collegiate%20Challenge%20and%20give%20it%20a%20try!</v>
      </c>
      <c r="AE69" s="19"/>
      <c r="AF69" s="17"/>
      <c r="AG69" s="17"/>
    </row>
    <row r="70" spans="4:34">
      <c r="AE70" s="19"/>
      <c r="AF70" s="17"/>
      <c r="AG70" s="17"/>
    </row>
    <row r="71" spans="4:34">
      <c r="AE71" s="19"/>
      <c r="AF71" s="17"/>
      <c r="AG71" s="17"/>
    </row>
    <row r="72" spans="4:34">
      <c r="AE72" s="19"/>
      <c r="AF72" s="17"/>
      <c r="AG72" s="17"/>
    </row>
    <row r="73" spans="4:34">
      <c r="AE73" s="19"/>
      <c r="AF73" s="17"/>
      <c r="AG73" s="17"/>
    </row>
    <row r="74" spans="4:34">
      <c r="AE74" s="19"/>
      <c r="AF74" s="17"/>
      <c r="AG74" s="17"/>
    </row>
    <row r="75" spans="4:34">
      <c r="AE75" s="19"/>
      <c r="AF75" s="17"/>
      <c r="AG75" s="17"/>
    </row>
    <row r="76" spans="4:34">
      <c r="AE76" s="19"/>
      <c r="AF76" s="17"/>
      <c r="AG76" s="17"/>
    </row>
    <row r="77" spans="4:34">
      <c r="AE77" s="19"/>
      <c r="AF77" s="17"/>
      <c r="AG77" s="17"/>
    </row>
    <row r="78" spans="4:34">
      <c r="AE78" s="19"/>
      <c r="AF78" s="17"/>
      <c r="AH78" s="17"/>
    </row>
    <row r="79" spans="4:34">
      <c r="AE79" s="19"/>
      <c r="AF79" s="17"/>
      <c r="AG79" s="17"/>
    </row>
    <row r="80" spans="4:34">
      <c r="AD80" s="18"/>
      <c r="AE80" s="19"/>
      <c r="AF80" s="17"/>
      <c r="AG80" s="17"/>
    </row>
    <row r="81" spans="30:33">
      <c r="AD81" s="18"/>
      <c r="AE81" s="18"/>
      <c r="AF81" s="18"/>
      <c r="AG81" s="18"/>
    </row>
    <row r="82" spans="30:33">
      <c r="AE82" s="19"/>
      <c r="AF82" s="17"/>
      <c r="AG82" s="17"/>
    </row>
    <row r="83" spans="30:33">
      <c r="AE83" s="19"/>
      <c r="AF83" s="17"/>
      <c r="AG83" s="17"/>
    </row>
    <row r="84" spans="30:33">
      <c r="AE84" s="19"/>
      <c r="AF84" s="17"/>
      <c r="AG84" s="17"/>
    </row>
    <row r="85" spans="30:33">
      <c r="AE85" s="19"/>
      <c r="AF85" s="17"/>
      <c r="AG85" s="17"/>
    </row>
    <row r="86" spans="30:33">
      <c r="AE86" s="19"/>
      <c r="AF86" s="17"/>
      <c r="AG86" s="17"/>
    </row>
    <row r="87" spans="30:33">
      <c r="AE87" s="19"/>
      <c r="AF87" s="17"/>
      <c r="AG87" s="17"/>
    </row>
    <row r="88" spans="30:33">
      <c r="AE88" s="19"/>
      <c r="AF88" s="17"/>
      <c r="AG88" s="17"/>
    </row>
    <row r="89" spans="30:33">
      <c r="AE89" s="19"/>
      <c r="AF89" s="17"/>
      <c r="AG89" s="17"/>
    </row>
    <row r="90" spans="30:33">
      <c r="AE90" s="19"/>
      <c r="AF90" s="17"/>
      <c r="AG90" s="17"/>
    </row>
    <row r="91" spans="30:33">
      <c r="AE91" s="19"/>
      <c r="AF91" s="17"/>
      <c r="AG91" s="17"/>
    </row>
    <row r="92" spans="30:33">
      <c r="AE92" s="19"/>
      <c r="AF92" s="17"/>
      <c r="AG92" s="17"/>
    </row>
    <row r="93" spans="30:33">
      <c r="AE93" s="19"/>
      <c r="AF93" s="17"/>
      <c r="AG93" s="17"/>
    </row>
    <row r="94" spans="30:33">
      <c r="AE94" s="19"/>
      <c r="AF94" s="17"/>
      <c r="AG94" s="17"/>
    </row>
    <row r="95" spans="30:33">
      <c r="AE95" s="19"/>
      <c r="AF95" s="17"/>
      <c r="AG95" s="17"/>
    </row>
    <row r="96" spans="30:33">
      <c r="AE96" s="19"/>
      <c r="AF96" s="17"/>
      <c r="AG96" s="17"/>
    </row>
    <row r="97" spans="30:34">
      <c r="AE97" s="19"/>
      <c r="AF97" s="17"/>
      <c r="AG97" s="17"/>
    </row>
    <row r="98" spans="30:34">
      <c r="AE98" s="19"/>
      <c r="AF98" s="17"/>
      <c r="AH98" s="17"/>
    </row>
    <row r="99" spans="30:34">
      <c r="AE99" s="19"/>
      <c r="AF99" s="17"/>
      <c r="AG99" s="17"/>
    </row>
    <row r="100" spans="30:34">
      <c r="AD100" s="18"/>
      <c r="AE100" s="19"/>
      <c r="AF100" s="17"/>
      <c r="AH100" s="17"/>
    </row>
    <row r="101" spans="30:34">
      <c r="AD101" s="18"/>
      <c r="AE101" s="18"/>
      <c r="AF101" s="18"/>
      <c r="AG101" s="18"/>
      <c r="AH101" s="17"/>
    </row>
    <row r="102" spans="30:34">
      <c r="AE102" s="19"/>
      <c r="AF102" s="17"/>
      <c r="AG102" s="17"/>
      <c r="AH102" s="17"/>
    </row>
    <row r="103" spans="30:34">
      <c r="AE103" s="19"/>
      <c r="AF103" s="17"/>
      <c r="AG103" s="17"/>
    </row>
    <row r="104" spans="30:34">
      <c r="AE104" s="19"/>
      <c r="AF104" s="17"/>
      <c r="AG104" s="17"/>
    </row>
    <row r="105" spans="30:34">
      <c r="AE105" s="19"/>
      <c r="AF105" s="17"/>
      <c r="AG105" s="17"/>
    </row>
    <row r="106" spans="30:34">
      <c r="AE106" s="19"/>
      <c r="AF106" s="17"/>
      <c r="AG106" s="17"/>
    </row>
    <row r="107" spans="30:34">
      <c r="AE107" s="19"/>
      <c r="AF107" s="17"/>
      <c r="AG107" s="17"/>
    </row>
    <row r="108" spans="30:34">
      <c r="AE108" s="19"/>
      <c r="AF108" s="17"/>
      <c r="AG108" s="17"/>
    </row>
    <row r="109" spans="30:34">
      <c r="AE109" s="19"/>
      <c r="AF109" s="17"/>
      <c r="AG109" s="17"/>
    </row>
    <row r="110" spans="30:34">
      <c r="AE110" s="19"/>
      <c r="AF110" s="17"/>
      <c r="AG110" s="17"/>
    </row>
    <row r="111" spans="30:34">
      <c r="AE111" s="19"/>
      <c r="AF111" s="17"/>
      <c r="AG111" s="17"/>
    </row>
    <row r="112" spans="30:34">
      <c r="AE112" s="19"/>
      <c r="AF112" s="17"/>
      <c r="AG112" s="17"/>
    </row>
    <row r="113" spans="31:33">
      <c r="AE113" s="19"/>
      <c r="AF113" s="17"/>
      <c r="AG113" s="17"/>
    </row>
    <row r="114" spans="31:33">
      <c r="AE114" s="19"/>
      <c r="AF114" s="17"/>
      <c r="AG114" s="17"/>
    </row>
    <row r="115" spans="31:33">
      <c r="AE115" s="19"/>
      <c r="AF115" s="17"/>
      <c r="AG115" s="17"/>
    </row>
    <row r="116" spans="31:33">
      <c r="AE116" s="19"/>
      <c r="AF116" s="17"/>
      <c r="AG116" s="17"/>
    </row>
    <row r="117" spans="31:33">
      <c r="AE117" s="19"/>
      <c r="AF117" s="17"/>
      <c r="AG117" s="17"/>
    </row>
    <row r="118" spans="31:33">
      <c r="AE118" s="19"/>
      <c r="AF118" s="17"/>
      <c r="AG118" s="17"/>
    </row>
    <row r="119" spans="31:33">
      <c r="AE119" s="19"/>
      <c r="AF119" s="17"/>
      <c r="AG119" s="17"/>
    </row>
    <row r="120" spans="31:33">
      <c r="AE120" s="19"/>
      <c r="AF120" s="17"/>
      <c r="AG120" s="17"/>
    </row>
    <row r="121" spans="31:33">
      <c r="AE121" s="19"/>
      <c r="AF121" s="17"/>
      <c r="AG121" s="17"/>
    </row>
    <row r="122" spans="31:33">
      <c r="AE122" s="19"/>
      <c r="AF122" s="17"/>
      <c r="AG122" s="17"/>
    </row>
    <row r="123" spans="31:33">
      <c r="AE123" s="19"/>
      <c r="AF123" s="17"/>
      <c r="AG123" s="17"/>
    </row>
    <row r="124" spans="31:33">
      <c r="AE124" s="19"/>
      <c r="AF124" s="17"/>
      <c r="AG124" s="17"/>
    </row>
    <row r="125" spans="31:33">
      <c r="AE125" s="19"/>
      <c r="AF125" s="17"/>
      <c r="AG125" s="17"/>
    </row>
    <row r="126" spans="31:33">
      <c r="AE126" s="19"/>
      <c r="AF126" s="17"/>
      <c r="AG126" s="17"/>
    </row>
    <row r="127" spans="31:33">
      <c r="AE127" s="19"/>
      <c r="AF127" s="17"/>
      <c r="AG127" s="17"/>
    </row>
    <row r="128" spans="31:33">
      <c r="AE128" s="19"/>
      <c r="AF128" s="17"/>
      <c r="AG128" s="17"/>
    </row>
    <row r="129" spans="31:33">
      <c r="AE129" s="19"/>
      <c r="AF129" s="17"/>
      <c r="AG129" s="17"/>
    </row>
    <row r="130" spans="31:33">
      <c r="AE130" s="19"/>
      <c r="AF130" s="17"/>
      <c r="AG130" s="17"/>
    </row>
    <row r="131" spans="31:33">
      <c r="AE131" s="19"/>
      <c r="AF131" s="17"/>
      <c r="AG131" s="17"/>
    </row>
    <row r="132" spans="31:33">
      <c r="AE132" s="19"/>
      <c r="AF132" s="17"/>
      <c r="AG132" s="17"/>
    </row>
    <row r="133" spans="31:33">
      <c r="AE133" s="19"/>
      <c r="AF133" s="17"/>
      <c r="AG133" s="17"/>
    </row>
    <row r="134" spans="31:33">
      <c r="AE134" s="19"/>
      <c r="AF134" s="17"/>
      <c r="AG134" s="17"/>
    </row>
    <row r="135" spans="31:33">
      <c r="AE135" s="19"/>
      <c r="AF135" s="17"/>
      <c r="AG135" s="17"/>
    </row>
    <row r="136" spans="31:33">
      <c r="AE136" s="19"/>
      <c r="AF136" s="17"/>
      <c r="AG136" s="17"/>
    </row>
    <row r="137" spans="31:33">
      <c r="AE137" s="19"/>
      <c r="AF137" s="17"/>
      <c r="AG137" s="17"/>
    </row>
    <row r="138" spans="31:33">
      <c r="AE138" s="19"/>
      <c r="AF138" s="17"/>
      <c r="AG138" s="17"/>
    </row>
    <row r="139" spans="31:33">
      <c r="AE139" s="19"/>
      <c r="AF139" s="17"/>
      <c r="AG139" s="17"/>
    </row>
    <row r="140" spans="31:33">
      <c r="AE140" s="19"/>
      <c r="AF140" s="17"/>
      <c r="AG140" s="17"/>
    </row>
    <row r="141" spans="31:33">
      <c r="AE141" s="19"/>
      <c r="AF141" s="17"/>
      <c r="AG141" s="17"/>
    </row>
    <row r="142" spans="31:33">
      <c r="AE142" s="19"/>
      <c r="AF142" s="17"/>
      <c r="AG142" s="17"/>
    </row>
    <row r="143" spans="31:33">
      <c r="AE143" s="19"/>
      <c r="AF143" s="17"/>
      <c r="AG143" s="17"/>
    </row>
    <row r="144" spans="31:33">
      <c r="AE144" s="19"/>
      <c r="AF144" s="17"/>
      <c r="AG144" s="17"/>
    </row>
    <row r="145" spans="31:33">
      <c r="AE145" s="19"/>
      <c r="AF145" s="17"/>
      <c r="AG145" s="17"/>
    </row>
    <row r="146" spans="31:33">
      <c r="AE146" s="19"/>
      <c r="AF146" s="17"/>
      <c r="AG146" s="17"/>
    </row>
    <row r="147" spans="31:33">
      <c r="AE147" s="19"/>
      <c r="AF147" s="17"/>
      <c r="AG147" s="17"/>
    </row>
    <row r="148" spans="31:33">
      <c r="AE148" s="19"/>
      <c r="AF148" s="17"/>
      <c r="AG148" s="17"/>
    </row>
    <row r="149" spans="31:33">
      <c r="AE149" s="19"/>
      <c r="AF149" s="17"/>
      <c r="AG149" s="17"/>
    </row>
    <row r="150" spans="31:33">
      <c r="AE150" s="19"/>
      <c r="AF150" s="17"/>
      <c r="AG150" s="17"/>
    </row>
    <row r="151" spans="31:33">
      <c r="AE151" s="19"/>
      <c r="AF151" s="17"/>
      <c r="AG151" s="17"/>
    </row>
    <row r="152" spans="31:33">
      <c r="AE152" s="19"/>
      <c r="AF152" s="17"/>
      <c r="AG152" s="17"/>
    </row>
    <row r="153" spans="31:33">
      <c r="AE153" s="19"/>
      <c r="AF153" s="17"/>
      <c r="AG153" s="17"/>
    </row>
    <row r="154" spans="31:33">
      <c r="AE154" s="19"/>
      <c r="AF154" s="17"/>
      <c r="AG154" s="17"/>
    </row>
    <row r="155" spans="31:33">
      <c r="AE155" s="19"/>
      <c r="AF155" s="17"/>
      <c r="AG155" s="17"/>
    </row>
    <row r="156" spans="31:33">
      <c r="AE156" s="19"/>
      <c r="AF156" s="17"/>
      <c r="AG156" s="17"/>
    </row>
    <row r="157" spans="31:33">
      <c r="AE157" s="19"/>
      <c r="AF157" s="17"/>
      <c r="AG157" s="17"/>
    </row>
    <row r="158" spans="31:33">
      <c r="AE158" s="19"/>
      <c r="AF158" s="17"/>
      <c r="AG158" s="17"/>
    </row>
    <row r="159" spans="31:33">
      <c r="AE159" s="19"/>
      <c r="AF159" s="17"/>
      <c r="AG159" s="17"/>
    </row>
    <row r="160" spans="31:33">
      <c r="AE160" s="19"/>
      <c r="AF160" s="17"/>
      <c r="AG160" s="17"/>
    </row>
    <row r="161" spans="31:33">
      <c r="AE161" s="19"/>
      <c r="AF161" s="17"/>
      <c r="AG161" s="17"/>
    </row>
    <row r="162" spans="31:33">
      <c r="AE162" s="19"/>
      <c r="AF162" s="17"/>
      <c r="AG162" s="17"/>
    </row>
    <row r="163" spans="31:33">
      <c r="AE163" s="19"/>
      <c r="AF163" s="17"/>
      <c r="AG163" s="17"/>
    </row>
    <row r="164" spans="31:33">
      <c r="AE164" s="19"/>
      <c r="AF164" s="17"/>
      <c r="AG164" s="17"/>
    </row>
    <row r="165" spans="31:33">
      <c r="AE165" s="19"/>
      <c r="AF165" s="17"/>
      <c r="AG165" s="17"/>
    </row>
    <row r="166" spans="31:33">
      <c r="AE166" s="19"/>
      <c r="AF166" s="17"/>
      <c r="AG166" s="17"/>
    </row>
    <row r="167" spans="31:33">
      <c r="AE167" s="19"/>
      <c r="AF167" s="17"/>
      <c r="AG167" s="17"/>
    </row>
    <row r="168" spans="31:33">
      <c r="AE168" s="19"/>
      <c r="AF168" s="17"/>
      <c r="AG168" s="17"/>
    </row>
    <row r="169" spans="31:33">
      <c r="AE169" s="19"/>
      <c r="AF169" s="17"/>
      <c r="AG169" s="17"/>
    </row>
    <row r="170" spans="31:33">
      <c r="AE170" s="19"/>
      <c r="AF170" s="17"/>
      <c r="AG170" s="17"/>
    </row>
    <row r="171" spans="31:33">
      <c r="AE171" s="19"/>
      <c r="AF171" s="17"/>
      <c r="AG171" s="17"/>
    </row>
    <row r="172" spans="31:33">
      <c r="AE172" s="19"/>
      <c r="AF172" s="17"/>
      <c r="AG172" s="17"/>
    </row>
    <row r="173" spans="31:33">
      <c r="AE173" s="19"/>
      <c r="AF173" s="17"/>
      <c r="AG173" s="17"/>
    </row>
    <row r="174" spans="31:33">
      <c r="AE174" s="19"/>
      <c r="AF174" s="17"/>
      <c r="AG174" s="17"/>
    </row>
    <row r="175" spans="31:33">
      <c r="AE175" s="19"/>
      <c r="AF175" s="17"/>
      <c r="AG175" s="17"/>
    </row>
    <row r="176" spans="31:33">
      <c r="AE176" s="19"/>
      <c r="AF176" s="17"/>
      <c r="AG176" s="17"/>
    </row>
    <row r="177" spans="31:33">
      <c r="AE177" s="19"/>
      <c r="AF177" s="17"/>
      <c r="AG177" s="17"/>
    </row>
    <row r="178" spans="31:33">
      <c r="AE178" s="19"/>
      <c r="AF178" s="17"/>
      <c r="AG178" s="17"/>
    </row>
    <row r="179" spans="31:33">
      <c r="AE179" s="19"/>
      <c r="AF179" s="17"/>
      <c r="AG179" s="17"/>
    </row>
    <row r="180" spans="31:33">
      <c r="AE180" s="19"/>
      <c r="AF180" s="17"/>
      <c r="AG180" s="17"/>
    </row>
    <row r="181" spans="31:33">
      <c r="AE181" s="19"/>
      <c r="AF181" s="17"/>
      <c r="AG181" s="17"/>
    </row>
    <row r="182" spans="31:33">
      <c r="AE182" s="19"/>
      <c r="AF182" s="17"/>
      <c r="AG182" s="17"/>
    </row>
    <row r="183" spans="31:33">
      <c r="AE183" s="19"/>
      <c r="AF183" s="17"/>
      <c r="AG183" s="17"/>
    </row>
    <row r="184" spans="31:33">
      <c r="AE184" s="19"/>
      <c r="AF184" s="17"/>
      <c r="AG184" s="17"/>
    </row>
    <row r="185" spans="31:33">
      <c r="AE185" s="19"/>
      <c r="AF185" s="17"/>
      <c r="AG185" s="17"/>
    </row>
    <row r="186" spans="31:33">
      <c r="AE186" s="19"/>
      <c r="AF186" s="17"/>
      <c r="AG186" s="17"/>
    </row>
    <row r="187" spans="31:33">
      <c r="AE187" s="19"/>
      <c r="AF187" s="17"/>
      <c r="AG187" s="17"/>
    </row>
    <row r="188" spans="31:33">
      <c r="AE188" s="19"/>
      <c r="AF188" s="17"/>
      <c r="AG188" s="17"/>
    </row>
    <row r="189" spans="31:33">
      <c r="AE189" s="19"/>
      <c r="AF189" s="17"/>
      <c r="AG189" s="17"/>
    </row>
    <row r="190" spans="31:33">
      <c r="AE190" s="19"/>
      <c r="AF190" s="17"/>
      <c r="AG190" s="17"/>
    </row>
    <row r="191" spans="31:33">
      <c r="AE191" s="19"/>
      <c r="AF191" s="17"/>
      <c r="AG191" s="17"/>
    </row>
    <row r="192" spans="31:33">
      <c r="AE192" s="19"/>
      <c r="AF192" s="17"/>
      <c r="AG192" s="17"/>
    </row>
    <row r="193" spans="31:33">
      <c r="AE193" s="19"/>
      <c r="AF193" s="17"/>
      <c r="AG193" s="17"/>
    </row>
    <row r="194" spans="31:33">
      <c r="AE194" s="19"/>
      <c r="AF194" s="17"/>
      <c r="AG194" s="17"/>
    </row>
    <row r="195" spans="31:33">
      <c r="AE195" s="19"/>
      <c r="AF195" s="17"/>
      <c r="AG195" s="17"/>
    </row>
    <row r="196" spans="31:33">
      <c r="AE196" s="19"/>
      <c r="AF196" s="17"/>
      <c r="AG196" s="17"/>
    </row>
    <row r="197" spans="31:33">
      <c r="AE197" s="19"/>
      <c r="AF197" s="17"/>
      <c r="AG197" s="17"/>
    </row>
    <row r="198" spans="31:33">
      <c r="AE198" s="19"/>
      <c r="AF198" s="17"/>
      <c r="AG198" s="17"/>
    </row>
    <row r="199" spans="31:33">
      <c r="AE199" s="19"/>
      <c r="AF199" s="17"/>
      <c r="AG199" s="17"/>
    </row>
    <row r="200" spans="31:33">
      <c r="AE200" s="19"/>
      <c r="AF200" s="17"/>
      <c r="AG200" s="17"/>
    </row>
    <row r="201" spans="31:33">
      <c r="AE201" s="19"/>
      <c r="AF201" s="17"/>
      <c r="AG201" s="17"/>
    </row>
    <row r="202" spans="31:33">
      <c r="AE202" s="19"/>
      <c r="AF202" s="17"/>
      <c r="AG202" s="17"/>
    </row>
    <row r="203" spans="31:33">
      <c r="AE203" s="19"/>
      <c r="AF203" s="17"/>
      <c r="AG203" s="17"/>
    </row>
    <row r="204" spans="31:33">
      <c r="AE204" s="19"/>
      <c r="AF204" s="17"/>
      <c r="AG204" s="17"/>
    </row>
    <row r="205" spans="31:33">
      <c r="AE205" s="19"/>
      <c r="AF205" s="17"/>
      <c r="AG205" s="17"/>
    </row>
    <row r="206" spans="31:33">
      <c r="AE206" s="19"/>
      <c r="AF206" s="17"/>
      <c r="AG206" s="17"/>
    </row>
    <row r="207" spans="31:33">
      <c r="AE207" s="19"/>
      <c r="AF207" s="17"/>
      <c r="AG207" s="17"/>
    </row>
    <row r="208" spans="31:33">
      <c r="AE208" s="19"/>
      <c r="AF208" s="17"/>
      <c r="AG208" s="17"/>
    </row>
    <row r="209" spans="31:33">
      <c r="AE209" s="19"/>
      <c r="AF209" s="17"/>
      <c r="AG209" s="17"/>
    </row>
    <row r="210" spans="31:33">
      <c r="AE210" s="19"/>
      <c r="AF210" s="17"/>
      <c r="AG210" s="17"/>
    </row>
    <row r="211" spans="31:33">
      <c r="AE211" s="19"/>
      <c r="AF211" s="17"/>
      <c r="AG211" s="17"/>
    </row>
    <row r="212" spans="31:33">
      <c r="AE212" s="19"/>
      <c r="AF212" s="17"/>
      <c r="AG212" s="17"/>
    </row>
    <row r="213" spans="31:33">
      <c r="AE213" s="19"/>
      <c r="AF213" s="17"/>
      <c r="AG213" s="17"/>
    </row>
    <row r="214" spans="31:33">
      <c r="AE214" s="19"/>
      <c r="AF214" s="17"/>
      <c r="AG214" s="17"/>
    </row>
    <row r="215" spans="31:33">
      <c r="AE215" s="19"/>
      <c r="AF215" s="17"/>
      <c r="AG215" s="17"/>
    </row>
    <row r="216" spans="31:33">
      <c r="AE216" s="19"/>
      <c r="AF216" s="17"/>
      <c r="AG216" s="17"/>
    </row>
    <row r="217" spans="31:33">
      <c r="AE217" s="19"/>
      <c r="AF217" s="17"/>
      <c r="AG217" s="17"/>
    </row>
    <row r="218" spans="31:33">
      <c r="AE218" s="19"/>
      <c r="AF218" s="17"/>
      <c r="AG218" s="17"/>
    </row>
    <row r="219" spans="31:33">
      <c r="AE219" s="19"/>
      <c r="AF219" s="17"/>
      <c r="AG219" s="17"/>
    </row>
    <row r="220" spans="31:33">
      <c r="AE220" s="19"/>
      <c r="AF220" s="17"/>
      <c r="AG220" s="17"/>
    </row>
    <row r="221" spans="31:33">
      <c r="AE221" s="19"/>
      <c r="AF221" s="17"/>
      <c r="AG221" s="17"/>
    </row>
    <row r="222" spans="31:33">
      <c r="AE222" s="19"/>
      <c r="AF222" s="17"/>
      <c r="AG222" s="17"/>
    </row>
    <row r="223" spans="31:33">
      <c r="AE223" s="19"/>
      <c r="AF223" s="17"/>
      <c r="AG223" s="17"/>
    </row>
    <row r="224" spans="31:33">
      <c r="AE224" s="19"/>
      <c r="AF224" s="17"/>
      <c r="AG224" s="17"/>
    </row>
    <row r="225" spans="31:33">
      <c r="AE225" s="19"/>
      <c r="AF225" s="17"/>
      <c r="AG225" s="17"/>
    </row>
    <row r="226" spans="31:33">
      <c r="AE226" s="19"/>
      <c r="AF226" s="17"/>
      <c r="AG226" s="17"/>
    </row>
    <row r="227" spans="31:33">
      <c r="AE227" s="19"/>
      <c r="AF227" s="17"/>
      <c r="AG227" s="17"/>
    </row>
    <row r="228" spans="31:33">
      <c r="AE228" s="19"/>
      <c r="AF228" s="17"/>
      <c r="AG228" s="17"/>
    </row>
    <row r="229" spans="31:33">
      <c r="AE229" s="19"/>
      <c r="AF229" s="17"/>
      <c r="AG229" s="17"/>
    </row>
    <row r="230" spans="31:33">
      <c r="AE230" s="19"/>
      <c r="AF230" s="17"/>
      <c r="AG230" s="17"/>
    </row>
    <row r="231" spans="31:33">
      <c r="AE231" s="19"/>
      <c r="AF231" s="17"/>
      <c r="AG231" s="17"/>
    </row>
    <row r="232" spans="31:33">
      <c r="AE232" s="19"/>
      <c r="AF232" s="17"/>
      <c r="AG232" s="17"/>
    </row>
    <row r="233" spans="31:33">
      <c r="AE233" s="19"/>
      <c r="AF233" s="17"/>
      <c r="AG233" s="17"/>
    </row>
    <row r="234" spans="31:33">
      <c r="AE234" s="19"/>
      <c r="AF234" s="17"/>
      <c r="AG234" s="17"/>
    </row>
    <row r="235" spans="31:33">
      <c r="AE235" s="19"/>
      <c r="AF235" s="17"/>
      <c r="AG235" s="17"/>
    </row>
    <row r="236" spans="31:33">
      <c r="AE236" s="19"/>
      <c r="AF236" s="17"/>
      <c r="AG236" s="17"/>
    </row>
    <row r="237" spans="31:33">
      <c r="AE237" s="19"/>
      <c r="AF237" s="17"/>
      <c r="AG237" s="17"/>
    </row>
    <row r="238" spans="31:33">
      <c r="AE238" s="19"/>
      <c r="AF238" s="17"/>
      <c r="AG238" s="17"/>
    </row>
    <row r="239" spans="31:33">
      <c r="AE239" s="19"/>
      <c r="AF239" s="17"/>
      <c r="AG239" s="17"/>
    </row>
    <row r="240" spans="31:33">
      <c r="AE240" s="19"/>
      <c r="AF240" s="17"/>
      <c r="AG240" s="17"/>
    </row>
    <row r="241" spans="31:33">
      <c r="AE241" s="19"/>
      <c r="AF241" s="17"/>
      <c r="AG241" s="17"/>
    </row>
    <row r="242" spans="31:33">
      <c r="AE242" s="19"/>
      <c r="AF242" s="17"/>
      <c r="AG242" s="17"/>
    </row>
    <row r="243" spans="31:33">
      <c r="AE243" s="19"/>
      <c r="AF243" s="17"/>
      <c r="AG243" s="17"/>
    </row>
    <row r="244" spans="31:33">
      <c r="AE244" s="19"/>
      <c r="AF244" s="17"/>
      <c r="AG244" s="17"/>
    </row>
    <row r="245" spans="31:33">
      <c r="AE245" s="19"/>
      <c r="AF245" s="17"/>
      <c r="AG245" s="17"/>
    </row>
    <row r="246" spans="31:33">
      <c r="AE246" s="19"/>
      <c r="AF246" s="17"/>
      <c r="AG246" s="17"/>
    </row>
    <row r="247" spans="31:33">
      <c r="AE247" s="19"/>
      <c r="AF247" s="17"/>
      <c r="AG247" s="17"/>
    </row>
    <row r="248" spans="31:33">
      <c r="AE248" s="19"/>
      <c r="AF248" s="17"/>
      <c r="AG248" s="17"/>
    </row>
    <row r="249" spans="31:33">
      <c r="AE249" s="19"/>
      <c r="AF249" s="17"/>
      <c r="AG249" s="17"/>
    </row>
    <row r="250" spans="31:33">
      <c r="AE250" s="19"/>
      <c r="AF250" s="17"/>
      <c r="AG250" s="17"/>
    </row>
    <row r="251" spans="31:33">
      <c r="AE251" s="19"/>
      <c r="AF251" s="17"/>
      <c r="AG251" s="17"/>
    </row>
    <row r="252" spans="31:33">
      <c r="AE252" s="19"/>
      <c r="AF252" s="17"/>
      <c r="AG252" s="17"/>
    </row>
    <row r="253" spans="31:33">
      <c r="AE253" s="19"/>
      <c r="AF253" s="17"/>
      <c r="AG253" s="17"/>
    </row>
    <row r="254" spans="31:33">
      <c r="AE254" s="19"/>
      <c r="AF254" s="17"/>
      <c r="AG254" s="17"/>
    </row>
    <row r="255" spans="31:33">
      <c r="AE255" s="19"/>
      <c r="AF255" s="17"/>
      <c r="AG255" s="17"/>
    </row>
    <row r="256" spans="31:33">
      <c r="AE256" s="19"/>
      <c r="AF256" s="17"/>
      <c r="AG256" s="17"/>
    </row>
    <row r="257" spans="31:33">
      <c r="AE257" s="19"/>
      <c r="AF257" s="17"/>
      <c r="AG257" s="17"/>
    </row>
    <row r="258" spans="31:33">
      <c r="AE258" s="19"/>
      <c r="AF258" s="17"/>
      <c r="AG258" s="17"/>
    </row>
    <row r="259" spans="31:33">
      <c r="AE259" s="19"/>
      <c r="AF259" s="17"/>
      <c r="AG259" s="17"/>
    </row>
    <row r="260" spans="31:33">
      <c r="AE260" s="19"/>
      <c r="AF260" s="17"/>
      <c r="AG260" s="17"/>
    </row>
    <row r="261" spans="31:33">
      <c r="AE261" s="19"/>
      <c r="AF261" s="17"/>
      <c r="AG261" s="17"/>
    </row>
    <row r="262" spans="31:33">
      <c r="AE262" s="19"/>
      <c r="AF262" s="17"/>
      <c r="AG262" s="17"/>
    </row>
    <row r="263" spans="31:33">
      <c r="AE263" s="19"/>
      <c r="AF263" s="17"/>
      <c r="AG263" s="17"/>
    </row>
    <row r="264" spans="31:33">
      <c r="AE264" s="19"/>
      <c r="AF264" s="17"/>
      <c r="AG264" s="17"/>
    </row>
    <row r="265" spans="31:33">
      <c r="AE265" s="19"/>
      <c r="AF265" s="17"/>
      <c r="AG265" s="17"/>
    </row>
    <row r="266" spans="31:33">
      <c r="AE266" s="19"/>
      <c r="AF266" s="17"/>
      <c r="AG266" s="17"/>
    </row>
    <row r="267" spans="31:33">
      <c r="AE267" s="19"/>
      <c r="AF267" s="17"/>
      <c r="AG267" s="17"/>
    </row>
    <row r="268" spans="31:33">
      <c r="AE268" s="19"/>
      <c r="AF268" s="17"/>
      <c r="AG268" s="17"/>
    </row>
    <row r="269" spans="31:33">
      <c r="AE269" s="19"/>
      <c r="AF269" s="17"/>
      <c r="AG269" s="17"/>
    </row>
    <row r="270" spans="31:33">
      <c r="AE270" s="19"/>
      <c r="AF270" s="17"/>
      <c r="AG270" s="17"/>
    </row>
    <row r="271" spans="31:33">
      <c r="AE271" s="19"/>
      <c r="AF271" s="17"/>
      <c r="AG271" s="17"/>
    </row>
    <row r="272" spans="31:33">
      <c r="AE272" s="19"/>
      <c r="AF272" s="17"/>
      <c r="AG272" s="17"/>
    </row>
    <row r="273" spans="31:33">
      <c r="AE273" s="19"/>
      <c r="AF273" s="17"/>
      <c r="AG273" s="17"/>
    </row>
    <row r="274" spans="31:33">
      <c r="AE274" s="19"/>
      <c r="AF274" s="17"/>
      <c r="AG274" s="17"/>
    </row>
    <row r="275" spans="31:33">
      <c r="AE275" s="19"/>
      <c r="AF275" s="17"/>
      <c r="AG275" s="17"/>
    </row>
    <row r="276" spans="31:33">
      <c r="AE276" s="19"/>
      <c r="AF276" s="17"/>
      <c r="AG276" s="17"/>
    </row>
    <row r="277" spans="31:33">
      <c r="AE277" s="19"/>
      <c r="AF277" s="17"/>
      <c r="AG277" s="17"/>
    </row>
    <row r="278" spans="31:33">
      <c r="AE278" s="19"/>
      <c r="AF278" s="17"/>
      <c r="AG278" s="17"/>
    </row>
    <row r="279" spans="31:33">
      <c r="AE279" s="19"/>
      <c r="AF279" s="17"/>
      <c r="AG279" s="17"/>
    </row>
    <row r="280" spans="31:33">
      <c r="AE280" s="19"/>
      <c r="AF280" s="17"/>
      <c r="AG280" s="17"/>
    </row>
    <row r="281" spans="31:33">
      <c r="AE281" s="19"/>
      <c r="AF281" s="17"/>
      <c r="AG281" s="17"/>
    </row>
    <row r="282" spans="31:33">
      <c r="AE282" s="19"/>
      <c r="AF282" s="17"/>
      <c r="AG282" s="17"/>
    </row>
    <row r="283" spans="31:33">
      <c r="AE283" s="19"/>
      <c r="AF283" s="17"/>
      <c r="AG283" s="17"/>
    </row>
    <row r="284" spans="31:33">
      <c r="AE284" s="19"/>
      <c r="AF284" s="17"/>
      <c r="AG284" s="17"/>
    </row>
    <row r="285" spans="31:33">
      <c r="AE285" s="19"/>
      <c r="AF285" s="17"/>
      <c r="AG285" s="17"/>
    </row>
    <row r="286" spans="31:33">
      <c r="AE286" s="19"/>
      <c r="AF286" s="17"/>
      <c r="AG286" s="17"/>
    </row>
    <row r="287" spans="31:33">
      <c r="AE287" s="19"/>
      <c r="AF287" s="17"/>
      <c r="AG287" s="17"/>
    </row>
    <row r="288" spans="31:33">
      <c r="AE288" s="19"/>
      <c r="AF288" s="17"/>
      <c r="AG288" s="17"/>
    </row>
    <row r="289" spans="31:33">
      <c r="AE289" s="19"/>
      <c r="AF289" s="17"/>
      <c r="AG289" s="17"/>
    </row>
    <row r="290" spans="31:33">
      <c r="AE290" s="19"/>
      <c r="AF290" s="17"/>
      <c r="AG290" s="17"/>
    </row>
    <row r="291" spans="31:33">
      <c r="AE291" s="19"/>
      <c r="AF291" s="17"/>
      <c r="AG291" s="17"/>
    </row>
    <row r="292" spans="31:33">
      <c r="AE292" s="19"/>
      <c r="AF292" s="17"/>
      <c r="AG292" s="17"/>
    </row>
    <row r="293" spans="31:33">
      <c r="AE293" s="19"/>
      <c r="AF293" s="17"/>
      <c r="AG293" s="17"/>
    </row>
    <row r="294" spans="31:33">
      <c r="AE294" s="19"/>
      <c r="AF294" s="17"/>
      <c r="AG294" s="17"/>
    </row>
    <row r="295" spans="31:33">
      <c r="AE295" s="19"/>
      <c r="AF295" s="17"/>
      <c r="AG295" s="17"/>
    </row>
    <row r="296" spans="31:33">
      <c r="AE296" s="19"/>
      <c r="AF296" s="17"/>
      <c r="AG296" s="17"/>
    </row>
    <row r="297" spans="31:33">
      <c r="AE297" s="19"/>
      <c r="AF297" s="17"/>
      <c r="AG297" s="17"/>
    </row>
    <row r="298" spans="31:33">
      <c r="AE298" s="19"/>
      <c r="AF298" s="17"/>
      <c r="AG298" s="17"/>
    </row>
    <row r="299" spans="31:33">
      <c r="AE299" s="19"/>
      <c r="AF299" s="17"/>
      <c r="AG299" s="17"/>
    </row>
    <row r="300" spans="31:33">
      <c r="AE300" s="19"/>
      <c r="AF300" s="17"/>
      <c r="AG300" s="17"/>
    </row>
    <row r="301" spans="31:33">
      <c r="AE301" s="19"/>
      <c r="AF301" s="17"/>
      <c r="AG301" s="17"/>
    </row>
    <row r="302" spans="31:33">
      <c r="AE302" s="19"/>
      <c r="AF302" s="17"/>
      <c r="AG302" s="17"/>
    </row>
    <row r="303" spans="31:33">
      <c r="AE303" s="19"/>
      <c r="AF303" s="17"/>
      <c r="AG303" s="17"/>
    </row>
    <row r="304" spans="31:33">
      <c r="AE304" s="19"/>
      <c r="AF304" s="17"/>
      <c r="AG304" s="17"/>
    </row>
    <row r="305" spans="31:33">
      <c r="AE305" s="19"/>
      <c r="AF305" s="17"/>
      <c r="AG305" s="17"/>
    </row>
    <row r="306" spans="31:33">
      <c r="AE306" s="19"/>
      <c r="AF306" s="17"/>
      <c r="AG306" s="17"/>
    </row>
    <row r="307" spans="31:33">
      <c r="AE307" s="19"/>
      <c r="AF307" s="17"/>
      <c r="AG307" s="17"/>
    </row>
    <row r="308" spans="31:33">
      <c r="AE308" s="19"/>
      <c r="AF308" s="17"/>
      <c r="AG308" s="17"/>
    </row>
    <row r="309" spans="31:33">
      <c r="AE309" s="19"/>
      <c r="AF309" s="17"/>
      <c r="AG309" s="17"/>
    </row>
    <row r="310" spans="31:33">
      <c r="AE310" s="19"/>
      <c r="AF310" s="17"/>
      <c r="AG310" s="17"/>
    </row>
    <row r="311" spans="31:33">
      <c r="AE311" s="19"/>
      <c r="AF311" s="17"/>
      <c r="AG311" s="17"/>
    </row>
    <row r="312" spans="31:33">
      <c r="AE312" s="19"/>
      <c r="AF312" s="17"/>
      <c r="AG312" s="17"/>
    </row>
    <row r="313" spans="31:33">
      <c r="AE313" s="19"/>
      <c r="AF313" s="17"/>
      <c r="AG313" s="17"/>
    </row>
    <row r="314" spans="31:33">
      <c r="AE314" s="19"/>
      <c r="AF314" s="17"/>
      <c r="AG314" s="17"/>
    </row>
    <row r="315" spans="31:33">
      <c r="AE315" s="19"/>
      <c r="AF315" s="17"/>
      <c r="AG315" s="17"/>
    </row>
    <row r="316" spans="31:33">
      <c r="AE316" s="19"/>
      <c r="AF316" s="17"/>
      <c r="AG316" s="17"/>
    </row>
    <row r="317" spans="31:33">
      <c r="AE317" s="19"/>
      <c r="AF317" s="17"/>
      <c r="AG317" s="17"/>
    </row>
    <row r="318" spans="31:33">
      <c r="AE318" s="19"/>
      <c r="AF318" s="17"/>
      <c r="AG318" s="17"/>
    </row>
    <row r="319" spans="31:33">
      <c r="AE319" s="19"/>
      <c r="AF319" s="17"/>
      <c r="AG319" s="17"/>
    </row>
    <row r="320" spans="31:33">
      <c r="AE320" s="19"/>
      <c r="AF320" s="17"/>
      <c r="AG320" s="17"/>
    </row>
    <row r="321" spans="31:33">
      <c r="AE321" s="19"/>
      <c r="AF321" s="17"/>
      <c r="AG321" s="17"/>
    </row>
    <row r="322" spans="31:33">
      <c r="AE322" s="19"/>
      <c r="AF322" s="17"/>
      <c r="AG322" s="17"/>
    </row>
    <row r="323" spans="31:33">
      <c r="AE323" s="19"/>
      <c r="AF323" s="17"/>
      <c r="AG323" s="17"/>
    </row>
    <row r="324" spans="31:33">
      <c r="AE324" s="19"/>
      <c r="AF324" s="17"/>
      <c r="AG324" s="17"/>
    </row>
    <row r="325" spans="31:33">
      <c r="AE325" s="19"/>
      <c r="AF325" s="17"/>
      <c r="AG325" s="17"/>
    </row>
    <row r="326" spans="31:33">
      <c r="AE326" s="19"/>
      <c r="AF326" s="17"/>
      <c r="AG326" s="17"/>
    </row>
    <row r="327" spans="31:33">
      <c r="AE327" s="19"/>
      <c r="AF327" s="17"/>
      <c r="AG327" s="17"/>
    </row>
    <row r="328" spans="31:33">
      <c r="AE328" s="19"/>
      <c r="AF328" s="17"/>
      <c r="AG328" s="17"/>
    </row>
    <row r="329" spans="31:33">
      <c r="AE329" s="19"/>
      <c r="AF329" s="17"/>
      <c r="AG329" s="17"/>
    </row>
    <row r="330" spans="31:33">
      <c r="AE330" s="19"/>
      <c r="AF330" s="17"/>
      <c r="AG330" s="17"/>
    </row>
    <row r="331" spans="31:33">
      <c r="AE331" s="19"/>
      <c r="AF331" s="17"/>
      <c r="AG331" s="17"/>
    </row>
    <row r="332" spans="31:33">
      <c r="AE332" s="19"/>
      <c r="AF332" s="17"/>
      <c r="AG332" s="17"/>
    </row>
    <row r="333" spans="31:33">
      <c r="AE333" s="19"/>
      <c r="AF333" s="17"/>
      <c r="AG333" s="17"/>
    </row>
    <row r="334" spans="31:33">
      <c r="AE334" s="19"/>
      <c r="AF334" s="17"/>
      <c r="AG334" s="17"/>
    </row>
    <row r="335" spans="31:33">
      <c r="AE335" s="19"/>
      <c r="AF335" s="17"/>
      <c r="AG335" s="17"/>
    </row>
    <row r="336" spans="31:33">
      <c r="AE336" s="19"/>
      <c r="AF336" s="17"/>
      <c r="AG336" s="17"/>
    </row>
    <row r="337" spans="31:33">
      <c r="AE337" s="19"/>
      <c r="AF337" s="17"/>
      <c r="AG337" s="17"/>
    </row>
    <row r="338" spans="31:33">
      <c r="AE338" s="19"/>
      <c r="AF338" s="17"/>
      <c r="AG338" s="17"/>
    </row>
    <row r="339" spans="31:33">
      <c r="AE339" s="19"/>
      <c r="AF339" s="17"/>
      <c r="AG339" s="17"/>
    </row>
    <row r="340" spans="31:33">
      <c r="AE340" s="19"/>
      <c r="AF340" s="17"/>
      <c r="AG340" s="17"/>
    </row>
    <row r="341" spans="31:33">
      <c r="AE341" s="19"/>
      <c r="AF341" s="17"/>
      <c r="AG341" s="17"/>
    </row>
    <row r="342" spans="31:33">
      <c r="AE342" s="19"/>
      <c r="AF342" s="17"/>
      <c r="AG342" s="17"/>
    </row>
    <row r="343" spans="31:33">
      <c r="AE343" s="19"/>
      <c r="AF343" s="17"/>
      <c r="AG343" s="17"/>
    </row>
    <row r="344" spans="31:33">
      <c r="AE344" s="19"/>
      <c r="AF344" s="17"/>
      <c r="AG344" s="17"/>
    </row>
    <row r="345" spans="31:33">
      <c r="AE345" s="19"/>
      <c r="AF345" s="17"/>
      <c r="AG345" s="17"/>
    </row>
    <row r="346" spans="31:33">
      <c r="AE346" s="19"/>
      <c r="AF346" s="17"/>
      <c r="AG346" s="17"/>
    </row>
    <row r="347" spans="31:33">
      <c r="AE347" s="19"/>
      <c r="AF347" s="17"/>
      <c r="AG347" s="17"/>
    </row>
    <row r="348" spans="31:33">
      <c r="AE348" s="19"/>
      <c r="AF348" s="17"/>
      <c r="AG348" s="17"/>
    </row>
    <row r="349" spans="31:33">
      <c r="AE349" s="19"/>
      <c r="AF349" s="17"/>
      <c r="AG349" s="17"/>
    </row>
    <row r="350" spans="31:33">
      <c r="AE350" s="19"/>
      <c r="AF350" s="17"/>
      <c r="AG350" s="17"/>
    </row>
    <row r="351" spans="31:33">
      <c r="AE351" s="19"/>
      <c r="AF351" s="17"/>
      <c r="AG351" s="17"/>
    </row>
    <row r="352" spans="31:33">
      <c r="AE352" s="19"/>
      <c r="AF352" s="17"/>
      <c r="AG352" s="17"/>
    </row>
    <row r="353" spans="31:33">
      <c r="AE353" s="19"/>
      <c r="AF353" s="17"/>
      <c r="AG353" s="17"/>
    </row>
    <row r="354" spans="31:33">
      <c r="AE354" s="19"/>
      <c r="AF354" s="17"/>
      <c r="AG354" s="17"/>
    </row>
    <row r="355" spans="31:33">
      <c r="AE355" s="19"/>
      <c r="AF355" s="17"/>
      <c r="AG355" s="17"/>
    </row>
    <row r="356" spans="31:33">
      <c r="AE356" s="19"/>
      <c r="AF356" s="17"/>
      <c r="AG356" s="17"/>
    </row>
    <row r="357" spans="31:33">
      <c r="AE357" s="19"/>
      <c r="AF357" s="17"/>
      <c r="AG357" s="17"/>
    </row>
    <row r="358" spans="31:33">
      <c r="AE358" s="19"/>
      <c r="AF358" s="17"/>
      <c r="AG358" s="17"/>
    </row>
    <row r="359" spans="31:33">
      <c r="AE359" s="19"/>
      <c r="AF359" s="17"/>
      <c r="AG359" s="17"/>
    </row>
    <row r="360" spans="31:33">
      <c r="AE360" s="19"/>
      <c r="AF360" s="17"/>
      <c r="AG360" s="17"/>
    </row>
    <row r="361" spans="31:33">
      <c r="AE361" s="19"/>
      <c r="AF361" s="17"/>
      <c r="AG361" s="17"/>
    </row>
    <row r="362" spans="31:33">
      <c r="AE362" s="19"/>
      <c r="AF362" s="17"/>
      <c r="AG362" s="17"/>
    </row>
    <row r="363" spans="31:33">
      <c r="AE363" s="19"/>
      <c r="AF363" s="17"/>
      <c r="AG363" s="17"/>
    </row>
    <row r="364" spans="31:33">
      <c r="AE364" s="19"/>
      <c r="AF364" s="17"/>
      <c r="AG364" s="17"/>
    </row>
    <row r="365" spans="31:33">
      <c r="AE365" s="19"/>
      <c r="AF365" s="17"/>
      <c r="AG365" s="17"/>
    </row>
    <row r="366" spans="31:33">
      <c r="AE366" s="19"/>
      <c r="AF366" s="17"/>
      <c r="AG366" s="17"/>
    </row>
    <row r="367" spans="31:33">
      <c r="AE367" s="19"/>
      <c r="AF367" s="17"/>
      <c r="AG367" s="17"/>
    </row>
    <row r="368" spans="31:33">
      <c r="AE368" s="19"/>
      <c r="AF368" s="17"/>
      <c r="AG368" s="17"/>
    </row>
    <row r="369" spans="31:33">
      <c r="AE369" s="19"/>
      <c r="AF369" s="17"/>
      <c r="AG369" s="17"/>
    </row>
    <row r="370" spans="31:33">
      <c r="AE370" s="19"/>
      <c r="AF370" s="17"/>
      <c r="AG370" s="17"/>
    </row>
    <row r="371" spans="31:33">
      <c r="AE371" s="19"/>
      <c r="AF371" s="17"/>
      <c r="AG371" s="17"/>
    </row>
    <row r="372" spans="31:33">
      <c r="AE372" s="19"/>
      <c r="AF372" s="17"/>
      <c r="AG372" s="17"/>
    </row>
    <row r="373" spans="31:33">
      <c r="AE373" s="19"/>
      <c r="AF373" s="17"/>
      <c r="AG373" s="17"/>
    </row>
    <row r="374" spans="31:33">
      <c r="AE374" s="19"/>
      <c r="AF374" s="17"/>
      <c r="AG374" s="17"/>
    </row>
    <row r="375" spans="31:33">
      <c r="AE375" s="19"/>
      <c r="AF375" s="17"/>
      <c r="AG375" s="17"/>
    </row>
    <row r="376" spans="31:33">
      <c r="AE376" s="19"/>
      <c r="AF376" s="17"/>
      <c r="AG376" s="17"/>
    </row>
    <row r="377" spans="31:33">
      <c r="AE377" s="19"/>
      <c r="AF377" s="17"/>
      <c r="AG377" s="17"/>
    </row>
    <row r="378" spans="31:33">
      <c r="AE378" s="19"/>
      <c r="AF378" s="17"/>
      <c r="AG378" s="17"/>
    </row>
    <row r="379" spans="31:33">
      <c r="AE379" s="19"/>
      <c r="AF379" s="17"/>
      <c r="AG379" s="17"/>
    </row>
    <row r="380" spans="31:33">
      <c r="AE380" s="19"/>
      <c r="AF380" s="17"/>
      <c r="AG380" s="17"/>
    </row>
    <row r="381" spans="31:33">
      <c r="AE381" s="19"/>
      <c r="AF381" s="17"/>
      <c r="AG381" s="17"/>
    </row>
    <row r="382" spans="31:33">
      <c r="AE382" s="19"/>
      <c r="AF382" s="17"/>
      <c r="AG382" s="17"/>
    </row>
    <row r="383" spans="31:33">
      <c r="AE383" s="19"/>
      <c r="AF383" s="17"/>
      <c r="AG383" s="17"/>
    </row>
    <row r="384" spans="31:33">
      <c r="AE384" s="19"/>
      <c r="AF384" s="17"/>
      <c r="AG384" s="17"/>
    </row>
    <row r="385" spans="31:33">
      <c r="AE385" s="19"/>
      <c r="AF385" s="17"/>
      <c r="AG385" s="17"/>
    </row>
    <row r="386" spans="31:33">
      <c r="AE386" s="19"/>
      <c r="AF386" s="17"/>
      <c r="AG386" s="17"/>
    </row>
    <row r="387" spans="31:33">
      <c r="AE387" s="19"/>
      <c r="AF387" s="17"/>
      <c r="AG387" s="17"/>
    </row>
    <row r="388" spans="31:33">
      <c r="AE388" s="19"/>
      <c r="AF388" s="17"/>
      <c r="AG388" s="17"/>
    </row>
    <row r="389" spans="31:33">
      <c r="AE389" s="19"/>
      <c r="AF389" s="17"/>
      <c r="AG389" s="17"/>
    </row>
    <row r="390" spans="31:33">
      <c r="AE390" s="19"/>
      <c r="AF390" s="17"/>
      <c r="AG390" s="17"/>
    </row>
    <row r="391" spans="31:33">
      <c r="AE391" s="19"/>
      <c r="AF391" s="17"/>
      <c r="AG391" s="17"/>
    </row>
    <row r="392" spans="31:33">
      <c r="AE392" s="19"/>
      <c r="AF392" s="17"/>
      <c r="AG392" s="17"/>
    </row>
    <row r="393" spans="31:33">
      <c r="AE393" s="19"/>
      <c r="AF393" s="17"/>
      <c r="AG393" s="17"/>
    </row>
    <row r="394" spans="31:33">
      <c r="AE394" s="19"/>
      <c r="AF394" s="17"/>
      <c r="AG394" s="17"/>
    </row>
    <row r="395" spans="31:33">
      <c r="AE395" s="19"/>
      <c r="AF395" s="17"/>
      <c r="AG395" s="17"/>
    </row>
    <row r="396" spans="31:33">
      <c r="AE396" s="19"/>
      <c r="AF396" s="17"/>
      <c r="AG396" s="17"/>
    </row>
    <row r="397" spans="31:33">
      <c r="AE397" s="19"/>
      <c r="AF397" s="17"/>
      <c r="AG397" s="17"/>
    </row>
    <row r="398" spans="31:33">
      <c r="AE398" s="19"/>
      <c r="AF398" s="17"/>
      <c r="AG398" s="17"/>
    </row>
    <row r="399" spans="31:33">
      <c r="AE399" s="19"/>
      <c r="AF399" s="17"/>
      <c r="AG399" s="17"/>
    </row>
    <row r="400" spans="31:33">
      <c r="AE400" s="19"/>
      <c r="AF400" s="17"/>
      <c r="AG400" s="17"/>
    </row>
    <row r="401" spans="31:33">
      <c r="AE401" s="19"/>
      <c r="AF401" s="17"/>
      <c r="AG401" s="17"/>
    </row>
    <row r="402" spans="31:33">
      <c r="AE402" s="19"/>
      <c r="AF402" s="17"/>
      <c r="AG402" s="17"/>
    </row>
    <row r="403" spans="31:33">
      <c r="AE403" s="19"/>
      <c r="AF403" s="17"/>
      <c r="AG403" s="17"/>
    </row>
    <row r="404" spans="31:33">
      <c r="AE404" s="19"/>
      <c r="AF404" s="17"/>
      <c r="AG404" s="17"/>
    </row>
    <row r="405" spans="31:33">
      <c r="AE405" s="19"/>
      <c r="AF405" s="17"/>
      <c r="AG405" s="17"/>
    </row>
    <row r="406" spans="31:33">
      <c r="AE406" s="19"/>
      <c r="AF406" s="17"/>
      <c r="AG406" s="17"/>
    </row>
    <row r="407" spans="31:33">
      <c r="AE407" s="19"/>
      <c r="AF407" s="17"/>
      <c r="AG407" s="17"/>
    </row>
    <row r="408" spans="31:33">
      <c r="AE408" s="19"/>
      <c r="AF408" s="17"/>
      <c r="AG408" s="17"/>
    </row>
    <row r="409" spans="31:33">
      <c r="AE409" s="19"/>
      <c r="AF409" s="17"/>
      <c r="AG409" s="17"/>
    </row>
    <row r="410" spans="31:33">
      <c r="AE410" s="19"/>
      <c r="AF410" s="17"/>
      <c r="AG410" s="17"/>
    </row>
    <row r="411" spans="31:33">
      <c r="AE411" s="19"/>
      <c r="AF411" s="17"/>
      <c r="AG411" s="17"/>
    </row>
    <row r="412" spans="31:33">
      <c r="AE412" s="19"/>
      <c r="AF412" s="17"/>
      <c r="AG412" s="17"/>
    </row>
    <row r="413" spans="31:33">
      <c r="AE413" s="19"/>
      <c r="AF413" s="17"/>
      <c r="AG413" s="17"/>
    </row>
    <row r="414" spans="31:33">
      <c r="AE414" s="19"/>
      <c r="AF414" s="17"/>
      <c r="AG414" s="17"/>
    </row>
    <row r="415" spans="31:33">
      <c r="AE415" s="19"/>
      <c r="AF415" s="17"/>
      <c r="AG415" s="17"/>
    </row>
    <row r="416" spans="31:33">
      <c r="AE416" s="19"/>
      <c r="AF416" s="17"/>
      <c r="AG416" s="17"/>
    </row>
    <row r="417" spans="31:33">
      <c r="AE417" s="19"/>
      <c r="AF417" s="17"/>
      <c r="AG417" s="17"/>
    </row>
    <row r="418" spans="31:33">
      <c r="AE418" s="19"/>
      <c r="AF418" s="17"/>
      <c r="AG418" s="17"/>
    </row>
    <row r="419" spans="31:33">
      <c r="AE419" s="19"/>
      <c r="AF419" s="17"/>
      <c r="AG419" s="17"/>
    </row>
    <row r="420" spans="31:33">
      <c r="AE420" s="19"/>
      <c r="AF420" s="17"/>
      <c r="AG420" s="17"/>
    </row>
    <row r="421" spans="31:33">
      <c r="AE421" s="19"/>
      <c r="AF421" s="17"/>
      <c r="AG421" s="17"/>
    </row>
    <row r="422" spans="31:33">
      <c r="AE422" s="19"/>
      <c r="AF422" s="17"/>
      <c r="AG422" s="17"/>
    </row>
    <row r="423" spans="31:33">
      <c r="AE423" s="19"/>
      <c r="AF423" s="17"/>
      <c r="AG423" s="17"/>
    </row>
    <row r="424" spans="31:33">
      <c r="AE424" s="19"/>
      <c r="AF424" s="17"/>
      <c r="AG424" s="17"/>
    </row>
    <row r="425" spans="31:33">
      <c r="AE425" s="19"/>
      <c r="AF425" s="17"/>
      <c r="AG425" s="17"/>
    </row>
    <row r="426" spans="31:33">
      <c r="AE426" s="19"/>
      <c r="AF426" s="17"/>
      <c r="AG426" s="17"/>
    </row>
    <row r="427" spans="31:33">
      <c r="AE427" s="19"/>
      <c r="AF427" s="17"/>
      <c r="AG427" s="17"/>
    </row>
    <row r="428" spans="31:33">
      <c r="AE428" s="19"/>
      <c r="AF428" s="17"/>
      <c r="AG428" s="17"/>
    </row>
    <row r="429" spans="31:33">
      <c r="AE429" s="19"/>
      <c r="AF429" s="17"/>
      <c r="AG429" s="17"/>
    </row>
    <row r="430" spans="31:33">
      <c r="AE430" s="19"/>
      <c r="AF430" s="17"/>
      <c r="AG430" s="17"/>
    </row>
    <row r="431" spans="31:33">
      <c r="AE431" s="19"/>
      <c r="AF431" s="17"/>
      <c r="AG431" s="17"/>
    </row>
    <row r="432" spans="31:33">
      <c r="AE432" s="19"/>
      <c r="AF432" s="17"/>
      <c r="AG432" s="17"/>
    </row>
    <row r="433" spans="31:33">
      <c r="AE433" s="19"/>
      <c r="AF433" s="17"/>
      <c r="AG433" s="17"/>
    </row>
    <row r="434" spans="31:33">
      <c r="AE434" s="19"/>
      <c r="AF434" s="17"/>
      <c r="AG434" s="17"/>
    </row>
    <row r="435" spans="31:33">
      <c r="AE435" s="19"/>
      <c r="AF435" s="17"/>
      <c r="AG435" s="17"/>
    </row>
    <row r="436" spans="31:33">
      <c r="AE436" s="19"/>
      <c r="AF436" s="17"/>
      <c r="AG436" s="17"/>
    </row>
    <row r="437" spans="31:33">
      <c r="AE437" s="19"/>
      <c r="AF437" s="17"/>
      <c r="AG437" s="17"/>
    </row>
    <row r="438" spans="31:33">
      <c r="AE438" s="19"/>
      <c r="AF438" s="17"/>
      <c r="AG438" s="17"/>
    </row>
    <row r="439" spans="31:33">
      <c r="AE439" s="19"/>
      <c r="AF439" s="17"/>
      <c r="AG439" s="17"/>
    </row>
    <row r="440" spans="31:33">
      <c r="AE440" s="19"/>
      <c r="AF440" s="17"/>
      <c r="AG440" s="17"/>
    </row>
    <row r="441" spans="31:33">
      <c r="AE441" s="19"/>
      <c r="AF441" s="17"/>
      <c r="AG441" s="17"/>
    </row>
    <row r="442" spans="31:33">
      <c r="AE442" s="19"/>
      <c r="AF442" s="17"/>
      <c r="AG442" s="17"/>
    </row>
    <row r="443" spans="31:33">
      <c r="AE443" s="19"/>
      <c r="AF443" s="17"/>
      <c r="AG443" s="17"/>
    </row>
    <row r="444" spans="31:33">
      <c r="AE444" s="19"/>
      <c r="AF444" s="17"/>
      <c r="AG444" s="17"/>
    </row>
    <row r="445" spans="31:33">
      <c r="AE445" s="19"/>
      <c r="AF445" s="17"/>
      <c r="AG445" s="17"/>
    </row>
    <row r="446" spans="31:33">
      <c r="AE446" s="19"/>
      <c r="AF446" s="17"/>
      <c r="AG446" s="17"/>
    </row>
    <row r="447" spans="31:33">
      <c r="AE447" s="19"/>
      <c r="AF447" s="17"/>
      <c r="AG447" s="17"/>
    </row>
    <row r="448" spans="31:33">
      <c r="AE448" s="19"/>
      <c r="AF448" s="17"/>
      <c r="AG448" s="17"/>
    </row>
    <row r="449" spans="31:33">
      <c r="AE449" s="19"/>
      <c r="AF449" s="17"/>
      <c r="AG449" s="17"/>
    </row>
    <row r="450" spans="31:33">
      <c r="AE450" s="19"/>
      <c r="AF450" s="17"/>
      <c r="AG450" s="17"/>
    </row>
    <row r="451" spans="31:33">
      <c r="AE451" s="19"/>
      <c r="AF451" s="17"/>
      <c r="AG451" s="17"/>
    </row>
    <row r="452" spans="31:33">
      <c r="AE452" s="19"/>
      <c r="AF452" s="17"/>
      <c r="AG452" s="17"/>
    </row>
    <row r="453" spans="31:33">
      <c r="AE453" s="19"/>
      <c r="AF453" s="17"/>
      <c r="AG453" s="17"/>
    </row>
    <row r="454" spans="31:33">
      <c r="AE454" s="19"/>
      <c r="AF454" s="17"/>
      <c r="AG454" s="17"/>
    </row>
    <row r="455" spans="31:33">
      <c r="AE455" s="19"/>
      <c r="AF455" s="17"/>
      <c r="AG455" s="17"/>
    </row>
    <row r="456" spans="31:33">
      <c r="AE456" s="19"/>
      <c r="AF456" s="17"/>
      <c r="AG456" s="17"/>
    </row>
    <row r="457" spans="31:33">
      <c r="AE457" s="19"/>
      <c r="AF457" s="17"/>
      <c r="AG457" s="17"/>
    </row>
    <row r="458" spans="31:33">
      <c r="AE458" s="19"/>
      <c r="AF458" s="17"/>
      <c r="AG458" s="17"/>
    </row>
    <row r="459" spans="31:33">
      <c r="AE459" s="19"/>
      <c r="AF459" s="17"/>
      <c r="AG459" s="17"/>
    </row>
    <row r="460" spans="31:33">
      <c r="AE460" s="19"/>
      <c r="AF460" s="17"/>
      <c r="AG460" s="17"/>
    </row>
    <row r="461" spans="31:33">
      <c r="AE461" s="19"/>
      <c r="AF461" s="17"/>
      <c r="AG461" s="17"/>
    </row>
    <row r="462" spans="31:33">
      <c r="AE462" s="19"/>
      <c r="AF462" s="17"/>
      <c r="AG462" s="17"/>
    </row>
    <row r="463" spans="31:33">
      <c r="AE463" s="19"/>
      <c r="AF463" s="17"/>
      <c r="AG463" s="17"/>
    </row>
    <row r="464" spans="31:33">
      <c r="AE464" s="19"/>
      <c r="AF464" s="17"/>
      <c r="AG464" s="17"/>
    </row>
    <row r="465" spans="31:33">
      <c r="AE465" s="19"/>
      <c r="AF465" s="17"/>
      <c r="AG465" s="17"/>
    </row>
    <row r="466" spans="31:33">
      <c r="AE466" s="19"/>
      <c r="AF466" s="17"/>
      <c r="AG466" s="17"/>
    </row>
    <row r="467" spans="31:33">
      <c r="AE467" s="19"/>
      <c r="AF467" s="17"/>
      <c r="AG467" s="17"/>
    </row>
    <row r="468" spans="31:33">
      <c r="AE468" s="19"/>
      <c r="AF468" s="17"/>
      <c r="AG468" s="17"/>
    </row>
    <row r="469" spans="31:33">
      <c r="AE469" s="19"/>
      <c r="AF469" s="17"/>
      <c r="AG469" s="17"/>
    </row>
    <row r="470" spans="31:33">
      <c r="AE470" s="19"/>
      <c r="AF470" s="17"/>
      <c r="AG470" s="17"/>
    </row>
    <row r="471" spans="31:33">
      <c r="AE471" s="19"/>
      <c r="AF471" s="17"/>
      <c r="AG471" s="17"/>
    </row>
    <row r="472" spans="31:33">
      <c r="AE472" s="19"/>
      <c r="AF472" s="17"/>
      <c r="AG472" s="17"/>
    </row>
    <row r="473" spans="31:33">
      <c r="AE473" s="19"/>
      <c r="AF473" s="17"/>
      <c r="AG473" s="17"/>
    </row>
    <row r="474" spans="31:33">
      <c r="AE474" s="19"/>
      <c r="AF474" s="17"/>
      <c r="AG474" s="17"/>
    </row>
    <row r="475" spans="31:33">
      <c r="AE475" s="19"/>
      <c r="AF475" s="17"/>
      <c r="AG475" s="17"/>
    </row>
    <row r="476" spans="31:33">
      <c r="AE476" s="19"/>
      <c r="AF476" s="17"/>
      <c r="AG476" s="17"/>
    </row>
    <row r="477" spans="31:33">
      <c r="AE477" s="19"/>
      <c r="AF477" s="17"/>
      <c r="AG477" s="17"/>
    </row>
    <row r="478" spans="31:33">
      <c r="AE478" s="19"/>
      <c r="AF478" s="17"/>
      <c r="AG478" s="17"/>
    </row>
    <row r="479" spans="31:33">
      <c r="AE479" s="19"/>
      <c r="AF479" s="17"/>
      <c r="AG479" s="17"/>
    </row>
    <row r="480" spans="31:33">
      <c r="AE480" s="19"/>
      <c r="AF480" s="17"/>
      <c r="AG480" s="17"/>
    </row>
    <row r="481" spans="31:33">
      <c r="AE481" s="19"/>
      <c r="AF481" s="17"/>
      <c r="AG481" s="17"/>
    </row>
    <row r="482" spans="31:33">
      <c r="AE482" s="19"/>
      <c r="AF482" s="17"/>
      <c r="AG482" s="17"/>
    </row>
    <row r="483" spans="31:33">
      <c r="AE483" s="19"/>
      <c r="AF483" s="17"/>
      <c r="AG483" s="17"/>
    </row>
    <row r="484" spans="31:33">
      <c r="AE484" s="19"/>
      <c r="AF484" s="17"/>
      <c r="AG484" s="17"/>
    </row>
    <row r="485" spans="31:33">
      <c r="AE485" s="19"/>
      <c r="AF485" s="17"/>
      <c r="AG485" s="17"/>
    </row>
    <row r="486" spans="31:33">
      <c r="AE486" s="19"/>
      <c r="AF486" s="17"/>
      <c r="AG486" s="17"/>
    </row>
    <row r="487" spans="31:33">
      <c r="AE487" s="19"/>
      <c r="AF487" s="17"/>
      <c r="AG487" s="17"/>
    </row>
    <row r="488" spans="31:33">
      <c r="AE488" s="19"/>
      <c r="AF488" s="17"/>
      <c r="AG488" s="17"/>
    </row>
    <row r="489" spans="31:33">
      <c r="AE489" s="19"/>
      <c r="AF489" s="17"/>
      <c r="AG489" s="17"/>
    </row>
    <row r="490" spans="31:33">
      <c r="AE490" s="19"/>
      <c r="AF490" s="17"/>
      <c r="AG490" s="17"/>
    </row>
    <row r="491" spans="31:33">
      <c r="AE491" s="19"/>
      <c r="AF491" s="17"/>
      <c r="AG491" s="17"/>
    </row>
    <row r="492" spans="31:33">
      <c r="AE492" s="19"/>
      <c r="AF492" s="17"/>
      <c r="AG492" s="17"/>
    </row>
    <row r="493" spans="31:33">
      <c r="AE493" s="19"/>
      <c r="AF493" s="17"/>
      <c r="AG493" s="17"/>
    </row>
    <row r="494" spans="31:33">
      <c r="AE494" s="19"/>
      <c r="AF494" s="17"/>
      <c r="AG494" s="17"/>
    </row>
    <row r="495" spans="31:33">
      <c r="AE495" s="19"/>
      <c r="AF495" s="17"/>
      <c r="AG495" s="17"/>
    </row>
    <row r="496" spans="31:33">
      <c r="AE496" s="19"/>
      <c r="AF496" s="17"/>
      <c r="AG496" s="17"/>
    </row>
    <row r="497" spans="31:33">
      <c r="AE497" s="19"/>
      <c r="AF497" s="17"/>
      <c r="AG497" s="17"/>
    </row>
    <row r="498" spans="31:33">
      <c r="AE498" s="19"/>
      <c r="AF498" s="17"/>
      <c r="AG498" s="17"/>
    </row>
    <row r="499" spans="31:33">
      <c r="AE499" s="19"/>
      <c r="AF499" s="17"/>
      <c r="AG499" s="17"/>
    </row>
    <row r="500" spans="31:33">
      <c r="AE500" s="19"/>
      <c r="AF500" s="17"/>
      <c r="AG500" s="17"/>
    </row>
    <row r="501" spans="31:33">
      <c r="AE501" s="19"/>
      <c r="AF501" s="17"/>
      <c r="AG501" s="17"/>
    </row>
    <row r="502" spans="31:33">
      <c r="AE502" s="19"/>
      <c r="AF502" s="17"/>
      <c r="AG502" s="17"/>
    </row>
    <row r="503" spans="31:33">
      <c r="AE503" s="19"/>
      <c r="AF503" s="17"/>
      <c r="AG503" s="17"/>
    </row>
    <row r="504" spans="31:33">
      <c r="AE504" s="19"/>
      <c r="AF504" s="17"/>
      <c r="AG504" s="17"/>
    </row>
    <row r="505" spans="31:33">
      <c r="AE505" s="19"/>
      <c r="AF505" s="17"/>
      <c r="AG505" s="17"/>
    </row>
    <row r="506" spans="31:33">
      <c r="AE506" s="19"/>
      <c r="AF506" s="17"/>
      <c r="AG506" s="17"/>
    </row>
    <row r="507" spans="31:33">
      <c r="AE507" s="19"/>
      <c r="AF507" s="17"/>
      <c r="AG507" s="17"/>
    </row>
    <row r="508" spans="31:33">
      <c r="AE508" s="19"/>
      <c r="AF508" s="17"/>
      <c r="AG508" s="17"/>
    </row>
    <row r="509" spans="31:33">
      <c r="AE509" s="19"/>
      <c r="AF509" s="17"/>
      <c r="AG509" s="17"/>
    </row>
    <row r="510" spans="31:33">
      <c r="AE510" s="19"/>
      <c r="AF510" s="17"/>
      <c r="AG510" s="17"/>
    </row>
    <row r="511" spans="31:33">
      <c r="AE511" s="19"/>
      <c r="AF511" s="17"/>
      <c r="AG511" s="17"/>
    </row>
    <row r="512" spans="31:33">
      <c r="AE512" s="19"/>
      <c r="AF512" s="17"/>
      <c r="AG512" s="17"/>
    </row>
    <row r="513" spans="31:33">
      <c r="AE513" s="19"/>
      <c r="AF513" s="17"/>
      <c r="AG513" s="17"/>
    </row>
    <row r="514" spans="31:33">
      <c r="AE514" s="19"/>
      <c r="AF514" s="17"/>
      <c r="AG514" s="17"/>
    </row>
    <row r="515" spans="31:33">
      <c r="AE515" s="19"/>
      <c r="AF515" s="17"/>
      <c r="AG515" s="17"/>
    </row>
    <row r="516" spans="31:33">
      <c r="AE516" s="19"/>
      <c r="AF516" s="17"/>
      <c r="AG516" s="17"/>
    </row>
    <row r="517" spans="31:33">
      <c r="AE517" s="19"/>
      <c r="AF517" s="17"/>
      <c r="AG517" s="17"/>
    </row>
    <row r="518" spans="31:33">
      <c r="AE518" s="19"/>
      <c r="AF518" s="17"/>
      <c r="AG518" s="17"/>
    </row>
    <row r="519" spans="31:33">
      <c r="AE519" s="19"/>
      <c r="AF519" s="17"/>
      <c r="AG519" s="17"/>
    </row>
    <row r="520" spans="31:33">
      <c r="AE520" s="19"/>
      <c r="AF520" s="17"/>
      <c r="AG520" s="17"/>
    </row>
    <row r="521" spans="31:33">
      <c r="AE521" s="19"/>
      <c r="AF521" s="17"/>
      <c r="AG521" s="17"/>
    </row>
    <row r="522" spans="31:33">
      <c r="AE522" s="19"/>
      <c r="AF522" s="17"/>
      <c r="AG522" s="17"/>
    </row>
    <row r="523" spans="31:33">
      <c r="AE523" s="19"/>
      <c r="AF523" s="17"/>
      <c r="AG523" s="17"/>
    </row>
    <row r="524" spans="31:33">
      <c r="AE524" s="19"/>
      <c r="AF524" s="17"/>
      <c r="AG524" s="17"/>
    </row>
    <row r="525" spans="31:33">
      <c r="AE525" s="19"/>
      <c r="AF525" s="17"/>
      <c r="AG525" s="17"/>
    </row>
    <row r="526" spans="31:33">
      <c r="AE526" s="19"/>
      <c r="AF526" s="17"/>
      <c r="AG526" s="17"/>
    </row>
    <row r="527" spans="31:33">
      <c r="AE527" s="19"/>
      <c r="AF527" s="17"/>
      <c r="AG527" s="17"/>
    </row>
    <row r="528" spans="31:33">
      <c r="AE528" s="19"/>
      <c r="AF528" s="17"/>
      <c r="AG528" s="17"/>
    </row>
    <row r="529" spans="31:33">
      <c r="AE529" s="19"/>
      <c r="AF529" s="17"/>
      <c r="AG529" s="17"/>
    </row>
    <row r="530" spans="31:33">
      <c r="AE530" s="19"/>
      <c r="AF530" s="17"/>
      <c r="AG530" s="17"/>
    </row>
    <row r="531" spans="31:33">
      <c r="AE531" s="19"/>
      <c r="AF531" s="17"/>
      <c r="AG531" s="17"/>
    </row>
    <row r="532" spans="31:33">
      <c r="AE532" s="19"/>
      <c r="AF532" s="17"/>
      <c r="AG532" s="17"/>
    </row>
    <row r="533" spans="31:33">
      <c r="AE533" s="19"/>
      <c r="AF533" s="17"/>
      <c r="AG533" s="17"/>
    </row>
    <row r="534" spans="31:33">
      <c r="AE534" s="19"/>
      <c r="AF534" s="17"/>
      <c r="AG534" s="17"/>
    </row>
    <row r="535" spans="31:33">
      <c r="AE535" s="19"/>
      <c r="AF535" s="17"/>
      <c r="AG535" s="17"/>
    </row>
    <row r="536" spans="31:33">
      <c r="AE536" s="19"/>
      <c r="AF536" s="17"/>
      <c r="AG536" s="17"/>
    </row>
    <row r="537" spans="31:33">
      <c r="AE537" s="19"/>
      <c r="AF537" s="17"/>
      <c r="AG537" s="17"/>
    </row>
    <row r="538" spans="31:33">
      <c r="AE538" s="19"/>
      <c r="AF538" s="17"/>
      <c r="AG538" s="17"/>
    </row>
    <row r="539" spans="31:33">
      <c r="AE539" s="19"/>
      <c r="AF539" s="17"/>
      <c r="AG539" s="17"/>
    </row>
    <row r="540" spans="31:33">
      <c r="AE540" s="19"/>
      <c r="AF540" s="17"/>
      <c r="AG540" s="17"/>
    </row>
    <row r="541" spans="31:33">
      <c r="AE541" s="19"/>
      <c r="AF541" s="17"/>
      <c r="AG541" s="17"/>
    </row>
    <row r="542" spans="31:33">
      <c r="AE542" s="19"/>
      <c r="AF542" s="17"/>
      <c r="AG542" s="17"/>
    </row>
    <row r="543" spans="31:33">
      <c r="AE543" s="19"/>
      <c r="AF543" s="17"/>
      <c r="AG543" s="17"/>
    </row>
    <row r="544" spans="31:33">
      <c r="AE544" s="19"/>
      <c r="AF544" s="17"/>
      <c r="AG544" s="17"/>
    </row>
    <row r="545" spans="31:33">
      <c r="AE545" s="19"/>
      <c r="AF545" s="17"/>
      <c r="AG545" s="17"/>
    </row>
    <row r="546" spans="31:33">
      <c r="AE546" s="19"/>
      <c r="AF546" s="17"/>
      <c r="AG546" s="17"/>
    </row>
    <row r="547" spans="31:33">
      <c r="AE547" s="19"/>
      <c r="AF547" s="17"/>
      <c r="AG547" s="17"/>
    </row>
    <row r="548" spans="31:33">
      <c r="AE548" s="19"/>
      <c r="AF548" s="17"/>
      <c r="AG548" s="17"/>
    </row>
    <row r="549" spans="31:33">
      <c r="AE549" s="19"/>
      <c r="AF549" s="17"/>
      <c r="AG549" s="17"/>
    </row>
    <row r="550" spans="31:33">
      <c r="AE550" s="19"/>
      <c r="AF550" s="17"/>
      <c r="AG550" s="17"/>
    </row>
    <row r="551" spans="31:33">
      <c r="AE551" s="19"/>
      <c r="AF551" s="17"/>
      <c r="AG551" s="17"/>
    </row>
    <row r="552" spans="31:33">
      <c r="AE552" s="19"/>
      <c r="AF552" s="17"/>
      <c r="AG552" s="17"/>
    </row>
    <row r="553" spans="31:33">
      <c r="AE553" s="19"/>
      <c r="AF553" s="17"/>
      <c r="AG553" s="17"/>
    </row>
    <row r="554" spans="31:33">
      <c r="AE554" s="19"/>
      <c r="AF554" s="17"/>
      <c r="AG554" s="17"/>
    </row>
    <row r="555" spans="31:33">
      <c r="AE555" s="19"/>
      <c r="AF555" s="17"/>
      <c r="AG555" s="17"/>
    </row>
    <row r="556" spans="31:33">
      <c r="AE556" s="19"/>
      <c r="AF556" s="17"/>
      <c r="AG556" s="17"/>
    </row>
    <row r="557" spans="31:33">
      <c r="AE557" s="19"/>
      <c r="AF557" s="17"/>
      <c r="AG557" s="17"/>
    </row>
    <row r="558" spans="31:33">
      <c r="AE558" s="19"/>
      <c r="AF558" s="17"/>
      <c r="AG558" s="17"/>
    </row>
    <row r="559" spans="31:33">
      <c r="AE559" s="19"/>
      <c r="AF559" s="17"/>
      <c r="AG559" s="17"/>
    </row>
    <row r="560" spans="31:33">
      <c r="AE560" s="19"/>
      <c r="AF560" s="17"/>
      <c r="AG560" s="17"/>
    </row>
    <row r="561" spans="31:33">
      <c r="AE561" s="19"/>
      <c r="AF561" s="17"/>
      <c r="AG561" s="17"/>
    </row>
    <row r="562" spans="31:33">
      <c r="AE562" s="19"/>
      <c r="AF562" s="17"/>
      <c r="AG562" s="17"/>
    </row>
    <row r="563" spans="31:33">
      <c r="AE563" s="19"/>
      <c r="AF563" s="17"/>
      <c r="AG563" s="17"/>
    </row>
    <row r="564" spans="31:33">
      <c r="AE564" s="19"/>
      <c r="AF564" s="17"/>
      <c r="AG564" s="17"/>
    </row>
    <row r="565" spans="31:33">
      <c r="AE565" s="19"/>
      <c r="AF565" s="17"/>
      <c r="AG565" s="17"/>
    </row>
    <row r="566" spans="31:33">
      <c r="AE566" s="19"/>
      <c r="AF566" s="17"/>
      <c r="AG566" s="17"/>
    </row>
    <row r="567" spans="31:33">
      <c r="AE567" s="19"/>
      <c r="AF567" s="17"/>
      <c r="AG567" s="17"/>
    </row>
    <row r="568" spans="31:33">
      <c r="AE568" s="19"/>
      <c r="AF568" s="17"/>
      <c r="AG568" s="17"/>
    </row>
    <row r="569" spans="31:33">
      <c r="AE569" s="19"/>
      <c r="AF569" s="17"/>
      <c r="AG569" s="17"/>
    </row>
    <row r="570" spans="31:33">
      <c r="AE570" s="19"/>
      <c r="AF570" s="17"/>
      <c r="AG570" s="17"/>
    </row>
    <row r="571" spans="31:33">
      <c r="AE571" s="19"/>
      <c r="AF571" s="17"/>
      <c r="AG571" s="17"/>
    </row>
    <row r="572" spans="31:33">
      <c r="AE572" s="19"/>
      <c r="AF572" s="17"/>
      <c r="AG572" s="17"/>
    </row>
    <row r="573" spans="31:33">
      <c r="AE573" s="19"/>
      <c r="AF573" s="17"/>
      <c r="AG573" s="17"/>
    </row>
    <row r="574" spans="31:33">
      <c r="AE574" s="19"/>
      <c r="AF574" s="17"/>
      <c r="AG574" s="17"/>
    </row>
    <row r="575" spans="31:33">
      <c r="AE575" s="19"/>
      <c r="AF575" s="17"/>
      <c r="AG575" s="17"/>
    </row>
    <row r="576" spans="31:33">
      <c r="AE576" s="19"/>
      <c r="AF576" s="17"/>
      <c r="AG576" s="17"/>
    </row>
    <row r="577" spans="31:33">
      <c r="AE577" s="19"/>
      <c r="AF577" s="17"/>
      <c r="AG577" s="17"/>
    </row>
    <row r="578" spans="31:33">
      <c r="AE578" s="19"/>
      <c r="AF578" s="17"/>
      <c r="AG578" s="17"/>
    </row>
    <row r="579" spans="31:33">
      <c r="AE579" s="19"/>
      <c r="AF579" s="17"/>
      <c r="AG579" s="17"/>
    </row>
    <row r="580" spans="31:33">
      <c r="AE580" s="19"/>
      <c r="AF580" s="17"/>
      <c r="AG580" s="17"/>
    </row>
    <row r="581" spans="31:33">
      <c r="AE581" s="19"/>
      <c r="AF581" s="17"/>
      <c r="AG581" s="17"/>
    </row>
    <row r="582" spans="31:33">
      <c r="AE582" s="19"/>
      <c r="AF582" s="17"/>
      <c r="AG582" s="17"/>
    </row>
    <row r="583" spans="31:33">
      <c r="AE583" s="19"/>
      <c r="AF583" s="17"/>
      <c r="AG583" s="17"/>
    </row>
    <row r="584" spans="31:33">
      <c r="AE584" s="19"/>
      <c r="AF584" s="17"/>
      <c r="AG584" s="17"/>
    </row>
    <row r="585" spans="31:33">
      <c r="AE585" s="19"/>
      <c r="AF585" s="17"/>
      <c r="AG585" s="17"/>
    </row>
    <row r="586" spans="31:33">
      <c r="AE586" s="19"/>
      <c r="AF586" s="17"/>
      <c r="AG586" s="17"/>
    </row>
    <row r="587" spans="31:33">
      <c r="AE587" s="19"/>
      <c r="AF587" s="17"/>
      <c r="AG587" s="17"/>
    </row>
    <row r="588" spans="31:33">
      <c r="AE588" s="19"/>
      <c r="AF588" s="17"/>
      <c r="AG588" s="17"/>
    </row>
    <row r="589" spans="31:33">
      <c r="AE589" s="19"/>
      <c r="AF589" s="17"/>
      <c r="AG589" s="17"/>
    </row>
    <row r="590" spans="31:33">
      <c r="AE590" s="19"/>
      <c r="AF590" s="17"/>
      <c r="AG590" s="17"/>
    </row>
    <row r="591" spans="31:33">
      <c r="AE591" s="19"/>
      <c r="AF591" s="17"/>
      <c r="AG591" s="17"/>
    </row>
    <row r="592" spans="31:33">
      <c r="AE592" s="19"/>
      <c r="AF592" s="17"/>
      <c r="AG592" s="17"/>
    </row>
    <row r="593" spans="31:33">
      <c r="AE593" s="19"/>
      <c r="AF593" s="17"/>
      <c r="AG593" s="17"/>
    </row>
    <row r="594" spans="31:33">
      <c r="AE594" s="19"/>
      <c r="AF594" s="17"/>
      <c r="AG594" s="17"/>
    </row>
    <row r="595" spans="31:33">
      <c r="AE595" s="19"/>
      <c r="AF595" s="17"/>
      <c r="AG595" s="17"/>
    </row>
    <row r="596" spans="31:33">
      <c r="AE596" s="19"/>
      <c r="AF596" s="17"/>
      <c r="AG596" s="17"/>
    </row>
    <row r="597" spans="31:33">
      <c r="AE597" s="19"/>
      <c r="AF597" s="17"/>
      <c r="AG597" s="17"/>
    </row>
    <row r="598" spans="31:33">
      <c r="AE598" s="19"/>
      <c r="AF598" s="17"/>
      <c r="AG598" s="17"/>
    </row>
    <row r="599" spans="31:33">
      <c r="AE599" s="19"/>
      <c r="AF599" s="17"/>
      <c r="AG599" s="17"/>
    </row>
    <row r="600" spans="31:33">
      <c r="AE600" s="19"/>
      <c r="AF600" s="17"/>
      <c r="AG600" s="17"/>
    </row>
    <row r="601" spans="31:33">
      <c r="AE601" s="19"/>
      <c r="AF601" s="17"/>
      <c r="AG601" s="17"/>
    </row>
    <row r="602" spans="31:33">
      <c r="AE602" s="19"/>
      <c r="AF602" s="17"/>
      <c r="AG602" s="17"/>
    </row>
    <row r="603" spans="31:33">
      <c r="AE603" s="19"/>
      <c r="AF603" s="17"/>
      <c r="AG603" s="17"/>
    </row>
    <row r="604" spans="31:33">
      <c r="AE604" s="19"/>
      <c r="AF604" s="17"/>
      <c r="AG604" s="17"/>
    </row>
    <row r="605" spans="31:33">
      <c r="AE605" s="19"/>
      <c r="AF605" s="17"/>
      <c r="AG605" s="17"/>
    </row>
    <row r="606" spans="31:33">
      <c r="AE606" s="19"/>
      <c r="AF606" s="17"/>
      <c r="AG606" s="17"/>
    </row>
    <row r="607" spans="31:33">
      <c r="AE607" s="19"/>
      <c r="AF607" s="17"/>
      <c r="AG607" s="17"/>
    </row>
    <row r="608" spans="31:33">
      <c r="AE608" s="19"/>
      <c r="AF608" s="17"/>
      <c r="AG608" s="17"/>
    </row>
    <row r="609" spans="31:33">
      <c r="AE609" s="19"/>
      <c r="AF609" s="17"/>
      <c r="AG609" s="17"/>
    </row>
    <row r="610" spans="31:33">
      <c r="AE610" s="19"/>
      <c r="AF610" s="17"/>
      <c r="AG610" s="17"/>
    </row>
    <row r="611" spans="31:33">
      <c r="AE611" s="19"/>
      <c r="AF611" s="17"/>
      <c r="AG611" s="17"/>
    </row>
    <row r="612" spans="31:33">
      <c r="AE612" s="19"/>
      <c r="AF612" s="17"/>
      <c r="AG612" s="17"/>
    </row>
    <row r="613" spans="31:33">
      <c r="AE613" s="19"/>
      <c r="AF613" s="17"/>
      <c r="AG613" s="17"/>
    </row>
    <row r="614" spans="31:33">
      <c r="AE614" s="19"/>
      <c r="AF614" s="17"/>
      <c r="AG614" s="17"/>
    </row>
    <row r="615" spans="31:33">
      <c r="AE615" s="19"/>
      <c r="AF615" s="17"/>
      <c r="AG615" s="17"/>
    </row>
    <row r="616" spans="31:33">
      <c r="AE616" s="19"/>
      <c r="AF616" s="17"/>
      <c r="AG616" s="17"/>
    </row>
    <row r="617" spans="31:33">
      <c r="AE617" s="19"/>
      <c r="AF617" s="17"/>
      <c r="AG617" s="17"/>
    </row>
    <row r="618" spans="31:33">
      <c r="AE618" s="19"/>
      <c r="AF618" s="17"/>
      <c r="AG618" s="17"/>
    </row>
    <row r="619" spans="31:33">
      <c r="AE619" s="19"/>
      <c r="AF619" s="17"/>
      <c r="AG619" s="17"/>
    </row>
    <row r="620" spans="31:33">
      <c r="AE620" s="19"/>
      <c r="AF620" s="17"/>
      <c r="AG620" s="17"/>
    </row>
    <row r="621" spans="31:33">
      <c r="AE621" s="19"/>
      <c r="AF621" s="17"/>
      <c r="AG621" s="17"/>
    </row>
    <row r="622" spans="31:33">
      <c r="AE622" s="19"/>
      <c r="AF622" s="17"/>
      <c r="AG622" s="17"/>
    </row>
    <row r="623" spans="31:33">
      <c r="AE623" s="19"/>
      <c r="AF623" s="17"/>
      <c r="AG623" s="17"/>
    </row>
    <row r="624" spans="31:33">
      <c r="AE624" s="19"/>
      <c r="AF624" s="17"/>
      <c r="AG624" s="17"/>
    </row>
    <row r="625" spans="31:33">
      <c r="AE625" s="19"/>
      <c r="AF625" s="17"/>
      <c r="AG625" s="17"/>
    </row>
    <row r="626" spans="31:33">
      <c r="AE626" s="19"/>
      <c r="AF626" s="17"/>
      <c r="AG626" s="17"/>
    </row>
    <row r="627" spans="31:33">
      <c r="AE627" s="19"/>
      <c r="AF627" s="17"/>
      <c r="AG627" s="17"/>
    </row>
    <row r="628" spans="31:33">
      <c r="AE628" s="19"/>
      <c r="AF628" s="17"/>
      <c r="AG628" s="17"/>
    </row>
    <row r="629" spans="31:33">
      <c r="AE629" s="19"/>
      <c r="AF629" s="17"/>
      <c r="AG629" s="17"/>
    </row>
    <row r="630" spans="31:33">
      <c r="AE630" s="19"/>
      <c r="AF630" s="17"/>
      <c r="AG630" s="17"/>
    </row>
    <row r="631" spans="31:33">
      <c r="AE631" s="19"/>
      <c r="AF631" s="17"/>
      <c r="AG631" s="17"/>
    </row>
    <row r="632" spans="31:33">
      <c r="AE632" s="19"/>
      <c r="AF632" s="17"/>
      <c r="AG632" s="17"/>
    </row>
    <row r="633" spans="31:33">
      <c r="AE633" s="19"/>
      <c r="AF633" s="17"/>
      <c r="AG633" s="17"/>
    </row>
    <row r="634" spans="31:33">
      <c r="AE634" s="19"/>
      <c r="AF634" s="17"/>
      <c r="AG634" s="17"/>
    </row>
    <row r="635" spans="31:33">
      <c r="AE635" s="19"/>
      <c r="AF635" s="17"/>
      <c r="AG635" s="17"/>
    </row>
    <row r="636" spans="31:33">
      <c r="AE636" s="19"/>
      <c r="AF636" s="17"/>
      <c r="AG636" s="17"/>
    </row>
    <row r="637" spans="31:33">
      <c r="AE637" s="19"/>
      <c r="AF637" s="17"/>
      <c r="AG637" s="17"/>
    </row>
    <row r="638" spans="31:33">
      <c r="AE638" s="19"/>
      <c r="AF638" s="17"/>
      <c r="AG638" s="17"/>
    </row>
    <row r="639" spans="31:33">
      <c r="AE639" s="19"/>
      <c r="AF639" s="17"/>
      <c r="AG639" s="17"/>
    </row>
    <row r="640" spans="31:33">
      <c r="AE640" s="19"/>
      <c r="AF640" s="17"/>
      <c r="AG640" s="17"/>
    </row>
    <row r="641" spans="31:33">
      <c r="AE641" s="19"/>
      <c r="AF641" s="17"/>
      <c r="AG641" s="17"/>
    </row>
    <row r="642" spans="31:33">
      <c r="AE642" s="19"/>
      <c r="AF642" s="17"/>
      <c r="AG642" s="17"/>
    </row>
    <row r="643" spans="31:33">
      <c r="AE643" s="19"/>
      <c r="AF643" s="17"/>
      <c r="AG643" s="17"/>
    </row>
    <row r="644" spans="31:33">
      <c r="AE644" s="19"/>
      <c r="AF644" s="17"/>
      <c r="AG644" s="17"/>
    </row>
    <row r="645" spans="31:33">
      <c r="AE645" s="19"/>
      <c r="AF645" s="17"/>
      <c r="AG645" s="17"/>
    </row>
    <row r="646" spans="31:33">
      <c r="AE646" s="19"/>
      <c r="AF646" s="17"/>
      <c r="AG646" s="17"/>
    </row>
    <row r="647" spans="31:33">
      <c r="AE647" s="19"/>
      <c r="AF647" s="17"/>
      <c r="AG647" s="17"/>
    </row>
    <row r="648" spans="31:33">
      <c r="AE648" s="19"/>
      <c r="AF648" s="17"/>
      <c r="AG648" s="17"/>
    </row>
    <row r="649" spans="31:33">
      <c r="AE649" s="19"/>
      <c r="AF649" s="17"/>
      <c r="AG649" s="17"/>
    </row>
    <row r="650" spans="31:33">
      <c r="AE650" s="19"/>
      <c r="AF650" s="17"/>
      <c r="AG650" s="17"/>
    </row>
    <row r="651" spans="31:33">
      <c r="AE651" s="19"/>
      <c r="AF651" s="17"/>
      <c r="AG651" s="17"/>
    </row>
    <row r="652" spans="31:33">
      <c r="AE652" s="19"/>
      <c r="AF652" s="17"/>
      <c r="AG652" s="17"/>
    </row>
    <row r="653" spans="31:33">
      <c r="AE653" s="19"/>
      <c r="AF653" s="17"/>
      <c r="AG653" s="17"/>
    </row>
    <row r="654" spans="31:33">
      <c r="AE654" s="19"/>
      <c r="AF654" s="17"/>
      <c r="AG654" s="17"/>
    </row>
    <row r="655" spans="31:33">
      <c r="AE655" s="19"/>
      <c r="AF655" s="17"/>
      <c r="AG655" s="17"/>
    </row>
    <row r="656" spans="31:33">
      <c r="AE656" s="19"/>
      <c r="AF656" s="17"/>
      <c r="AG656" s="17"/>
    </row>
    <row r="657" spans="31:33">
      <c r="AE657" s="19"/>
      <c r="AF657" s="17"/>
      <c r="AG657" s="17"/>
    </row>
    <row r="658" spans="31:33">
      <c r="AE658" s="19"/>
      <c r="AF658" s="17"/>
      <c r="AG658" s="17"/>
    </row>
    <row r="659" spans="31:33">
      <c r="AE659" s="19"/>
      <c r="AF659" s="17"/>
      <c r="AG659" s="17"/>
    </row>
    <row r="660" spans="31:33">
      <c r="AE660" s="19"/>
      <c r="AF660" s="17"/>
      <c r="AG660" s="17"/>
    </row>
    <row r="661" spans="31:33">
      <c r="AE661" s="19"/>
      <c r="AF661" s="17"/>
      <c r="AG661" s="17"/>
    </row>
    <row r="662" spans="31:33">
      <c r="AE662" s="19"/>
      <c r="AF662" s="17"/>
      <c r="AG662" s="17"/>
    </row>
    <row r="663" spans="31:33">
      <c r="AE663" s="19"/>
      <c r="AF663" s="17"/>
      <c r="AG663" s="17"/>
    </row>
    <row r="664" spans="31:33">
      <c r="AE664" s="19"/>
      <c r="AF664" s="17"/>
      <c r="AG664" s="17"/>
    </row>
    <row r="665" spans="31:33">
      <c r="AE665" s="19"/>
      <c r="AF665" s="17"/>
      <c r="AG665" s="17"/>
    </row>
    <row r="666" spans="31:33">
      <c r="AE666" s="19"/>
      <c r="AF666" s="17"/>
      <c r="AG666" s="17"/>
    </row>
    <row r="667" spans="31:33">
      <c r="AE667" s="19"/>
      <c r="AF667" s="17"/>
      <c r="AG667" s="17"/>
    </row>
    <row r="668" spans="31:33">
      <c r="AE668" s="19"/>
      <c r="AF668" s="17"/>
      <c r="AG668" s="17"/>
    </row>
    <row r="669" spans="31:33">
      <c r="AE669" s="19"/>
      <c r="AF669" s="17"/>
      <c r="AG669" s="17"/>
    </row>
    <row r="670" spans="31:33">
      <c r="AE670" s="19"/>
      <c r="AF670" s="17"/>
      <c r="AG670" s="17"/>
    </row>
    <row r="671" spans="31:33">
      <c r="AE671" s="19"/>
      <c r="AF671" s="17"/>
      <c r="AG671" s="17"/>
    </row>
    <row r="672" spans="31:33">
      <c r="AE672" s="19"/>
      <c r="AF672" s="17"/>
      <c r="AG672" s="17"/>
    </row>
    <row r="673" spans="31:33">
      <c r="AE673" s="19"/>
      <c r="AF673" s="17"/>
      <c r="AG673" s="17"/>
    </row>
    <row r="674" spans="31:33">
      <c r="AE674" s="19"/>
      <c r="AF674" s="17"/>
      <c r="AG674" s="17"/>
    </row>
    <row r="675" spans="31:33">
      <c r="AE675" s="19"/>
      <c r="AF675" s="17"/>
      <c r="AG675" s="17"/>
    </row>
    <row r="676" spans="31:33">
      <c r="AE676" s="19"/>
      <c r="AF676" s="17"/>
      <c r="AG676" s="17"/>
    </row>
    <row r="677" spans="31:33">
      <c r="AE677" s="19"/>
      <c r="AF677" s="17"/>
      <c r="AG677" s="17"/>
    </row>
    <row r="678" spans="31:33">
      <c r="AE678" s="19"/>
      <c r="AF678" s="17"/>
      <c r="AG678" s="17"/>
    </row>
    <row r="679" spans="31:33">
      <c r="AE679" s="19"/>
      <c r="AF679" s="17"/>
      <c r="AG679" s="17"/>
    </row>
    <row r="680" spans="31:33">
      <c r="AE680" s="19"/>
      <c r="AF680" s="17"/>
      <c r="AG680" s="17"/>
    </row>
    <row r="681" spans="31:33">
      <c r="AE681" s="19"/>
      <c r="AF681" s="17"/>
      <c r="AG681" s="17"/>
    </row>
    <row r="682" spans="31:33">
      <c r="AE682" s="19"/>
      <c r="AF682" s="17"/>
      <c r="AG682" s="17"/>
    </row>
    <row r="683" spans="31:33">
      <c r="AE683" s="19"/>
      <c r="AF683" s="17"/>
      <c r="AG683" s="17"/>
    </row>
    <row r="684" spans="31:33">
      <c r="AE684" s="19"/>
      <c r="AF684" s="17"/>
      <c r="AG684" s="17"/>
    </row>
    <row r="685" spans="31:33">
      <c r="AE685" s="19"/>
      <c r="AF685" s="17"/>
      <c r="AG685" s="17"/>
    </row>
    <row r="686" spans="31:33">
      <c r="AE686" s="19"/>
      <c r="AF686" s="17"/>
      <c r="AG686" s="17"/>
    </row>
    <row r="687" spans="31:33">
      <c r="AE687" s="19"/>
      <c r="AF687" s="17"/>
      <c r="AG687" s="17"/>
    </row>
    <row r="688" spans="31:33">
      <c r="AE688" s="19"/>
      <c r="AF688" s="17"/>
      <c r="AG688" s="17"/>
    </row>
    <row r="689" spans="31:33">
      <c r="AE689" s="19"/>
      <c r="AF689" s="17"/>
      <c r="AG689" s="17"/>
    </row>
    <row r="690" spans="31:33">
      <c r="AE690" s="19"/>
      <c r="AF690" s="17"/>
      <c r="AG690" s="17"/>
    </row>
    <row r="691" spans="31:33">
      <c r="AE691" s="19"/>
      <c r="AF691" s="17"/>
      <c r="AG691" s="17"/>
    </row>
    <row r="692" spans="31:33">
      <c r="AE692" s="19"/>
      <c r="AF692" s="17"/>
      <c r="AG692" s="17"/>
    </row>
    <row r="693" spans="31:33">
      <c r="AE693" s="19"/>
      <c r="AF693" s="17"/>
      <c r="AG693" s="17"/>
    </row>
    <row r="694" spans="31:33">
      <c r="AE694" s="19"/>
      <c r="AF694" s="17"/>
      <c r="AG694" s="17"/>
    </row>
    <row r="695" spans="31:33">
      <c r="AE695" s="19"/>
      <c r="AF695" s="17"/>
      <c r="AG695" s="17"/>
    </row>
    <row r="696" spans="31:33">
      <c r="AE696" s="19"/>
      <c r="AF696" s="17"/>
      <c r="AG696" s="17"/>
    </row>
    <row r="697" spans="31:33">
      <c r="AE697" s="19"/>
      <c r="AF697" s="17"/>
      <c r="AG697" s="17"/>
    </row>
    <row r="698" spans="31:33">
      <c r="AE698" s="19"/>
      <c r="AF698" s="17"/>
      <c r="AG698" s="17"/>
    </row>
    <row r="699" spans="31:33">
      <c r="AE699" s="19"/>
      <c r="AF699" s="17"/>
      <c r="AG699" s="17"/>
    </row>
    <row r="700" spans="31:33">
      <c r="AE700" s="19"/>
      <c r="AF700" s="17"/>
      <c r="AG700" s="17"/>
    </row>
    <row r="701" spans="31:33">
      <c r="AE701" s="19"/>
      <c r="AF701" s="17"/>
      <c r="AG701" s="17"/>
    </row>
    <row r="702" spans="31:33">
      <c r="AE702" s="19"/>
      <c r="AF702" s="17"/>
      <c r="AG702" s="17"/>
    </row>
    <row r="703" spans="31:33">
      <c r="AE703" s="19"/>
      <c r="AF703" s="17"/>
      <c r="AG703" s="17"/>
    </row>
    <row r="704" spans="31:33">
      <c r="AE704" s="19"/>
      <c r="AF704" s="17"/>
      <c r="AG704" s="17"/>
    </row>
    <row r="705" spans="31:33">
      <c r="AE705" s="19"/>
      <c r="AF705" s="17"/>
      <c r="AG705" s="17"/>
    </row>
    <row r="706" spans="31:33">
      <c r="AE706" s="19"/>
      <c r="AF706" s="17"/>
      <c r="AG706" s="17"/>
    </row>
    <row r="707" spans="31:33">
      <c r="AE707" s="19"/>
      <c r="AF707" s="17"/>
      <c r="AG707" s="17"/>
    </row>
    <row r="708" spans="31:33">
      <c r="AE708" s="19"/>
      <c r="AF708" s="17"/>
      <c r="AG708" s="17"/>
    </row>
    <row r="709" spans="31:33">
      <c r="AE709" s="19"/>
      <c r="AF709" s="17"/>
      <c r="AG709" s="17"/>
    </row>
    <row r="710" spans="31:33">
      <c r="AE710" s="19"/>
      <c r="AF710" s="17"/>
      <c r="AG710" s="17"/>
    </row>
    <row r="711" spans="31:33">
      <c r="AE711" s="19"/>
      <c r="AF711" s="17"/>
      <c r="AG711" s="17"/>
    </row>
    <row r="712" spans="31:33">
      <c r="AE712" s="19"/>
      <c r="AF712" s="17"/>
      <c r="AG712" s="17"/>
    </row>
    <row r="713" spans="31:33">
      <c r="AE713" s="19"/>
      <c r="AF713" s="17"/>
      <c r="AG713" s="17"/>
    </row>
    <row r="714" spans="31:33">
      <c r="AE714" s="19"/>
      <c r="AF714" s="17"/>
      <c r="AG714" s="17"/>
    </row>
    <row r="715" spans="31:33">
      <c r="AE715" s="19"/>
      <c r="AF715" s="17"/>
      <c r="AG715" s="17"/>
    </row>
    <row r="716" spans="31:33">
      <c r="AE716" s="19"/>
      <c r="AF716" s="17"/>
      <c r="AG716" s="17"/>
    </row>
    <row r="717" spans="31:33">
      <c r="AE717" s="19"/>
      <c r="AF717" s="17"/>
      <c r="AG717" s="17"/>
    </row>
    <row r="718" spans="31:33">
      <c r="AE718" s="19"/>
      <c r="AF718" s="17"/>
      <c r="AG718" s="17"/>
    </row>
    <row r="719" spans="31:33">
      <c r="AE719" s="19"/>
      <c r="AF719" s="17"/>
      <c r="AG719" s="17"/>
    </row>
    <row r="720" spans="31:33">
      <c r="AE720" s="19"/>
      <c r="AF720" s="17"/>
      <c r="AG720" s="17"/>
    </row>
    <row r="721" spans="31:33">
      <c r="AE721" s="19"/>
      <c r="AF721" s="17"/>
      <c r="AG721" s="17"/>
    </row>
    <row r="722" spans="31:33">
      <c r="AE722" s="19"/>
      <c r="AF722" s="17"/>
      <c r="AG722" s="17"/>
    </row>
    <row r="723" spans="31:33">
      <c r="AE723" s="19"/>
      <c r="AF723" s="17"/>
      <c r="AG723" s="17"/>
    </row>
    <row r="724" spans="31:33">
      <c r="AE724" s="19"/>
      <c r="AF724" s="17"/>
      <c r="AG724" s="17"/>
    </row>
    <row r="725" spans="31:33">
      <c r="AE725" s="19"/>
      <c r="AF725" s="17"/>
      <c r="AG725" s="17"/>
    </row>
    <row r="726" spans="31:33">
      <c r="AE726" s="19"/>
      <c r="AF726" s="17"/>
      <c r="AG726" s="17"/>
    </row>
    <row r="727" spans="31:33">
      <c r="AE727" s="19"/>
      <c r="AF727" s="17"/>
      <c r="AG727" s="17"/>
    </row>
    <row r="728" spans="31:33">
      <c r="AE728" s="19"/>
      <c r="AF728" s="17"/>
      <c r="AG728" s="17"/>
    </row>
    <row r="729" spans="31:33">
      <c r="AE729" s="19"/>
      <c r="AF729" s="17"/>
      <c r="AG729" s="17"/>
    </row>
    <row r="730" spans="31:33">
      <c r="AE730" s="19"/>
      <c r="AF730" s="17"/>
      <c r="AG730" s="17"/>
    </row>
    <row r="731" spans="31:33">
      <c r="AE731" s="19"/>
      <c r="AF731" s="17"/>
      <c r="AG731" s="17"/>
    </row>
    <row r="732" spans="31:33">
      <c r="AE732" s="19"/>
      <c r="AF732" s="17"/>
      <c r="AG732" s="17"/>
    </row>
    <row r="733" spans="31:33">
      <c r="AE733" s="19"/>
      <c r="AF733" s="17"/>
      <c r="AG733" s="17"/>
    </row>
    <row r="734" spans="31:33">
      <c r="AE734" s="19"/>
      <c r="AF734" s="17"/>
      <c r="AG734" s="17"/>
    </row>
    <row r="735" spans="31:33">
      <c r="AE735" s="19"/>
      <c r="AF735" s="17"/>
      <c r="AG735" s="17"/>
    </row>
    <row r="736" spans="31:33">
      <c r="AE736" s="19"/>
      <c r="AF736" s="17"/>
      <c r="AG736" s="17"/>
    </row>
    <row r="737" spans="31:33">
      <c r="AE737" s="19"/>
      <c r="AF737" s="17"/>
      <c r="AG737" s="17"/>
    </row>
    <row r="738" spans="31:33">
      <c r="AE738" s="19"/>
      <c r="AF738" s="17"/>
      <c r="AG738" s="17"/>
    </row>
    <row r="739" spans="31:33">
      <c r="AE739" s="19"/>
      <c r="AF739" s="17"/>
      <c r="AG739" s="17"/>
    </row>
    <row r="740" spans="31:33">
      <c r="AE740" s="19"/>
      <c r="AF740" s="17"/>
      <c r="AG740" s="17"/>
    </row>
    <row r="741" spans="31:33">
      <c r="AE741" s="19"/>
      <c r="AF741" s="17"/>
      <c r="AG741" s="17"/>
    </row>
    <row r="742" spans="31:33">
      <c r="AE742" s="19"/>
      <c r="AF742" s="17"/>
      <c r="AG742" s="17"/>
    </row>
    <row r="743" spans="31:33">
      <c r="AE743" s="19"/>
      <c r="AF743" s="17"/>
      <c r="AG743" s="17"/>
    </row>
    <row r="744" spans="31:33">
      <c r="AE744" s="19"/>
      <c r="AF744" s="17"/>
      <c r="AG744" s="17"/>
    </row>
    <row r="745" spans="31:33">
      <c r="AE745" s="19"/>
      <c r="AF745" s="17"/>
      <c r="AG745" s="17"/>
    </row>
    <row r="746" spans="31:33">
      <c r="AE746" s="19"/>
      <c r="AF746" s="17"/>
      <c r="AG746" s="17"/>
    </row>
    <row r="747" spans="31:33">
      <c r="AE747" s="19"/>
      <c r="AF747" s="17"/>
      <c r="AG747" s="17"/>
    </row>
    <row r="748" spans="31:33">
      <c r="AE748" s="19"/>
      <c r="AF748" s="17"/>
      <c r="AG748" s="17"/>
    </row>
    <row r="749" spans="31:33">
      <c r="AE749" s="19"/>
      <c r="AF749" s="17"/>
      <c r="AG749" s="17"/>
    </row>
    <row r="750" spans="31:33">
      <c r="AE750" s="19"/>
      <c r="AF750" s="17"/>
      <c r="AG750" s="17"/>
    </row>
    <row r="751" spans="31:33">
      <c r="AE751" s="19"/>
      <c r="AF751" s="17"/>
      <c r="AG751" s="17"/>
    </row>
    <row r="752" spans="31:33">
      <c r="AE752" s="19"/>
      <c r="AF752" s="17"/>
      <c r="AG752" s="17"/>
    </row>
    <row r="753" spans="31:33">
      <c r="AE753" s="19"/>
      <c r="AF753" s="17"/>
      <c r="AG753" s="17"/>
    </row>
    <row r="754" spans="31:33">
      <c r="AE754" s="19"/>
      <c r="AF754" s="17"/>
      <c r="AG754" s="17"/>
    </row>
    <row r="755" spans="31:33">
      <c r="AE755" s="19"/>
      <c r="AF755" s="17"/>
      <c r="AG755" s="17"/>
    </row>
    <row r="756" spans="31:33">
      <c r="AE756" s="19"/>
      <c r="AF756" s="17"/>
      <c r="AG756" s="17"/>
    </row>
    <row r="757" spans="31:33">
      <c r="AE757" s="19"/>
      <c r="AF757" s="17"/>
      <c r="AG757" s="17"/>
    </row>
    <row r="758" spans="31:33">
      <c r="AE758" s="19"/>
      <c r="AF758" s="17"/>
      <c r="AG758" s="17"/>
    </row>
    <row r="759" spans="31:33">
      <c r="AE759" s="19"/>
      <c r="AF759" s="17"/>
      <c r="AG759" s="17"/>
    </row>
    <row r="760" spans="31:33">
      <c r="AE760" s="19"/>
      <c r="AF760" s="17"/>
      <c r="AG760" s="17"/>
    </row>
    <row r="761" spans="31:33">
      <c r="AE761" s="19"/>
      <c r="AF761" s="17"/>
      <c r="AG761" s="17"/>
    </row>
    <row r="762" spans="31:33">
      <c r="AE762" s="19"/>
      <c r="AF762" s="17"/>
      <c r="AG762" s="17"/>
    </row>
    <row r="763" spans="31:33">
      <c r="AE763" s="19"/>
      <c r="AF763" s="17"/>
      <c r="AG763" s="17"/>
    </row>
    <row r="764" spans="31:33">
      <c r="AE764" s="19"/>
      <c r="AF764" s="17"/>
      <c r="AG764" s="17"/>
    </row>
    <row r="765" spans="31:33">
      <c r="AE765" s="19"/>
      <c r="AF765" s="17"/>
      <c r="AG765" s="17"/>
    </row>
    <row r="766" spans="31:33">
      <c r="AE766" s="19"/>
      <c r="AF766" s="17"/>
      <c r="AG766" s="17"/>
    </row>
    <row r="767" spans="31:33">
      <c r="AE767" s="19"/>
      <c r="AF767" s="17"/>
      <c r="AG767" s="17"/>
    </row>
    <row r="768" spans="31:33">
      <c r="AE768" s="19"/>
      <c r="AF768" s="17"/>
      <c r="AG768" s="17"/>
    </row>
    <row r="769" spans="31:33">
      <c r="AE769" s="19"/>
      <c r="AF769" s="17"/>
      <c r="AG769" s="17"/>
    </row>
    <row r="770" spans="31:33">
      <c r="AE770" s="19"/>
      <c r="AF770" s="17"/>
      <c r="AG770" s="17"/>
    </row>
    <row r="771" spans="31:33">
      <c r="AE771" s="19"/>
      <c r="AF771" s="17"/>
      <c r="AG771" s="17"/>
    </row>
    <row r="772" spans="31:33">
      <c r="AE772" s="19"/>
      <c r="AF772" s="17"/>
      <c r="AG772" s="17"/>
    </row>
    <row r="773" spans="31:33">
      <c r="AE773" s="19"/>
      <c r="AF773" s="17"/>
      <c r="AG773" s="17"/>
    </row>
    <row r="774" spans="31:33">
      <c r="AE774" s="19"/>
      <c r="AF774" s="17"/>
      <c r="AG774" s="17"/>
    </row>
    <row r="775" spans="31:33">
      <c r="AE775" s="19"/>
      <c r="AF775" s="17"/>
      <c r="AG775" s="17"/>
    </row>
    <row r="776" spans="31:33">
      <c r="AE776" s="19"/>
      <c r="AF776" s="17"/>
      <c r="AG776" s="17"/>
    </row>
    <row r="777" spans="31:33">
      <c r="AE777" s="19"/>
      <c r="AF777" s="17"/>
      <c r="AG777" s="17"/>
    </row>
    <row r="778" spans="31:33">
      <c r="AE778" s="19"/>
      <c r="AF778" s="17"/>
      <c r="AG778" s="17"/>
    </row>
    <row r="779" spans="31:33">
      <c r="AE779" s="19"/>
      <c r="AF779" s="17"/>
      <c r="AG779" s="17"/>
    </row>
    <row r="780" spans="31:33">
      <c r="AE780" s="19"/>
      <c r="AF780" s="17"/>
      <c r="AG780" s="17"/>
    </row>
    <row r="781" spans="31:33">
      <c r="AE781" s="19"/>
      <c r="AF781" s="17"/>
      <c r="AG781" s="17"/>
    </row>
    <row r="782" spans="31:33">
      <c r="AE782" s="19"/>
      <c r="AF782" s="17"/>
      <c r="AG782" s="17"/>
    </row>
    <row r="783" spans="31:33">
      <c r="AE783" s="19"/>
      <c r="AF783" s="17"/>
      <c r="AG783" s="17"/>
    </row>
    <row r="784" spans="31:33">
      <c r="AE784" s="19"/>
      <c r="AF784" s="17"/>
      <c r="AG784" s="17"/>
    </row>
    <row r="785" spans="31:33">
      <c r="AE785" s="19"/>
      <c r="AF785" s="17"/>
      <c r="AG785" s="17"/>
    </row>
    <row r="786" spans="31:33">
      <c r="AE786" s="19"/>
      <c r="AF786" s="17"/>
      <c r="AG786" s="17"/>
    </row>
    <row r="787" spans="31:33">
      <c r="AE787" s="19"/>
      <c r="AF787" s="17"/>
      <c r="AG787" s="17"/>
    </row>
    <row r="788" spans="31:33">
      <c r="AE788" s="19"/>
      <c r="AF788" s="17"/>
      <c r="AG788" s="17"/>
    </row>
    <row r="789" spans="31:33">
      <c r="AE789" s="19"/>
      <c r="AF789" s="17"/>
      <c r="AG789" s="17"/>
    </row>
    <row r="790" spans="31:33">
      <c r="AE790" s="19"/>
      <c r="AF790" s="17"/>
      <c r="AG790" s="17"/>
    </row>
    <row r="791" spans="31:33">
      <c r="AE791" s="19"/>
      <c r="AF791" s="17"/>
      <c r="AG791" s="17"/>
    </row>
    <row r="792" spans="31:33">
      <c r="AE792" s="19"/>
      <c r="AF792" s="17"/>
      <c r="AG792" s="17"/>
    </row>
    <row r="793" spans="31:33">
      <c r="AE793" s="19"/>
      <c r="AF793" s="17"/>
      <c r="AG793" s="17"/>
    </row>
    <row r="794" spans="31:33">
      <c r="AE794" s="19"/>
      <c r="AF794" s="17"/>
      <c r="AG794" s="17"/>
    </row>
    <row r="795" spans="31:33">
      <c r="AE795" s="19"/>
      <c r="AF795" s="17"/>
      <c r="AG795" s="17"/>
    </row>
    <row r="796" spans="31:33">
      <c r="AE796" s="19"/>
      <c r="AF796" s="17"/>
      <c r="AG796" s="17"/>
    </row>
    <row r="797" spans="31:33">
      <c r="AE797" s="19"/>
      <c r="AF797" s="17"/>
      <c r="AG797" s="17"/>
    </row>
    <row r="798" spans="31:33">
      <c r="AE798" s="19"/>
      <c r="AF798" s="17"/>
      <c r="AG798" s="17"/>
    </row>
    <row r="799" spans="31:33">
      <c r="AE799" s="19"/>
      <c r="AF799" s="17"/>
      <c r="AG799" s="17"/>
    </row>
    <row r="800" spans="31:33">
      <c r="AE800" s="19"/>
      <c r="AF800" s="17"/>
      <c r="AG800" s="17"/>
    </row>
    <row r="801" spans="31:33">
      <c r="AE801" s="19"/>
      <c r="AF801" s="17"/>
      <c r="AG801" s="17"/>
    </row>
    <row r="802" spans="31:33">
      <c r="AE802" s="19"/>
      <c r="AF802" s="17"/>
      <c r="AG802" s="17"/>
    </row>
    <row r="803" spans="31:33">
      <c r="AE803" s="19"/>
      <c r="AF803" s="17"/>
      <c r="AG803" s="17"/>
    </row>
    <row r="804" spans="31:33">
      <c r="AE804" s="19"/>
      <c r="AF804" s="17"/>
      <c r="AG804" s="17"/>
    </row>
    <row r="805" spans="31:33">
      <c r="AE805" s="19"/>
      <c r="AF805" s="17"/>
      <c r="AG805" s="17"/>
    </row>
    <row r="806" spans="31:33">
      <c r="AE806" s="19"/>
      <c r="AF806" s="17"/>
      <c r="AG806" s="17"/>
    </row>
    <row r="807" spans="31:33">
      <c r="AE807" s="19"/>
      <c r="AF807" s="17"/>
      <c r="AG807" s="17"/>
    </row>
    <row r="808" spans="31:33">
      <c r="AE808" s="19"/>
      <c r="AF808" s="17"/>
      <c r="AG808" s="17"/>
    </row>
    <row r="809" spans="31:33">
      <c r="AE809" s="19"/>
      <c r="AF809" s="17"/>
      <c r="AG809" s="17"/>
    </row>
    <row r="810" spans="31:33">
      <c r="AE810" s="19"/>
      <c r="AF810" s="17"/>
      <c r="AG810" s="17"/>
    </row>
    <row r="811" spans="31:33">
      <c r="AE811" s="19"/>
      <c r="AF811" s="17"/>
      <c r="AG811" s="17"/>
    </row>
    <row r="812" spans="31:33">
      <c r="AE812" s="19"/>
      <c r="AF812" s="17"/>
      <c r="AG812" s="17"/>
    </row>
    <row r="813" spans="31:33">
      <c r="AE813" s="19"/>
      <c r="AF813" s="17"/>
      <c r="AG813" s="17"/>
    </row>
    <row r="814" spans="31:33">
      <c r="AE814" s="19"/>
      <c r="AF814" s="17"/>
      <c r="AG814" s="17"/>
    </row>
    <row r="815" spans="31:33">
      <c r="AE815" s="19"/>
      <c r="AF815" s="17"/>
      <c r="AG815" s="17"/>
    </row>
    <row r="816" spans="31:33">
      <c r="AE816" s="19"/>
      <c r="AF816" s="17"/>
      <c r="AG816" s="17"/>
    </row>
    <row r="817" spans="31:33">
      <c r="AE817" s="19"/>
      <c r="AF817" s="17"/>
      <c r="AG817" s="17"/>
    </row>
    <row r="818" spans="31:33">
      <c r="AE818" s="19"/>
      <c r="AF818" s="17"/>
      <c r="AG818" s="17"/>
    </row>
    <row r="819" spans="31:33">
      <c r="AE819" s="19"/>
      <c r="AF819" s="17"/>
      <c r="AG819" s="17"/>
    </row>
    <row r="820" spans="31:33">
      <c r="AE820" s="19"/>
      <c r="AF820" s="17"/>
      <c r="AG820" s="17"/>
    </row>
    <row r="821" spans="31:33">
      <c r="AE821" s="19"/>
      <c r="AF821" s="17"/>
      <c r="AG821" s="17"/>
    </row>
    <row r="822" spans="31:33">
      <c r="AE822" s="19"/>
      <c r="AF822" s="17"/>
      <c r="AG822" s="17"/>
    </row>
    <row r="823" spans="31:33">
      <c r="AE823" s="19"/>
      <c r="AF823" s="17"/>
      <c r="AG823" s="17"/>
    </row>
    <row r="824" spans="31:33">
      <c r="AE824" s="19"/>
      <c r="AF824" s="17"/>
      <c r="AG824" s="17"/>
    </row>
    <row r="825" spans="31:33">
      <c r="AE825" s="19"/>
      <c r="AF825" s="17"/>
      <c r="AG825" s="17"/>
    </row>
    <row r="826" spans="31:33">
      <c r="AE826" s="19"/>
      <c r="AF826" s="17"/>
      <c r="AG826" s="17"/>
    </row>
    <row r="827" spans="31:33">
      <c r="AE827" s="19"/>
      <c r="AF827" s="17"/>
      <c r="AG827" s="17"/>
    </row>
    <row r="828" spans="31:33">
      <c r="AE828" s="19"/>
      <c r="AF828" s="17"/>
      <c r="AG828" s="17"/>
    </row>
    <row r="829" spans="31:33">
      <c r="AE829" s="19"/>
      <c r="AF829" s="17"/>
      <c r="AG829" s="17"/>
    </row>
    <row r="830" spans="31:33">
      <c r="AE830" s="19"/>
      <c r="AF830" s="17"/>
      <c r="AG830" s="17"/>
    </row>
    <row r="831" spans="31:33">
      <c r="AE831" s="19"/>
      <c r="AF831" s="17"/>
      <c r="AG831" s="17"/>
    </row>
    <row r="832" spans="31:33">
      <c r="AE832" s="19"/>
      <c r="AF832" s="17"/>
      <c r="AG832" s="17"/>
    </row>
    <row r="833" spans="31:33">
      <c r="AE833" s="19"/>
      <c r="AF833" s="17"/>
      <c r="AG833" s="17"/>
    </row>
    <row r="834" spans="31:33">
      <c r="AE834" s="19"/>
      <c r="AF834" s="17"/>
      <c r="AG834" s="17"/>
    </row>
    <row r="835" spans="31:33">
      <c r="AE835" s="19"/>
      <c r="AF835" s="17"/>
      <c r="AG835" s="17"/>
    </row>
    <row r="836" spans="31:33">
      <c r="AE836" s="19"/>
      <c r="AF836" s="17"/>
      <c r="AG836" s="17"/>
    </row>
    <row r="837" spans="31:33">
      <c r="AE837" s="19"/>
      <c r="AF837" s="17"/>
      <c r="AG837" s="17"/>
    </row>
    <row r="838" spans="31:33">
      <c r="AE838" s="19"/>
      <c r="AF838" s="17"/>
      <c r="AG838" s="17"/>
    </row>
    <row r="839" spans="31:33">
      <c r="AE839" s="19"/>
      <c r="AF839" s="17"/>
      <c r="AG839" s="17"/>
    </row>
    <row r="840" spans="31:33">
      <c r="AE840" s="19"/>
      <c r="AF840" s="17"/>
      <c r="AG840" s="17"/>
    </row>
    <row r="841" spans="31:33">
      <c r="AE841" s="19"/>
      <c r="AF841" s="17"/>
      <c r="AG841" s="17"/>
    </row>
    <row r="842" spans="31:33">
      <c r="AE842" s="19"/>
      <c r="AF842" s="17"/>
      <c r="AG842" s="17"/>
    </row>
    <row r="843" spans="31:33">
      <c r="AE843" s="19"/>
      <c r="AF843" s="17"/>
      <c r="AG843" s="17"/>
    </row>
    <row r="844" spans="31:33">
      <c r="AE844" s="19"/>
      <c r="AF844" s="17"/>
      <c r="AG844" s="17"/>
    </row>
    <row r="845" spans="31:33">
      <c r="AE845" s="19"/>
      <c r="AF845" s="17"/>
      <c r="AG845" s="17"/>
    </row>
    <row r="846" spans="31:33">
      <c r="AE846" s="19"/>
      <c r="AF846" s="17"/>
      <c r="AG846" s="17"/>
    </row>
    <row r="847" spans="31:33">
      <c r="AE847" s="19"/>
      <c r="AF847" s="17"/>
      <c r="AG847" s="17"/>
    </row>
    <row r="848" spans="31:33">
      <c r="AE848" s="19"/>
      <c r="AF848" s="17"/>
      <c r="AG848" s="17"/>
    </row>
    <row r="849" spans="31:33">
      <c r="AE849" s="19"/>
      <c r="AF849" s="17"/>
      <c r="AG849" s="17"/>
    </row>
    <row r="850" spans="31:33">
      <c r="AE850" s="19"/>
      <c r="AF850" s="17"/>
      <c r="AG850" s="17"/>
    </row>
    <row r="851" spans="31:33">
      <c r="AE851" s="19"/>
      <c r="AF851" s="17"/>
      <c r="AG851" s="17"/>
    </row>
    <row r="852" spans="31:33">
      <c r="AE852" s="19"/>
      <c r="AF852" s="17"/>
      <c r="AG852" s="17"/>
    </row>
    <row r="853" spans="31:33">
      <c r="AE853" s="19"/>
      <c r="AF853" s="17"/>
      <c r="AG853" s="17"/>
    </row>
    <row r="854" spans="31:33">
      <c r="AE854" s="19"/>
      <c r="AF854" s="17"/>
      <c r="AG854" s="17"/>
    </row>
    <row r="855" spans="31:33">
      <c r="AE855" s="19"/>
      <c r="AF855" s="17"/>
      <c r="AG855" s="17"/>
    </row>
    <row r="856" spans="31:33">
      <c r="AE856" s="19"/>
      <c r="AF856" s="17"/>
      <c r="AG856" s="17"/>
    </row>
    <row r="857" spans="31:33">
      <c r="AE857" s="19"/>
      <c r="AF857" s="17"/>
      <c r="AG857" s="17"/>
    </row>
    <row r="858" spans="31:33">
      <c r="AE858" s="19"/>
      <c r="AF858" s="17"/>
      <c r="AG858" s="17"/>
    </row>
    <row r="859" spans="31:33">
      <c r="AE859" s="19"/>
      <c r="AF859" s="17"/>
      <c r="AG859" s="17"/>
    </row>
    <row r="860" spans="31:33">
      <c r="AE860" s="19"/>
      <c r="AF860" s="17"/>
      <c r="AG860" s="17"/>
    </row>
    <row r="861" spans="31:33">
      <c r="AE861" s="19"/>
      <c r="AF861" s="17"/>
      <c r="AG861" s="17"/>
    </row>
    <row r="862" spans="31:33">
      <c r="AE862" s="19"/>
      <c r="AF862" s="17"/>
      <c r="AG862" s="17"/>
    </row>
    <row r="863" spans="31:33">
      <c r="AE863" s="19"/>
      <c r="AF863" s="17"/>
      <c r="AG863" s="17"/>
    </row>
    <row r="864" spans="31:33">
      <c r="AE864" s="19"/>
      <c r="AF864" s="17"/>
      <c r="AG864" s="17"/>
    </row>
    <row r="865" spans="31:33">
      <c r="AE865" s="19"/>
      <c r="AF865" s="17"/>
      <c r="AG865" s="17"/>
    </row>
    <row r="866" spans="31:33">
      <c r="AE866" s="19"/>
      <c r="AF866" s="17"/>
      <c r="AG866" s="17"/>
    </row>
    <row r="867" spans="31:33">
      <c r="AE867" s="19"/>
      <c r="AF867" s="17"/>
      <c r="AG867" s="17"/>
    </row>
    <row r="868" spans="31:33">
      <c r="AE868" s="19"/>
      <c r="AF868" s="17"/>
      <c r="AG868" s="17"/>
    </row>
    <row r="869" spans="31:33">
      <c r="AE869" s="19"/>
      <c r="AF869" s="17"/>
      <c r="AG869" s="17"/>
    </row>
    <row r="870" spans="31:33">
      <c r="AE870" s="19"/>
      <c r="AF870" s="17"/>
      <c r="AG870" s="17"/>
    </row>
    <row r="871" spans="31:33">
      <c r="AE871" s="19"/>
      <c r="AF871" s="17"/>
      <c r="AG871" s="17"/>
    </row>
    <row r="872" spans="31:33">
      <c r="AE872" s="19"/>
      <c r="AF872" s="17"/>
      <c r="AG872" s="17"/>
    </row>
    <row r="873" spans="31:33">
      <c r="AE873" s="19"/>
      <c r="AF873" s="17"/>
      <c r="AG873" s="17"/>
    </row>
    <row r="874" spans="31:33">
      <c r="AE874" s="19"/>
      <c r="AF874" s="17"/>
      <c r="AG874" s="17"/>
    </row>
    <row r="875" spans="31:33">
      <c r="AE875" s="19"/>
      <c r="AF875" s="17"/>
      <c r="AG875" s="17"/>
    </row>
    <row r="876" spans="31:33">
      <c r="AE876" s="19"/>
      <c r="AF876" s="17"/>
      <c r="AG876" s="17"/>
    </row>
    <row r="877" spans="31:33">
      <c r="AE877" s="19"/>
      <c r="AF877" s="17"/>
      <c r="AG877" s="17"/>
    </row>
    <row r="878" spans="31:33">
      <c r="AE878" s="19"/>
      <c r="AF878" s="17"/>
      <c r="AG878" s="17"/>
    </row>
    <row r="879" spans="31:33">
      <c r="AE879" s="19"/>
      <c r="AF879" s="17"/>
      <c r="AG879" s="17"/>
    </row>
    <row r="880" spans="31:33">
      <c r="AE880" s="19"/>
      <c r="AF880" s="17"/>
      <c r="AG880" s="17"/>
    </row>
    <row r="881" spans="31:33">
      <c r="AE881" s="19"/>
      <c r="AF881" s="17"/>
      <c r="AG881" s="17"/>
    </row>
    <row r="882" spans="31:33">
      <c r="AE882" s="19"/>
      <c r="AF882" s="17"/>
      <c r="AG882" s="17"/>
    </row>
    <row r="883" spans="31:33">
      <c r="AE883" s="19"/>
      <c r="AF883" s="17"/>
      <c r="AG883" s="17"/>
    </row>
    <row r="884" spans="31:33">
      <c r="AE884" s="19"/>
      <c r="AF884" s="17"/>
      <c r="AG884" s="17"/>
    </row>
    <row r="885" spans="31:33">
      <c r="AE885" s="19"/>
      <c r="AF885" s="17"/>
      <c r="AG885" s="17"/>
    </row>
    <row r="886" spans="31:33">
      <c r="AE886" s="19"/>
      <c r="AF886" s="17"/>
      <c r="AG886" s="17"/>
    </row>
    <row r="887" spans="31:33">
      <c r="AE887" s="19"/>
      <c r="AF887" s="17"/>
      <c r="AG887" s="17"/>
    </row>
    <row r="888" spans="31:33">
      <c r="AE888" s="19"/>
      <c r="AF888" s="17"/>
      <c r="AG888" s="17"/>
    </row>
    <row r="889" spans="31:33">
      <c r="AE889" s="19"/>
      <c r="AF889" s="17"/>
      <c r="AG889" s="17"/>
    </row>
    <row r="890" spans="31:33">
      <c r="AE890" s="19"/>
      <c r="AF890" s="17"/>
      <c r="AG890" s="17"/>
    </row>
    <row r="891" spans="31:33">
      <c r="AE891" s="19"/>
      <c r="AF891" s="17"/>
      <c r="AG891" s="17"/>
    </row>
    <row r="892" spans="31:33">
      <c r="AE892" s="19"/>
      <c r="AF892" s="17"/>
      <c r="AG892" s="17"/>
    </row>
    <row r="893" spans="31:33">
      <c r="AE893" s="19"/>
      <c r="AF893" s="17"/>
      <c r="AG893" s="17"/>
    </row>
    <row r="894" spans="31:33">
      <c r="AE894" s="19"/>
      <c r="AF894" s="17"/>
      <c r="AG894" s="17"/>
    </row>
    <row r="895" spans="31:33">
      <c r="AE895" s="19"/>
      <c r="AF895" s="17"/>
      <c r="AG895" s="17"/>
    </row>
    <row r="896" spans="31:33">
      <c r="AE896" s="19"/>
      <c r="AF896" s="17"/>
      <c r="AG896" s="17"/>
    </row>
    <row r="897" spans="31:33">
      <c r="AE897" s="19"/>
      <c r="AF897" s="17"/>
      <c r="AG897" s="17"/>
    </row>
    <row r="898" spans="31:33">
      <c r="AE898" s="19"/>
      <c r="AF898" s="17"/>
      <c r="AG898" s="17"/>
    </row>
    <row r="899" spans="31:33">
      <c r="AE899" s="19"/>
      <c r="AF899" s="17"/>
      <c r="AG899" s="17"/>
    </row>
    <row r="900" spans="31:33">
      <c r="AE900" s="19"/>
      <c r="AF900" s="17"/>
      <c r="AG900" s="17"/>
    </row>
    <row r="901" spans="31:33">
      <c r="AE901" s="19"/>
      <c r="AF901" s="17"/>
      <c r="AG901" s="17"/>
    </row>
    <row r="902" spans="31:33">
      <c r="AE902" s="19"/>
      <c r="AF902" s="17"/>
      <c r="AG902" s="17"/>
    </row>
    <row r="903" spans="31:33">
      <c r="AE903" s="19"/>
      <c r="AF903" s="17"/>
      <c r="AG903" s="17"/>
    </row>
    <row r="904" spans="31:33">
      <c r="AE904" s="19"/>
      <c r="AF904" s="17"/>
      <c r="AG904" s="17"/>
    </row>
    <row r="905" spans="31:33">
      <c r="AE905" s="19"/>
      <c r="AF905" s="17"/>
      <c r="AG905" s="17"/>
    </row>
    <row r="906" spans="31:33">
      <c r="AE906" s="19"/>
      <c r="AF906" s="17"/>
      <c r="AG906" s="17"/>
    </row>
    <row r="907" spans="31:33">
      <c r="AE907" s="19"/>
      <c r="AF907" s="17"/>
      <c r="AG907" s="17"/>
    </row>
    <row r="908" spans="31:33">
      <c r="AE908" s="19"/>
      <c r="AF908" s="17"/>
      <c r="AG908" s="17"/>
    </row>
    <row r="909" spans="31:33">
      <c r="AE909" s="19"/>
      <c r="AF909" s="17"/>
      <c r="AG909" s="17"/>
    </row>
    <row r="910" spans="31:33">
      <c r="AE910" s="19"/>
      <c r="AF910" s="17"/>
      <c r="AG910" s="17"/>
    </row>
    <row r="911" spans="31:33">
      <c r="AE911" s="19"/>
      <c r="AF911" s="17"/>
      <c r="AG911" s="17"/>
    </row>
    <row r="912" spans="31:33">
      <c r="AE912" s="19"/>
      <c r="AF912" s="17"/>
      <c r="AG912" s="17"/>
    </row>
    <row r="913" spans="31:33">
      <c r="AE913" s="19"/>
      <c r="AF913" s="17"/>
      <c r="AG913" s="17"/>
    </row>
    <row r="914" spans="31:33">
      <c r="AE914" s="19"/>
      <c r="AF914" s="17"/>
      <c r="AG914" s="17"/>
    </row>
    <row r="915" spans="31:33">
      <c r="AE915" s="19"/>
      <c r="AF915" s="17"/>
      <c r="AG915" s="17"/>
    </row>
    <row r="916" spans="31:33">
      <c r="AE916" s="19"/>
      <c r="AF916" s="17"/>
      <c r="AG916" s="17"/>
    </row>
    <row r="917" spans="31:33">
      <c r="AE917" s="19"/>
      <c r="AF917" s="17"/>
      <c r="AG917" s="17"/>
    </row>
    <row r="918" spans="31:33">
      <c r="AE918" s="19"/>
      <c r="AF918" s="17"/>
      <c r="AG918" s="17"/>
    </row>
    <row r="919" spans="31:33">
      <c r="AE919" s="19"/>
      <c r="AF919" s="17"/>
      <c r="AG919" s="17"/>
    </row>
    <row r="920" spans="31:33">
      <c r="AE920" s="19"/>
      <c r="AF920" s="17"/>
      <c r="AG920" s="17"/>
    </row>
    <row r="921" spans="31:33">
      <c r="AE921" s="19"/>
      <c r="AF921" s="17"/>
      <c r="AG921" s="17"/>
    </row>
    <row r="922" spans="31:33">
      <c r="AE922" s="19"/>
      <c r="AF922" s="17"/>
      <c r="AG922" s="17"/>
    </row>
    <row r="923" spans="31:33">
      <c r="AE923" s="19"/>
      <c r="AF923" s="17"/>
      <c r="AG923" s="17"/>
    </row>
    <row r="924" spans="31:33">
      <c r="AE924" s="19"/>
      <c r="AF924" s="17"/>
      <c r="AG924" s="17"/>
    </row>
    <row r="925" spans="31:33">
      <c r="AE925" s="19"/>
      <c r="AF925" s="17"/>
      <c r="AG925" s="17"/>
    </row>
    <row r="926" spans="31:33">
      <c r="AE926" s="19"/>
      <c r="AF926" s="17"/>
      <c r="AG926" s="17"/>
    </row>
    <row r="927" spans="31:33">
      <c r="AE927" s="19"/>
      <c r="AF927" s="17"/>
      <c r="AG927" s="17"/>
    </row>
    <row r="928" spans="31:33">
      <c r="AE928" s="19"/>
      <c r="AF928" s="17"/>
      <c r="AG928" s="17"/>
    </row>
    <row r="929" spans="31:33">
      <c r="AE929" s="19"/>
      <c r="AF929" s="17"/>
      <c r="AG929" s="17"/>
    </row>
    <row r="930" spans="31:33">
      <c r="AE930" s="19"/>
      <c r="AF930" s="17"/>
      <c r="AG930" s="17"/>
    </row>
    <row r="931" spans="31:33">
      <c r="AE931" s="19"/>
      <c r="AF931" s="17"/>
      <c r="AG931" s="17"/>
    </row>
    <row r="932" spans="31:33">
      <c r="AE932" s="19"/>
      <c r="AF932" s="17"/>
      <c r="AG932" s="17"/>
    </row>
    <row r="933" spans="31:33">
      <c r="AE933" s="19"/>
      <c r="AF933" s="17"/>
      <c r="AG933" s="17"/>
    </row>
    <row r="934" spans="31:33">
      <c r="AE934" s="19"/>
      <c r="AF934" s="17"/>
      <c r="AG934" s="17"/>
    </row>
    <row r="935" spans="31:33">
      <c r="AE935" s="19"/>
      <c r="AF935" s="17"/>
      <c r="AG935" s="17"/>
    </row>
    <row r="936" spans="31:33">
      <c r="AE936" s="19"/>
      <c r="AF936" s="17"/>
      <c r="AG936" s="17"/>
    </row>
    <row r="937" spans="31:33">
      <c r="AE937" s="19"/>
      <c r="AF937" s="17"/>
      <c r="AG937" s="17"/>
    </row>
    <row r="938" spans="31:33">
      <c r="AE938" s="19"/>
      <c r="AF938" s="17"/>
      <c r="AG938" s="17"/>
    </row>
    <row r="939" spans="31:33">
      <c r="AE939" s="19"/>
      <c r="AF939" s="17"/>
      <c r="AG939" s="17"/>
    </row>
    <row r="940" spans="31:33">
      <c r="AE940" s="19"/>
      <c r="AF940" s="17"/>
      <c r="AG940" s="17"/>
    </row>
    <row r="941" spans="31:33">
      <c r="AE941" s="19"/>
      <c r="AF941" s="17"/>
      <c r="AG941" s="17"/>
    </row>
    <row r="942" spans="31:33">
      <c r="AE942" s="19"/>
      <c r="AF942" s="17"/>
      <c r="AG942" s="17"/>
    </row>
    <row r="943" spans="31:33">
      <c r="AE943" s="19"/>
      <c r="AF943" s="17"/>
      <c r="AG943" s="17"/>
    </row>
    <row r="944" spans="31:33">
      <c r="AE944" s="19"/>
      <c r="AF944" s="17"/>
      <c r="AG944" s="17"/>
    </row>
    <row r="945" spans="31:33">
      <c r="AE945" s="19"/>
      <c r="AF945" s="17"/>
      <c r="AG945" s="17"/>
    </row>
    <row r="946" spans="31:33">
      <c r="AE946" s="19"/>
      <c r="AF946" s="17"/>
      <c r="AG946" s="17"/>
    </row>
    <row r="947" spans="31:33">
      <c r="AE947" s="19"/>
      <c r="AF947" s="17"/>
      <c r="AG947" s="17"/>
    </row>
    <row r="948" spans="31:33">
      <c r="AE948" s="19"/>
      <c r="AF948" s="17"/>
      <c r="AG948" s="17"/>
    </row>
    <row r="949" spans="31:33">
      <c r="AE949" s="19"/>
      <c r="AF949" s="17"/>
      <c r="AG949" s="17"/>
    </row>
    <row r="950" spans="31:33">
      <c r="AE950" s="19"/>
      <c r="AF950" s="17"/>
      <c r="AG950" s="17"/>
    </row>
    <row r="951" spans="31:33">
      <c r="AE951" s="19"/>
      <c r="AF951" s="17"/>
      <c r="AG951" s="17"/>
    </row>
    <row r="952" spans="31:33">
      <c r="AE952" s="19"/>
      <c r="AF952" s="17"/>
      <c r="AG952" s="17"/>
    </row>
    <row r="953" spans="31:33">
      <c r="AE953" s="19"/>
      <c r="AF953" s="17"/>
      <c r="AG953" s="17"/>
    </row>
    <row r="954" spans="31:33">
      <c r="AE954" s="19"/>
      <c r="AF954" s="17"/>
      <c r="AG954" s="17"/>
    </row>
    <row r="955" spans="31:33">
      <c r="AE955" s="19"/>
      <c r="AF955" s="17"/>
      <c r="AG955" s="17"/>
    </row>
    <row r="956" spans="31:33">
      <c r="AE956" s="19"/>
      <c r="AF956" s="17"/>
      <c r="AG956" s="17"/>
    </row>
    <row r="957" spans="31:33">
      <c r="AE957" s="19"/>
      <c r="AF957" s="17"/>
      <c r="AG957" s="17"/>
    </row>
    <row r="958" spans="31:33">
      <c r="AE958" s="19"/>
      <c r="AF958" s="17"/>
      <c r="AG958" s="17"/>
    </row>
    <row r="959" spans="31:33">
      <c r="AE959" s="19"/>
      <c r="AF959" s="17"/>
      <c r="AG959" s="17"/>
    </row>
    <row r="960" spans="31:33">
      <c r="AE960" s="19"/>
      <c r="AF960" s="17"/>
      <c r="AG960" s="17"/>
    </row>
    <row r="961" spans="31:33">
      <c r="AE961" s="19"/>
      <c r="AF961" s="17"/>
      <c r="AG961" s="17"/>
    </row>
    <row r="962" spans="31:33">
      <c r="AE962" s="19"/>
      <c r="AF962" s="17"/>
      <c r="AG962" s="17"/>
    </row>
    <row r="963" spans="31:33">
      <c r="AE963" s="19"/>
      <c r="AF963" s="17"/>
      <c r="AG963" s="17"/>
    </row>
    <row r="964" spans="31:33">
      <c r="AE964" s="19"/>
      <c r="AF964" s="17"/>
      <c r="AG964" s="17"/>
    </row>
    <row r="965" spans="31:33">
      <c r="AE965" s="19"/>
      <c r="AF965" s="17"/>
      <c r="AG965" s="17"/>
    </row>
    <row r="966" spans="31:33">
      <c r="AE966" s="19"/>
      <c r="AF966" s="17"/>
      <c r="AG966" s="17"/>
    </row>
    <row r="967" spans="31:33">
      <c r="AE967" s="19"/>
      <c r="AF967" s="17"/>
      <c r="AG967" s="17"/>
    </row>
    <row r="968" spans="31:33">
      <c r="AE968" s="19"/>
      <c r="AF968" s="17"/>
      <c r="AG968" s="17"/>
    </row>
    <row r="969" spans="31:33">
      <c r="AE969" s="19"/>
      <c r="AF969" s="17"/>
      <c r="AG969" s="17"/>
    </row>
    <row r="970" spans="31:33">
      <c r="AE970" s="19"/>
      <c r="AF970" s="17"/>
      <c r="AG970" s="17"/>
    </row>
    <row r="971" spans="31:33">
      <c r="AE971" s="19"/>
      <c r="AF971" s="17"/>
      <c r="AG971" s="17"/>
    </row>
    <row r="972" spans="31:33">
      <c r="AE972" s="19"/>
      <c r="AF972" s="17"/>
      <c r="AG972" s="17"/>
    </row>
    <row r="973" spans="31:33">
      <c r="AE973" s="19"/>
      <c r="AF973" s="17"/>
      <c r="AG973" s="17"/>
    </row>
    <row r="974" spans="31:33">
      <c r="AE974" s="19"/>
      <c r="AF974" s="17"/>
      <c r="AG974" s="17"/>
    </row>
    <row r="975" spans="31:33">
      <c r="AE975" s="19"/>
      <c r="AF975" s="17"/>
      <c r="AG975" s="17"/>
    </row>
    <row r="976" spans="31:33">
      <c r="AE976" s="19"/>
      <c r="AF976" s="17"/>
      <c r="AG976" s="17"/>
    </row>
    <row r="977" spans="31:33">
      <c r="AE977" s="19"/>
      <c r="AF977" s="17"/>
      <c r="AG977" s="17"/>
    </row>
    <row r="978" spans="31:33">
      <c r="AE978" s="19"/>
      <c r="AF978" s="17"/>
      <c r="AG978" s="17"/>
    </row>
    <row r="979" spans="31:33">
      <c r="AE979" s="19"/>
      <c r="AF979" s="17"/>
      <c r="AG979" s="17"/>
    </row>
    <row r="980" spans="31:33">
      <c r="AE980" s="19"/>
      <c r="AF980" s="17"/>
      <c r="AG980" s="17"/>
    </row>
    <row r="981" spans="31:33">
      <c r="AE981" s="19"/>
      <c r="AF981" s="17"/>
      <c r="AG981" s="17"/>
    </row>
    <row r="982" spans="31:33">
      <c r="AE982" s="19"/>
      <c r="AF982" s="17"/>
      <c r="AG982" s="17"/>
    </row>
    <row r="983" spans="31:33">
      <c r="AE983" s="19"/>
      <c r="AF983" s="17"/>
      <c r="AG983" s="17"/>
    </row>
    <row r="984" spans="31:33">
      <c r="AE984" s="19"/>
      <c r="AF984" s="17"/>
      <c r="AG984" s="17"/>
    </row>
    <row r="985" spans="31:33">
      <c r="AE985" s="19"/>
      <c r="AF985" s="17"/>
      <c r="AG985" s="17"/>
    </row>
    <row r="986" spans="31:33">
      <c r="AE986" s="19"/>
      <c r="AF986" s="17"/>
      <c r="AG986" s="17"/>
    </row>
    <row r="987" spans="31:33">
      <c r="AE987" s="19"/>
      <c r="AF987" s="17"/>
      <c r="AG987" s="17"/>
    </row>
    <row r="988" spans="31:33">
      <c r="AE988" s="19"/>
      <c r="AF988" s="17"/>
      <c r="AG988" s="17"/>
    </row>
    <row r="989" spans="31:33">
      <c r="AE989" s="19"/>
      <c r="AF989" s="17"/>
      <c r="AG989" s="17"/>
    </row>
    <row r="990" spans="31:33">
      <c r="AE990" s="19"/>
      <c r="AF990" s="17"/>
      <c r="AG990" s="17"/>
    </row>
    <row r="991" spans="31:33">
      <c r="AE991" s="19"/>
      <c r="AF991" s="17"/>
      <c r="AG991" s="17"/>
    </row>
    <row r="992" spans="31:33">
      <c r="AE992" s="19"/>
      <c r="AF992" s="17"/>
      <c r="AG992" s="17"/>
    </row>
    <row r="993" spans="31:33">
      <c r="AE993" s="19"/>
      <c r="AF993" s="17"/>
      <c r="AG993" s="17"/>
    </row>
    <row r="994" spans="31:33">
      <c r="AE994" s="19"/>
      <c r="AF994" s="17"/>
      <c r="AG994" s="17"/>
    </row>
    <row r="995" spans="31:33">
      <c r="AE995" s="19"/>
      <c r="AF995" s="17"/>
      <c r="AG995" s="17"/>
    </row>
    <row r="996" spans="31:33">
      <c r="AE996" s="19"/>
      <c r="AF996" s="17"/>
      <c r="AG996" s="17"/>
    </row>
    <row r="997" spans="31:33">
      <c r="AE997" s="19"/>
      <c r="AF997" s="17"/>
      <c r="AG997" s="17"/>
    </row>
    <row r="998" spans="31:33">
      <c r="AE998" s="19"/>
      <c r="AF998" s="17"/>
      <c r="AG998" s="17"/>
    </row>
    <row r="999" spans="31:33">
      <c r="AE999" s="19"/>
      <c r="AF999" s="17"/>
      <c r="AG999" s="17"/>
    </row>
    <row r="1000" spans="31:33">
      <c r="AE1000" s="19"/>
      <c r="AF1000" s="17"/>
      <c r="AG1000" s="17"/>
    </row>
    <row r="1001" spans="31:33">
      <c r="AE1001" s="19"/>
      <c r="AF1001" s="17"/>
      <c r="AG1001" s="17"/>
    </row>
    <row r="1002" spans="31:33">
      <c r="AE1002" s="19"/>
      <c r="AF1002" s="17"/>
      <c r="AG1002" s="17"/>
    </row>
    <row r="1003" spans="31:33">
      <c r="AE1003" s="19"/>
      <c r="AF1003" s="17"/>
      <c r="AG1003" s="17"/>
    </row>
    <row r="1004" spans="31:33">
      <c r="AE1004" s="19"/>
      <c r="AF1004" s="17"/>
      <c r="AG1004" s="17"/>
    </row>
    <row r="1005" spans="31:33">
      <c r="AE1005" s="19"/>
      <c r="AF1005" s="17"/>
      <c r="AG1005" s="17"/>
    </row>
    <row r="1006" spans="31:33">
      <c r="AE1006" s="19"/>
      <c r="AF1006" s="17"/>
      <c r="AG1006" s="17"/>
    </row>
    <row r="1007" spans="31:33">
      <c r="AE1007" s="19"/>
      <c r="AF1007" s="17"/>
      <c r="AG1007" s="17"/>
    </row>
    <row r="1008" spans="31:33">
      <c r="AE1008" s="19"/>
      <c r="AF1008" s="17"/>
      <c r="AG1008" s="17"/>
    </row>
    <row r="1009" spans="31:33">
      <c r="AE1009" s="19"/>
      <c r="AF1009" s="17"/>
      <c r="AG1009" s="17"/>
    </row>
    <row r="1010" spans="31:33">
      <c r="AE1010" s="19"/>
      <c r="AF1010" s="17"/>
      <c r="AG1010" s="17"/>
    </row>
    <row r="1011" spans="31:33">
      <c r="AE1011" s="19"/>
      <c r="AF1011" s="17"/>
      <c r="AG1011" s="17"/>
    </row>
    <row r="1012" spans="31:33">
      <c r="AE1012" s="19"/>
      <c r="AF1012" s="17"/>
      <c r="AG1012" s="17"/>
    </row>
    <row r="1013" spans="31:33">
      <c r="AE1013" s="19"/>
      <c r="AF1013" s="17"/>
      <c r="AG1013" s="17"/>
    </row>
    <row r="1014" spans="31:33">
      <c r="AE1014" s="19"/>
      <c r="AF1014" s="17"/>
      <c r="AG1014" s="17"/>
    </row>
    <row r="1015" spans="31:33">
      <c r="AE1015" s="19"/>
      <c r="AF1015" s="17"/>
      <c r="AG1015" s="17"/>
    </row>
    <row r="1016" spans="31:33">
      <c r="AE1016" s="19"/>
      <c r="AF1016" s="17"/>
      <c r="AG1016" s="17"/>
    </row>
    <row r="1017" spans="31:33">
      <c r="AE1017" s="19"/>
      <c r="AF1017" s="17"/>
      <c r="AG1017" s="17"/>
    </row>
    <row r="1018" spans="31:33">
      <c r="AE1018" s="19"/>
      <c r="AF1018" s="17"/>
      <c r="AG1018" s="17"/>
    </row>
    <row r="1019" spans="31:33">
      <c r="AE1019" s="19"/>
      <c r="AF1019" s="17"/>
      <c r="AG1019" s="17"/>
    </row>
    <row r="1020" spans="31:33">
      <c r="AE1020" s="19"/>
      <c r="AF1020" s="17"/>
      <c r="AG1020" s="17"/>
    </row>
    <row r="1021" spans="31:33">
      <c r="AE1021" s="19"/>
      <c r="AF1021" s="17"/>
      <c r="AG1021" s="17"/>
    </row>
    <row r="1022" spans="31:33">
      <c r="AE1022" s="19"/>
      <c r="AF1022" s="17"/>
      <c r="AG1022" s="17"/>
    </row>
    <row r="1023" spans="31:33">
      <c r="AE1023" s="19"/>
      <c r="AF1023" s="17"/>
      <c r="AG1023" s="17"/>
    </row>
    <row r="1024" spans="31:33">
      <c r="AE1024" s="19"/>
      <c r="AF1024" s="17"/>
      <c r="AG1024" s="17"/>
    </row>
    <row r="1025" spans="31:33">
      <c r="AE1025" s="19"/>
      <c r="AF1025" s="17"/>
      <c r="AG1025" s="17"/>
    </row>
    <row r="1026" spans="31:33">
      <c r="AE1026" s="19"/>
      <c r="AF1026" s="17"/>
      <c r="AG1026" s="17"/>
    </row>
    <row r="1027" spans="31:33">
      <c r="AE1027" s="19"/>
      <c r="AF1027" s="17"/>
      <c r="AG1027" s="17"/>
    </row>
    <row r="1028" spans="31:33">
      <c r="AE1028" s="19"/>
      <c r="AF1028" s="17"/>
      <c r="AG1028" s="17"/>
    </row>
    <row r="1029" spans="31:33">
      <c r="AE1029" s="19"/>
      <c r="AF1029" s="17"/>
      <c r="AG1029" s="17"/>
    </row>
    <row r="1030" spans="31:33">
      <c r="AE1030" s="19"/>
      <c r="AF1030" s="17"/>
      <c r="AG1030" s="17"/>
    </row>
    <row r="1031" spans="31:33">
      <c r="AE1031" s="19"/>
      <c r="AF1031" s="17"/>
      <c r="AG1031" s="17"/>
    </row>
    <row r="1032" spans="31:33">
      <c r="AE1032" s="19"/>
      <c r="AF1032" s="17"/>
      <c r="AG1032" s="17"/>
    </row>
    <row r="1033" spans="31:33">
      <c r="AE1033" s="19"/>
      <c r="AF1033" s="17"/>
      <c r="AG1033" s="17"/>
    </row>
    <row r="1034" spans="31:33">
      <c r="AE1034" s="19"/>
      <c r="AF1034" s="17"/>
      <c r="AG1034" s="17"/>
    </row>
    <row r="1035" spans="31:33">
      <c r="AE1035" s="19"/>
      <c r="AF1035" s="17"/>
      <c r="AG1035" s="17"/>
    </row>
    <row r="1036" spans="31:33">
      <c r="AE1036" s="19"/>
      <c r="AF1036" s="17"/>
      <c r="AG1036" s="17"/>
    </row>
    <row r="1037" spans="31:33">
      <c r="AE1037" s="19"/>
      <c r="AF1037" s="17"/>
      <c r="AG1037" s="17"/>
    </row>
    <row r="1038" spans="31:33">
      <c r="AE1038" s="19"/>
      <c r="AF1038" s="17"/>
      <c r="AG1038" s="17"/>
    </row>
    <row r="1039" spans="31:33">
      <c r="AE1039" s="19"/>
      <c r="AF1039" s="17"/>
      <c r="AG1039" s="17"/>
    </row>
    <row r="1040" spans="31:33">
      <c r="AE1040" s="19"/>
      <c r="AF1040" s="17"/>
      <c r="AG1040" s="17"/>
    </row>
    <row r="1041" spans="31:33">
      <c r="AE1041" s="19"/>
      <c r="AF1041" s="17"/>
      <c r="AG1041" s="17"/>
    </row>
    <row r="1042" spans="31:33">
      <c r="AE1042" s="19"/>
      <c r="AF1042" s="17"/>
      <c r="AG1042" s="17"/>
    </row>
    <row r="1043" spans="31:33">
      <c r="AE1043" s="19"/>
      <c r="AF1043" s="17"/>
      <c r="AG1043" s="17"/>
    </row>
    <row r="1044" spans="31:33">
      <c r="AE1044" s="19"/>
      <c r="AF1044" s="17"/>
      <c r="AG1044" s="17"/>
    </row>
    <row r="1045" spans="31:33">
      <c r="AE1045" s="19"/>
      <c r="AF1045" s="17"/>
      <c r="AG1045" s="17"/>
    </row>
    <row r="1046" spans="31:33">
      <c r="AE1046" s="19"/>
      <c r="AF1046" s="17"/>
      <c r="AG1046" s="17"/>
    </row>
    <row r="1047" spans="31:33">
      <c r="AE1047" s="19"/>
      <c r="AF1047" s="17"/>
      <c r="AG1047" s="17"/>
    </row>
    <row r="1048" spans="31:33">
      <c r="AE1048" s="19"/>
      <c r="AF1048" s="17"/>
      <c r="AG1048" s="17"/>
    </row>
    <row r="1049" spans="31:33">
      <c r="AE1049" s="19"/>
      <c r="AF1049" s="17"/>
      <c r="AG1049" s="17"/>
    </row>
    <row r="1050" spans="31:33">
      <c r="AE1050" s="19"/>
      <c r="AF1050" s="17"/>
      <c r="AG1050" s="17"/>
    </row>
    <row r="1051" spans="31:33">
      <c r="AE1051" s="19"/>
      <c r="AF1051" s="17"/>
      <c r="AG1051" s="17"/>
    </row>
    <row r="1052" spans="31:33">
      <c r="AE1052" s="19"/>
      <c r="AF1052" s="17"/>
      <c r="AG1052" s="17"/>
    </row>
    <row r="1053" spans="31:33">
      <c r="AE1053" s="19"/>
      <c r="AF1053" s="17"/>
      <c r="AG1053" s="17"/>
    </row>
    <row r="1054" spans="31:33">
      <c r="AE1054" s="19"/>
      <c r="AF1054" s="17"/>
      <c r="AG1054" s="17"/>
    </row>
    <row r="1055" spans="31:33">
      <c r="AE1055" s="19"/>
      <c r="AF1055" s="17"/>
      <c r="AG1055" s="17"/>
    </row>
    <row r="1056" spans="31:33">
      <c r="AE1056" s="19"/>
      <c r="AF1056" s="17"/>
      <c r="AG1056" s="17"/>
    </row>
    <row r="1057" spans="31:33">
      <c r="AE1057" s="19"/>
      <c r="AF1057" s="17"/>
      <c r="AG1057" s="17"/>
    </row>
    <row r="1058" spans="31:33">
      <c r="AE1058" s="19"/>
      <c r="AF1058" s="17"/>
      <c r="AG1058" s="17"/>
    </row>
    <row r="1059" spans="31:33">
      <c r="AE1059" s="19"/>
      <c r="AF1059" s="17"/>
      <c r="AG1059" s="17"/>
    </row>
    <row r="1060" spans="31:33">
      <c r="AE1060" s="19"/>
      <c r="AF1060" s="17"/>
      <c r="AG1060" s="17"/>
    </row>
    <row r="1061" spans="31:33">
      <c r="AE1061" s="19"/>
      <c r="AF1061" s="17"/>
      <c r="AG1061" s="17"/>
    </row>
    <row r="1062" spans="31:33">
      <c r="AE1062" s="19"/>
      <c r="AF1062" s="17"/>
      <c r="AG1062" s="17"/>
    </row>
    <row r="1063" spans="31:33">
      <c r="AE1063" s="19"/>
      <c r="AF1063" s="17"/>
      <c r="AG1063" s="17"/>
    </row>
    <row r="1064" spans="31:33">
      <c r="AE1064" s="19"/>
      <c r="AF1064" s="17"/>
      <c r="AG1064" s="17"/>
    </row>
    <row r="1065" spans="31:33">
      <c r="AE1065" s="19"/>
      <c r="AF1065" s="17"/>
      <c r="AG1065" s="17"/>
    </row>
    <row r="1066" spans="31:33">
      <c r="AE1066" s="19"/>
      <c r="AF1066" s="17"/>
      <c r="AG1066" s="17"/>
    </row>
    <row r="1067" spans="31:33">
      <c r="AE1067" s="19"/>
      <c r="AF1067" s="17"/>
      <c r="AG1067" s="17"/>
    </row>
    <row r="1068" spans="31:33">
      <c r="AE1068" s="19"/>
      <c r="AF1068" s="17"/>
      <c r="AG1068" s="17"/>
    </row>
    <row r="1069" spans="31:33">
      <c r="AE1069" s="19"/>
      <c r="AF1069" s="17"/>
      <c r="AG1069" s="17"/>
    </row>
    <row r="1070" spans="31:33">
      <c r="AE1070" s="19"/>
      <c r="AF1070" s="17"/>
      <c r="AG1070" s="17"/>
    </row>
    <row r="1071" spans="31:33">
      <c r="AE1071" s="19"/>
      <c r="AF1071" s="17"/>
      <c r="AG1071" s="17"/>
    </row>
    <row r="1072" spans="31:33">
      <c r="AE1072" s="19"/>
      <c r="AF1072" s="17"/>
      <c r="AG1072" s="17"/>
    </row>
    <row r="1073" spans="31:33">
      <c r="AE1073" s="19"/>
      <c r="AF1073" s="17"/>
      <c r="AG1073" s="17"/>
    </row>
    <row r="1074" spans="31:33">
      <c r="AE1074" s="19"/>
      <c r="AF1074" s="17"/>
      <c r="AG1074" s="17"/>
    </row>
    <row r="1075" spans="31:33">
      <c r="AE1075" s="19"/>
      <c r="AF1075" s="17"/>
      <c r="AG1075" s="17"/>
    </row>
    <row r="1076" spans="31:33">
      <c r="AE1076" s="19"/>
      <c r="AF1076" s="17"/>
      <c r="AG1076" s="17"/>
    </row>
    <row r="1077" spans="31:33">
      <c r="AE1077" s="19"/>
      <c r="AF1077" s="17"/>
      <c r="AG1077" s="17"/>
    </row>
    <row r="1078" spans="31:33">
      <c r="AE1078" s="19"/>
      <c r="AF1078" s="17"/>
      <c r="AG1078" s="17"/>
    </row>
    <row r="1079" spans="31:33">
      <c r="AE1079" s="19"/>
      <c r="AF1079" s="17"/>
      <c r="AG1079" s="17"/>
    </row>
    <row r="1080" spans="31:33">
      <c r="AE1080" s="19"/>
      <c r="AF1080" s="17"/>
      <c r="AG1080" s="17"/>
    </row>
    <row r="1081" spans="31:33">
      <c r="AE1081" s="19"/>
      <c r="AF1081" s="17"/>
      <c r="AG1081" s="17"/>
    </row>
    <row r="1082" spans="31:33">
      <c r="AE1082" s="19"/>
      <c r="AF1082" s="17"/>
      <c r="AG1082" s="17"/>
    </row>
    <row r="1083" spans="31:33">
      <c r="AE1083" s="19"/>
      <c r="AF1083" s="17"/>
      <c r="AG1083" s="17"/>
    </row>
    <row r="1084" spans="31:33">
      <c r="AE1084" s="19"/>
      <c r="AF1084" s="17"/>
      <c r="AG1084" s="17"/>
    </row>
    <row r="1085" spans="31:33">
      <c r="AE1085" s="19"/>
      <c r="AF1085" s="17"/>
      <c r="AG1085" s="17"/>
    </row>
    <row r="1086" spans="31:33">
      <c r="AE1086" s="19"/>
      <c r="AF1086" s="17"/>
      <c r="AG1086" s="17"/>
    </row>
    <row r="1087" spans="31:33">
      <c r="AE1087" s="19"/>
      <c r="AF1087" s="17"/>
      <c r="AG1087" s="17"/>
    </row>
    <row r="1088" spans="31:33">
      <c r="AE1088" s="19"/>
      <c r="AF1088" s="17"/>
      <c r="AG1088" s="17"/>
    </row>
    <row r="1089" spans="31:33">
      <c r="AE1089" s="19"/>
      <c r="AF1089" s="17"/>
      <c r="AG1089" s="17"/>
    </row>
    <row r="1090" spans="31:33">
      <c r="AE1090" s="19"/>
      <c r="AF1090" s="17"/>
      <c r="AG1090" s="17"/>
    </row>
    <row r="1091" spans="31:33">
      <c r="AE1091" s="19"/>
      <c r="AF1091" s="17"/>
      <c r="AG1091" s="17"/>
    </row>
    <row r="1092" spans="31:33">
      <c r="AE1092" s="19"/>
      <c r="AF1092" s="17"/>
      <c r="AG1092" s="17"/>
    </row>
    <row r="1093" spans="31:33">
      <c r="AE1093" s="19"/>
      <c r="AF1093" s="17"/>
      <c r="AG1093" s="17"/>
    </row>
    <row r="1094" spans="31:33">
      <c r="AE1094" s="19"/>
      <c r="AF1094" s="17"/>
      <c r="AG1094" s="17"/>
    </row>
    <row r="1095" spans="31:33">
      <c r="AE1095" s="19"/>
      <c r="AF1095" s="17"/>
      <c r="AG1095" s="17"/>
    </row>
    <row r="1096" spans="31:33">
      <c r="AE1096" s="19"/>
      <c r="AF1096" s="17"/>
      <c r="AG1096" s="17"/>
    </row>
    <row r="1097" spans="31:33">
      <c r="AE1097" s="19"/>
      <c r="AF1097" s="17"/>
      <c r="AG1097" s="17"/>
    </row>
    <row r="1098" spans="31:33">
      <c r="AE1098" s="19"/>
      <c r="AF1098" s="17"/>
      <c r="AG1098" s="17"/>
    </row>
    <row r="1099" spans="31:33">
      <c r="AE1099" s="19"/>
      <c r="AF1099" s="17"/>
      <c r="AG1099" s="17"/>
    </row>
    <row r="1100" spans="31:33">
      <c r="AE1100" s="19"/>
      <c r="AF1100" s="17"/>
      <c r="AG1100" s="17"/>
    </row>
    <row r="1101" spans="31:33">
      <c r="AE1101" s="19"/>
      <c r="AF1101" s="17"/>
      <c r="AG1101" s="17"/>
    </row>
    <row r="1102" spans="31:33">
      <c r="AE1102" s="19"/>
      <c r="AF1102" s="17"/>
      <c r="AG1102" s="17"/>
    </row>
  </sheetData>
  <phoneticPr fontId="6" type="noConversion"/>
  <hyperlinks>
    <hyperlink ref="D59" r:id="rId1" xr:uid="{81A8801A-C111-4F51-A6E8-E6D9CD535D62}"/>
    <hyperlink ref="D67" r:id="rId2" xr:uid="{F88D0B65-A436-4E7E-AB05-6FF30AF2AFCC}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ED523-1F67-4C47-BE26-CB657EA12C66}">
  <sheetPr codeName="Sheet9"/>
  <dimension ref="A1:G76"/>
  <sheetViews>
    <sheetView workbookViewId="0">
      <selection activeCell="D2" sqref="D2"/>
    </sheetView>
  </sheetViews>
  <sheetFormatPr defaultColWidth="8.81640625" defaultRowHeight="14.5"/>
  <cols>
    <col min="1" max="3" width="21" style="3" customWidth="1"/>
    <col min="4" max="4" width="23.1796875" style="3" bestFit="1" customWidth="1"/>
    <col min="5" max="16384" width="8.81640625" style="2"/>
  </cols>
  <sheetData>
    <row r="1" spans="1:7">
      <c r="A1" s="4" t="s">
        <v>133</v>
      </c>
      <c r="B1" s="4" t="s">
        <v>134</v>
      </c>
      <c r="C1" s="4" t="s">
        <v>132</v>
      </c>
      <c r="D1" s="4" t="s">
        <v>135</v>
      </c>
    </row>
    <row r="2" spans="1:7">
      <c r="A2" s="1">
        <f>Results!C16</f>
        <v>326</v>
      </c>
      <c r="B2" s="1">
        <f>Results!D16</f>
        <v>1</v>
      </c>
      <c r="C2" s="1">
        <f>Results!E16</f>
        <v>336</v>
      </c>
      <c r="D2" s="1">
        <f>ROUND(BackgroundCalcs!G29,0)</f>
        <v>2530</v>
      </c>
    </row>
    <row r="10" spans="1:7">
      <c r="G10" s="9"/>
    </row>
    <row r="11" spans="1:7">
      <c r="G11" s="10"/>
    </row>
    <row r="12" spans="1:7">
      <c r="G12" s="10"/>
    </row>
    <row r="14" spans="1:7">
      <c r="G14" s="9"/>
    </row>
    <row r="15" spans="1:7">
      <c r="G15" s="9"/>
    </row>
    <row r="16" spans="1:7">
      <c r="G16" s="9"/>
    </row>
    <row r="17" spans="7:7">
      <c r="G17" s="9"/>
    </row>
    <row r="18" spans="7:7">
      <c r="G18" s="9"/>
    </row>
    <row r="20" spans="7:7">
      <c r="G20" s="10"/>
    </row>
    <row r="21" spans="7:7">
      <c r="G21" s="11"/>
    </row>
    <row r="22" spans="7:7">
      <c r="G22" s="11"/>
    </row>
    <row r="23" spans="7:7">
      <c r="G23" s="11"/>
    </row>
    <row r="25" spans="7:7">
      <c r="G25" s="10"/>
    </row>
    <row r="26" spans="7:7">
      <c r="G26" s="11"/>
    </row>
    <row r="28" spans="7:7">
      <c r="G28" s="11"/>
    </row>
    <row r="29" spans="7:7">
      <c r="G29" s="11"/>
    </row>
    <row r="30" spans="7:7">
      <c r="G30" s="11"/>
    </row>
    <row r="31" spans="7:7">
      <c r="G31" s="11"/>
    </row>
    <row r="32" spans="7:7">
      <c r="G32" s="11"/>
    </row>
    <row r="33" spans="7:7">
      <c r="G33" s="11"/>
    </row>
    <row r="35" spans="7:7">
      <c r="G35" s="10"/>
    </row>
    <row r="36" spans="7:7">
      <c r="G36" s="11"/>
    </row>
    <row r="37" spans="7:7">
      <c r="G37" s="11"/>
    </row>
    <row r="38" spans="7:7">
      <c r="G38" s="11"/>
    </row>
    <row r="40" spans="7:7">
      <c r="G40" s="10"/>
    </row>
    <row r="41" spans="7:7">
      <c r="G41" s="11"/>
    </row>
    <row r="43" spans="7:7">
      <c r="G43" s="10"/>
    </row>
    <row r="44" spans="7:7">
      <c r="G44" s="11"/>
    </row>
    <row r="46" spans="7:7">
      <c r="G46" s="10"/>
    </row>
    <row r="47" spans="7:7">
      <c r="G47" s="11"/>
    </row>
    <row r="48" spans="7:7">
      <c r="G48" s="11"/>
    </row>
    <row r="49" spans="7:7">
      <c r="G49" s="11"/>
    </row>
    <row r="50" spans="7:7">
      <c r="G50" s="11"/>
    </row>
    <row r="51" spans="7:7">
      <c r="G51" s="11"/>
    </row>
    <row r="52" spans="7:7">
      <c r="G52" s="11"/>
    </row>
    <row r="53" spans="7:7">
      <c r="G53" s="11"/>
    </row>
    <row r="54" spans="7:7">
      <c r="G54" s="11"/>
    </row>
    <row r="55" spans="7:7">
      <c r="G55" s="11"/>
    </row>
    <row r="56" spans="7:7">
      <c r="G56" s="11"/>
    </row>
    <row r="57" spans="7:7">
      <c r="G57" s="11"/>
    </row>
    <row r="58" spans="7:7">
      <c r="G58" s="11"/>
    </row>
    <row r="59" spans="7:7">
      <c r="G59" s="11"/>
    </row>
    <row r="60" spans="7:7">
      <c r="G60" s="11"/>
    </row>
    <row r="61" spans="7:7">
      <c r="G61" s="11"/>
    </row>
    <row r="63" spans="7:7">
      <c r="G63" s="11"/>
    </row>
    <row r="64" spans="7:7">
      <c r="G64" s="11"/>
    </row>
    <row r="65" spans="7:7">
      <c r="G65" s="11"/>
    </row>
    <row r="67" spans="7:7">
      <c r="G67" s="10"/>
    </row>
    <row r="68" spans="7:7">
      <c r="G68" s="11"/>
    </row>
    <row r="70" spans="7:7">
      <c r="G70" s="11"/>
    </row>
    <row r="71" spans="7:7">
      <c r="G71" s="11"/>
    </row>
    <row r="72" spans="7:7">
      <c r="G72" s="11"/>
    </row>
    <row r="73" spans="7:7">
      <c r="G73" s="11"/>
    </row>
    <row r="74" spans="7:7">
      <c r="G74" s="11"/>
    </row>
    <row r="75" spans="7:7">
      <c r="G75" s="9"/>
    </row>
    <row r="76" spans="7:7">
      <c r="G76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FD53-D0D8-40F7-8AEC-F4E700E6273E}">
  <sheetPr codeName="Sheet2"/>
  <dimension ref="A1:G2"/>
  <sheetViews>
    <sheetView workbookViewId="0">
      <selection activeCell="D5" sqref="D5"/>
    </sheetView>
  </sheetViews>
  <sheetFormatPr defaultRowHeight="14.5"/>
  <cols>
    <col min="1" max="1" width="12.1796875" bestFit="1" customWidth="1"/>
    <col min="2" max="2" width="15.1796875" bestFit="1" customWidth="1"/>
    <col min="3" max="3" width="6" bestFit="1" customWidth="1"/>
    <col min="4" max="4" width="30.1796875" bestFit="1" customWidth="1"/>
    <col min="5" max="5" width="5.90625" bestFit="1" customWidth="1"/>
    <col min="6" max="6" width="15.1796875" bestFit="1" customWidth="1"/>
    <col min="7" max="7" width="16.81640625" bestFit="1" customWidth="1"/>
  </cols>
  <sheetData>
    <row r="1" spans="1:7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</row>
    <row r="2" spans="1:7">
      <c r="A2" t="s">
        <v>53</v>
      </c>
      <c r="B2" t="s">
        <v>18</v>
      </c>
      <c r="C2" t="s">
        <v>54</v>
      </c>
      <c r="D2" t="s">
        <v>55</v>
      </c>
      <c r="E2">
        <v>1</v>
      </c>
      <c r="F2" t="s">
        <v>56</v>
      </c>
      <c r="G2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69</vt:i4>
      </vt:variant>
    </vt:vector>
  </HeadingPairs>
  <TitlesOfParts>
    <vt:vector size="74" baseType="lpstr">
      <vt:lpstr>Instructions</vt:lpstr>
      <vt:lpstr>Keyboarding Challenge</vt:lpstr>
      <vt:lpstr>Results</vt:lpstr>
      <vt:lpstr>BackgroundCalcs</vt:lpstr>
      <vt:lpstr>Grading</vt:lpstr>
      <vt:lpstr>activateCount</vt:lpstr>
      <vt:lpstr>AllCorrect</vt:lpstr>
      <vt:lpstr>Answer1</vt:lpstr>
      <vt:lpstr>Answer2</vt:lpstr>
      <vt:lpstr>Answer3</vt:lpstr>
      <vt:lpstr>Answer4</vt:lpstr>
      <vt:lpstr>Answer5</vt:lpstr>
      <vt:lpstr>Answer6</vt:lpstr>
      <vt:lpstr>cellNames</vt:lpstr>
      <vt:lpstr>CheckRange1</vt:lpstr>
      <vt:lpstr>CheckRange2</vt:lpstr>
      <vt:lpstr>CheckRange3</vt:lpstr>
      <vt:lpstr>CheckRange4</vt:lpstr>
      <vt:lpstr>CheckRange5</vt:lpstr>
      <vt:lpstr>CheckRange6</vt:lpstr>
      <vt:lpstr>eighth</vt:lpstr>
      <vt:lpstr>elapsedTime</vt:lpstr>
      <vt:lpstr>eleventh</vt:lpstr>
      <vt:lpstr>EmptyCell</vt:lpstr>
      <vt:lpstr>endTime</vt:lpstr>
      <vt:lpstr>fifteenth</vt:lpstr>
      <vt:lpstr>fifth</vt:lpstr>
      <vt:lpstr>first</vt:lpstr>
      <vt:lpstr>firstVisited</vt:lpstr>
      <vt:lpstr>fourteenth</vt:lpstr>
      <vt:lpstr>fourth</vt:lpstr>
      <vt:lpstr>GoExcel</vt:lpstr>
      <vt:lpstr>instructionsOn</vt:lpstr>
      <vt:lpstr>Invalid2</vt:lpstr>
      <vt:lpstr>Invalid3</vt:lpstr>
      <vt:lpstr>Invalid4</vt:lpstr>
      <vt:lpstr>Invalid5</vt:lpstr>
      <vt:lpstr>Invalid6</vt:lpstr>
      <vt:lpstr>isGameOn</vt:lpstr>
      <vt:lpstr>lastTime</vt:lpstr>
      <vt:lpstr>liveVersion</vt:lpstr>
      <vt:lpstr>macOn</vt:lpstr>
      <vt:lpstr>mouseMovements</vt:lpstr>
      <vt:lpstr>ninth</vt:lpstr>
      <vt:lpstr>numCorrect</vt:lpstr>
      <vt:lpstr>NumExercises</vt:lpstr>
      <vt:lpstr>numProtectedCells</vt:lpstr>
      <vt:lpstr>numRandomValues</vt:lpstr>
      <vt:lpstr>OverrideSave</vt:lpstr>
      <vt:lpstr>passwordOn</vt:lpstr>
      <vt:lpstr>pcOn</vt:lpstr>
      <vt:lpstr>pCountNew</vt:lpstr>
      <vt:lpstr>second</vt:lpstr>
      <vt:lpstr>seventeenth</vt:lpstr>
      <vt:lpstr>seventh</vt:lpstr>
      <vt:lpstr>SheetNameRange</vt:lpstr>
      <vt:lpstr>sixteenth</vt:lpstr>
      <vt:lpstr>sixth</vt:lpstr>
      <vt:lpstr>SpreadsheetName</vt:lpstr>
      <vt:lpstr>startTime</vt:lpstr>
      <vt:lpstr>StudentIDCell</vt:lpstr>
      <vt:lpstr>StudentNameCell</vt:lpstr>
      <vt:lpstr>Tab1Answer</vt:lpstr>
      <vt:lpstr>Tab1ClearRange</vt:lpstr>
      <vt:lpstr>Tab1Name</vt:lpstr>
      <vt:lpstr>Tab1Start</vt:lpstr>
      <vt:lpstr>tenth</vt:lpstr>
      <vt:lpstr>third</vt:lpstr>
      <vt:lpstr>thirteenth</vt:lpstr>
      <vt:lpstr>totalTime</vt:lpstr>
      <vt:lpstr>Track</vt:lpstr>
      <vt:lpstr>twelveth</vt:lpstr>
      <vt:lpstr>xPosition</vt:lpstr>
      <vt:lpstr>yPosition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Brown</dc:creator>
  <cp:lastModifiedBy>Laura Namata</cp:lastModifiedBy>
  <dcterms:created xsi:type="dcterms:W3CDTF">2020-11-11T17:31:16Z</dcterms:created>
  <dcterms:modified xsi:type="dcterms:W3CDTF">2022-09-23T13:18:01Z</dcterms:modified>
</cp:coreProperties>
</file>